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pengx35\Downloads\Data_Quality_Monitoring\"/>
    </mc:Choice>
  </mc:AlternateContent>
  <xr:revisionPtr revIDLastSave="0" documentId="13_ncr:1_{A7A8A7E5-6D18-4518-A4AE-9198FEB3709D}" xr6:coauthVersionLast="47" xr6:coauthVersionMax="47" xr10:uidLastSave="{00000000-0000-0000-0000-000000000000}"/>
  <bookViews>
    <workbookView xWindow="28680" yWindow="-120" windowWidth="29040" windowHeight="15720" firstSheet="2" activeTab="4" xr2:uid="{773073C8-1BB5-47A2-8A28-89838BAB9801}"/>
  </bookViews>
  <sheets>
    <sheet name="Cover" sheetId="8" r:id="rId1"/>
    <sheet name="SLA Config" sheetId="12" state="hidden" r:id="rId2"/>
    <sheet name="Incidents" sheetId="1" r:id="rId3"/>
    <sheet name="Requests" sheetId="4" r:id="rId4"/>
    <sheet name="Problems" sheetId="11" r:id="rId5"/>
    <sheet name="(Hidden)" sheetId="9" state="hidden" r:id="rId6"/>
  </sheets>
  <externalReferences>
    <externalReference r:id="rId7"/>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32" i="4" l="1"/>
  <c r="F579" i="4"/>
  <c r="F592" i="4"/>
  <c r="F598" i="4"/>
  <c r="F601" i="4"/>
  <c r="F604" i="4"/>
  <c r="F612" i="4"/>
  <c r="F613" i="4"/>
  <c r="F628" i="4"/>
  <c r="F631"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F725" i="1"/>
  <c r="F172" i="1"/>
  <c r="F726" i="1"/>
  <c r="F756" i="1"/>
  <c r="F757" i="1"/>
  <c r="F760" i="1"/>
  <c r="F761" i="1"/>
  <c r="F763" i="1"/>
  <c r="F765" i="1"/>
  <c r="F771" i="1"/>
  <c r="F773" i="1"/>
  <c r="F775" i="1"/>
  <c r="N781" i="1"/>
  <c r="N782" i="1"/>
  <c r="N783" i="1"/>
  <c r="N784" i="1"/>
  <c r="N785" i="1"/>
  <c r="N786" i="1"/>
  <c r="N787" i="1"/>
  <c r="N788" i="1"/>
  <c r="N789" i="1"/>
  <c r="N790" i="1"/>
  <c r="N791" i="1"/>
  <c r="N792" i="1"/>
  <c r="N793" i="1"/>
  <c r="N794" i="1"/>
  <c r="N795" i="1"/>
  <c r="N796" i="1"/>
  <c r="N797" i="1"/>
  <c r="N798" i="1"/>
  <c r="N799" i="1"/>
  <c r="N800" i="1"/>
  <c r="N801" i="1"/>
  <c r="N802" i="1"/>
  <c r="N803" i="1"/>
  <c r="N804" i="1"/>
  <c r="F781" i="1"/>
  <c r="O781" i="1" s="1"/>
  <c r="F782" i="1"/>
  <c r="O782" i="1" s="1"/>
  <c r="F783" i="1"/>
  <c r="O783" i="1" s="1"/>
  <c r="F784" i="1"/>
  <c r="O784" i="1" s="1"/>
  <c r="F785" i="1"/>
  <c r="O785" i="1" s="1"/>
  <c r="F786" i="1"/>
  <c r="O786" i="1" s="1"/>
  <c r="F787" i="1"/>
  <c r="O787" i="1" s="1"/>
  <c r="F788" i="1"/>
  <c r="O788" i="1" s="1"/>
  <c r="F789" i="1"/>
  <c r="O789" i="1" s="1"/>
  <c r="F790" i="1"/>
  <c r="O790" i="1" s="1"/>
  <c r="F791" i="1"/>
  <c r="O791" i="1" s="1"/>
  <c r="F792" i="1"/>
  <c r="O792" i="1" s="1"/>
  <c r="F793" i="1"/>
  <c r="O793" i="1" s="1"/>
  <c r="F794" i="1"/>
  <c r="O794" i="1" s="1"/>
  <c r="F795" i="1"/>
  <c r="O795" i="1" s="1"/>
  <c r="F796" i="1"/>
  <c r="O796" i="1" s="1"/>
  <c r="F797" i="1"/>
  <c r="O797" i="1" s="1"/>
  <c r="F798" i="1"/>
  <c r="O798" i="1" s="1"/>
  <c r="F799" i="1"/>
  <c r="O799" i="1" s="1"/>
  <c r="F800" i="1"/>
  <c r="O800" i="1" s="1"/>
  <c r="F801" i="1"/>
  <c r="O801" i="1" s="1"/>
  <c r="F802" i="1"/>
  <c r="O802" i="1" s="1"/>
  <c r="F803" i="1"/>
  <c r="O803" i="1" s="1"/>
  <c r="F804" i="1"/>
  <c r="O804" i="1" s="1"/>
  <c r="M2" i="4"/>
  <c r="N2" i="4" s="1"/>
  <c r="M3" i="4"/>
  <c r="N3" i="4" s="1"/>
  <c r="M4" i="4"/>
  <c r="N4" i="4" s="1"/>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N129" i="4" s="1"/>
  <c r="M130" i="4"/>
  <c r="N130" i="4" s="1"/>
  <c r="M131" i="4"/>
  <c r="N131" i="4" s="1"/>
  <c r="M132" i="4"/>
  <c r="N132" i="4" s="1"/>
  <c r="M133" i="4"/>
  <c r="N133" i="4" s="1"/>
  <c r="M134" i="4"/>
  <c r="N134" i="4" s="1"/>
  <c r="M135" i="4"/>
  <c r="N135" i="4" s="1"/>
  <c r="M136" i="4"/>
  <c r="N136" i="4" s="1"/>
  <c r="M137" i="4"/>
  <c r="N137" i="4" s="1"/>
  <c r="M138" i="4"/>
  <c r="N138" i="4" s="1"/>
  <c r="M139" i="4"/>
  <c r="N139" i="4" s="1"/>
  <c r="M140" i="4"/>
  <c r="N140" i="4" s="1"/>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N164" i="4" s="1"/>
  <c r="M165" i="4"/>
  <c r="N165" i="4" s="1"/>
  <c r="M166" i="4"/>
  <c r="N166" i="4" s="1"/>
  <c r="M167" i="4"/>
  <c r="N167" i="4" s="1"/>
  <c r="M168" i="4"/>
  <c r="N168" i="4" s="1"/>
  <c r="M169" i="4"/>
  <c r="N169" i="4" s="1"/>
  <c r="M170" i="4"/>
  <c r="N170" i="4" s="1"/>
  <c r="M171" i="4"/>
  <c r="N171" i="4" s="1"/>
  <c r="M172" i="4"/>
  <c r="N172" i="4" s="1"/>
  <c r="M173" i="4"/>
  <c r="N173" i="4" s="1"/>
  <c r="M174" i="4"/>
  <c r="N174" i="4" s="1"/>
  <c r="M175" i="4"/>
  <c r="N175" i="4" s="1"/>
  <c r="M176" i="4"/>
  <c r="N176" i="4" s="1"/>
  <c r="M177" i="4"/>
  <c r="N177" i="4" s="1"/>
  <c r="M178" i="4"/>
  <c r="N178" i="4" s="1"/>
  <c r="M179" i="4"/>
  <c r="N179" i="4" s="1"/>
  <c r="M180" i="4"/>
  <c r="N180" i="4" s="1"/>
  <c r="M181" i="4"/>
  <c r="N181" i="4" s="1"/>
  <c r="M182" i="4"/>
  <c r="N182" i="4" s="1"/>
  <c r="M183" i="4"/>
  <c r="N183" i="4" s="1"/>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N213" i="4" s="1"/>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N236" i="4" s="1"/>
  <c r="M237" i="4"/>
  <c r="N237" i="4" s="1"/>
  <c r="M238" i="4"/>
  <c r="N238" i="4" s="1"/>
  <c r="M239" i="4"/>
  <c r="N239" i="4" s="1"/>
  <c r="M240" i="4"/>
  <c r="N240" i="4" s="1"/>
  <c r="M241" i="4"/>
  <c r="N241" i="4" s="1"/>
  <c r="M242" i="4"/>
  <c r="N242" i="4" s="1"/>
  <c r="M243" i="4"/>
  <c r="N243" i="4" s="1"/>
  <c r="M244" i="4"/>
  <c r="N244" i="4" s="1"/>
  <c r="M245" i="4"/>
  <c r="N245" i="4" s="1"/>
  <c r="M246" i="4"/>
  <c r="N246" i="4" s="1"/>
  <c r="M247" i="4"/>
  <c r="N247" i="4" s="1"/>
  <c r="M248" i="4"/>
  <c r="N248" i="4" s="1"/>
  <c r="M249" i="4"/>
  <c r="N249" i="4" s="1"/>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N272" i="4" s="1"/>
  <c r="M273" i="4"/>
  <c r="N273" i="4" s="1"/>
  <c r="M274" i="4"/>
  <c r="N274" i="4" s="1"/>
  <c r="M275" i="4"/>
  <c r="N275" i="4" s="1"/>
  <c r="M276" i="4"/>
  <c r="N276" i="4" s="1"/>
  <c r="M277" i="4"/>
  <c r="N277" i="4" s="1"/>
  <c r="M278" i="4"/>
  <c r="N278" i="4" s="1"/>
  <c r="M279" i="4"/>
  <c r="N279" i="4" s="1"/>
  <c r="M280" i="4"/>
  <c r="N280" i="4" s="1"/>
  <c r="M281" i="4"/>
  <c r="N281" i="4" s="1"/>
  <c r="M282" i="4"/>
  <c r="N282" i="4" s="1"/>
  <c r="M283" i="4"/>
  <c r="N283" i="4" s="1"/>
  <c r="M284" i="4"/>
  <c r="N284" i="4" s="1"/>
  <c r="M285" i="4"/>
  <c r="N285" i="4" s="1"/>
  <c r="M286" i="4"/>
  <c r="N286"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N320" i="4" s="1"/>
  <c r="M321" i="4"/>
  <c r="N321" i="4" s="1"/>
  <c r="M322" i="4"/>
  <c r="N322" i="4" s="1"/>
  <c r="M323" i="4"/>
  <c r="N323" i="4" s="1"/>
  <c r="M324" i="4"/>
  <c r="N324" i="4" s="1"/>
  <c r="M325" i="4"/>
  <c r="N325" i="4" s="1"/>
  <c r="M326" i="4"/>
  <c r="N326" i="4" s="1"/>
  <c r="M327" i="4"/>
  <c r="N327" i="4" s="1"/>
  <c r="M328" i="4"/>
  <c r="N328" i="4" s="1"/>
  <c r="M329" i="4"/>
  <c r="N329" i="4" s="1"/>
  <c r="M330" i="4"/>
  <c r="N330" i="4" s="1"/>
  <c r="M331" i="4"/>
  <c r="N331" i="4" s="1"/>
  <c r="M332" i="4"/>
  <c r="N332" i="4" s="1"/>
  <c r="M333" i="4"/>
  <c r="N333" i="4" s="1"/>
  <c r="M334" i="4"/>
  <c r="N334" i="4" s="1"/>
  <c r="M335" i="4"/>
  <c r="N335" i="4" s="1"/>
  <c r="M336" i="4"/>
  <c r="N336" i="4" s="1"/>
  <c r="M337" i="4"/>
  <c r="N337" i="4" s="1"/>
  <c r="M338" i="4"/>
  <c r="N338" i="4" s="1"/>
  <c r="M339" i="4"/>
  <c r="N339" i="4" s="1"/>
  <c r="M340" i="4"/>
  <c r="N340" i="4" s="1"/>
  <c r="M341" i="4"/>
  <c r="N341" i="4" s="1"/>
  <c r="M342" i="4"/>
  <c r="N342" i="4" s="1"/>
  <c r="M343" i="4"/>
  <c r="N343" i="4" s="1"/>
  <c r="M344" i="4"/>
  <c r="N344" i="4" s="1"/>
  <c r="M345" i="4"/>
  <c r="N345" i="4" s="1"/>
  <c r="M346" i="4"/>
  <c r="N346" i="4" s="1"/>
  <c r="M347" i="4"/>
  <c r="N347" i="4" s="1"/>
  <c r="M348" i="4"/>
  <c r="N348" i="4" s="1"/>
  <c r="M349" i="4"/>
  <c r="N349" i="4" s="1"/>
  <c r="M350" i="4"/>
  <c r="N350" i="4" s="1"/>
  <c r="M351" i="4"/>
  <c r="N351" i="4" s="1"/>
  <c r="M352" i="4"/>
  <c r="N352" i="4" s="1"/>
  <c r="M353" i="4"/>
  <c r="N353" i="4" s="1"/>
  <c r="M354" i="4"/>
  <c r="N354" i="4" s="1"/>
  <c r="M355" i="4"/>
  <c r="N355" i="4" s="1"/>
  <c r="M356" i="4"/>
  <c r="N356" i="4" s="1"/>
  <c r="M357" i="4"/>
  <c r="N357" i="4" s="1"/>
  <c r="M358" i="4"/>
  <c r="N358" i="4" s="1"/>
  <c r="M359" i="4"/>
  <c r="N359" i="4" s="1"/>
  <c r="M360" i="4"/>
  <c r="N360" i="4" s="1"/>
  <c r="M361" i="4"/>
  <c r="N361" i="4" s="1"/>
  <c r="M362" i="4"/>
  <c r="N362" i="4" s="1"/>
  <c r="M363" i="4"/>
  <c r="N363" i="4" s="1"/>
  <c r="M364" i="4"/>
  <c r="N364" i="4" s="1"/>
  <c r="M365" i="4"/>
  <c r="N365" i="4" s="1"/>
  <c r="M366" i="4"/>
  <c r="N366" i="4" s="1"/>
  <c r="M367" i="4"/>
  <c r="N367" i="4" s="1"/>
  <c r="M368" i="4"/>
  <c r="N368" i="4" s="1"/>
  <c r="M369" i="4"/>
  <c r="N369" i="4" s="1"/>
  <c r="M370" i="4"/>
  <c r="N370" i="4" s="1"/>
  <c r="M371" i="4"/>
  <c r="N371" i="4" s="1"/>
  <c r="M372" i="4"/>
  <c r="N372" i="4" s="1"/>
  <c r="M373" i="4"/>
  <c r="N373" i="4" s="1"/>
  <c r="M374" i="4"/>
  <c r="N374" i="4" s="1"/>
  <c r="M375" i="4"/>
  <c r="N375" i="4" s="1"/>
  <c r="M376" i="4"/>
  <c r="N376" i="4" s="1"/>
  <c r="M377" i="4"/>
  <c r="N377" i="4" s="1"/>
  <c r="M378" i="4"/>
  <c r="N378" i="4" s="1"/>
  <c r="M379" i="4"/>
  <c r="N379" i="4" s="1"/>
  <c r="M380" i="4"/>
  <c r="N380" i="4" s="1"/>
  <c r="M381" i="4"/>
  <c r="N381" i="4" s="1"/>
  <c r="M382" i="4"/>
  <c r="N382" i="4" s="1"/>
  <c r="M383" i="4"/>
  <c r="N383" i="4" s="1"/>
  <c r="M384" i="4"/>
  <c r="N384" i="4" s="1"/>
  <c r="M385" i="4"/>
  <c r="N385" i="4" s="1"/>
  <c r="M386" i="4"/>
  <c r="N386" i="4" s="1"/>
  <c r="M387" i="4"/>
  <c r="N387" i="4" s="1"/>
  <c r="M388" i="4"/>
  <c r="N388" i="4" s="1"/>
  <c r="M389" i="4"/>
  <c r="N389" i="4" s="1"/>
  <c r="M390" i="4"/>
  <c r="N390" i="4" s="1"/>
  <c r="M391" i="4"/>
  <c r="N391" i="4" s="1"/>
  <c r="M392" i="4"/>
  <c r="N392" i="4" s="1"/>
  <c r="M393" i="4"/>
  <c r="N393" i="4" s="1"/>
  <c r="M394" i="4"/>
  <c r="N394" i="4" s="1"/>
  <c r="M395" i="4"/>
  <c r="N395" i="4" s="1"/>
  <c r="M396" i="4"/>
  <c r="N396" i="4" s="1"/>
  <c r="M397" i="4"/>
  <c r="N397" i="4" s="1"/>
  <c r="M398" i="4"/>
  <c r="N398" i="4" s="1"/>
  <c r="M399" i="4"/>
  <c r="N399" i="4" s="1"/>
  <c r="M400" i="4"/>
  <c r="N400" i="4" s="1"/>
  <c r="M401" i="4"/>
  <c r="N401" i="4" s="1"/>
  <c r="M402" i="4"/>
  <c r="N402" i="4" s="1"/>
  <c r="M403" i="4"/>
  <c r="N403" i="4" s="1"/>
  <c r="M404" i="4"/>
  <c r="N404" i="4" s="1"/>
  <c r="M405" i="4"/>
  <c r="N405" i="4" s="1"/>
  <c r="M406" i="4"/>
  <c r="N406" i="4" s="1"/>
  <c r="M407" i="4"/>
  <c r="N407" i="4" s="1"/>
  <c r="M408" i="4"/>
  <c r="N408" i="4" s="1"/>
  <c r="M409" i="4"/>
  <c r="N409" i="4" s="1"/>
  <c r="M410" i="4"/>
  <c r="N410" i="4" s="1"/>
  <c r="M411" i="4"/>
  <c r="N411" i="4" s="1"/>
  <c r="M412" i="4"/>
  <c r="N412" i="4" s="1"/>
  <c r="M413" i="4"/>
  <c r="N413" i="4" s="1"/>
  <c r="M414" i="4"/>
  <c r="N414" i="4" s="1"/>
  <c r="M415" i="4"/>
  <c r="N415" i="4" s="1"/>
  <c r="M416" i="4"/>
  <c r="N416" i="4" s="1"/>
  <c r="M417" i="4"/>
  <c r="N417" i="4" s="1"/>
  <c r="M418" i="4"/>
  <c r="N418" i="4" s="1"/>
  <c r="M419" i="4"/>
  <c r="N419" i="4" s="1"/>
  <c r="M420" i="4"/>
  <c r="N420" i="4" s="1"/>
  <c r="M421" i="4"/>
  <c r="N421" i="4" s="1"/>
  <c r="M422" i="4"/>
  <c r="N422" i="4" s="1"/>
  <c r="M423" i="4"/>
  <c r="N423" i="4" s="1"/>
  <c r="M424" i="4"/>
  <c r="N424" i="4" s="1"/>
  <c r="M425" i="4"/>
  <c r="N425" i="4" s="1"/>
  <c r="M426" i="4"/>
  <c r="N426" i="4" s="1"/>
  <c r="M427" i="4"/>
  <c r="N427" i="4" s="1"/>
  <c r="M428" i="4"/>
  <c r="N428" i="4" s="1"/>
  <c r="M429" i="4"/>
  <c r="N429" i="4" s="1"/>
  <c r="M430" i="4"/>
  <c r="N430" i="4" s="1"/>
  <c r="M431" i="4"/>
  <c r="N431" i="4" s="1"/>
  <c r="M432" i="4"/>
  <c r="N432" i="4" s="1"/>
  <c r="M433" i="4"/>
  <c r="N433" i="4" s="1"/>
  <c r="M434" i="4"/>
  <c r="N434" i="4" s="1"/>
  <c r="M435" i="4"/>
  <c r="N435" i="4" s="1"/>
  <c r="M436" i="4"/>
  <c r="N436" i="4" s="1"/>
  <c r="M437" i="4"/>
  <c r="N437" i="4" s="1"/>
  <c r="M438" i="4"/>
  <c r="N438" i="4" s="1"/>
  <c r="M439" i="4"/>
  <c r="N439" i="4" s="1"/>
  <c r="M440" i="4"/>
  <c r="N440" i="4" s="1"/>
  <c r="M441" i="4"/>
  <c r="N441" i="4" s="1"/>
  <c r="M442" i="4"/>
  <c r="N442" i="4" s="1"/>
  <c r="M443" i="4"/>
  <c r="N443" i="4" s="1"/>
  <c r="M444" i="4"/>
  <c r="N444" i="4" s="1"/>
  <c r="M445" i="4"/>
  <c r="N445" i="4" s="1"/>
  <c r="M446" i="4"/>
  <c r="N446" i="4" s="1"/>
  <c r="M447" i="4"/>
  <c r="N447" i="4" s="1"/>
  <c r="M448" i="4"/>
  <c r="N448" i="4" s="1"/>
  <c r="M449" i="4"/>
  <c r="N449" i="4" s="1"/>
  <c r="M450" i="4"/>
  <c r="N450" i="4" s="1"/>
  <c r="M451" i="4"/>
  <c r="N451" i="4" s="1"/>
  <c r="M452" i="4"/>
  <c r="N452" i="4" s="1"/>
  <c r="M453" i="4"/>
  <c r="N453" i="4" s="1"/>
  <c r="M454" i="4"/>
  <c r="N454" i="4" s="1"/>
  <c r="M455" i="4"/>
  <c r="N455" i="4" s="1"/>
  <c r="M456" i="4"/>
  <c r="N456" i="4" s="1"/>
  <c r="M457" i="4"/>
  <c r="N457" i="4" s="1"/>
  <c r="M458" i="4"/>
  <c r="N458" i="4" s="1"/>
  <c r="M459" i="4"/>
  <c r="N459" i="4" s="1"/>
  <c r="M460" i="4"/>
  <c r="N460" i="4" s="1"/>
  <c r="M461" i="4"/>
  <c r="N461" i="4" s="1"/>
  <c r="M462" i="4"/>
  <c r="N462" i="4" s="1"/>
  <c r="M463" i="4"/>
  <c r="N463" i="4" s="1"/>
  <c r="M464" i="4"/>
  <c r="N464" i="4" s="1"/>
  <c r="M465" i="4"/>
  <c r="N465" i="4" s="1"/>
  <c r="M466" i="4"/>
  <c r="N466" i="4" s="1"/>
  <c r="M467" i="4"/>
  <c r="N467" i="4" s="1"/>
  <c r="M468" i="4"/>
  <c r="N468" i="4" s="1"/>
  <c r="M469" i="4"/>
  <c r="N469" i="4" s="1"/>
  <c r="M470" i="4"/>
  <c r="N470" i="4" s="1"/>
  <c r="M471" i="4"/>
  <c r="N471" i="4" s="1"/>
  <c r="M472" i="4"/>
  <c r="N472" i="4" s="1"/>
  <c r="M473" i="4"/>
  <c r="N473" i="4" s="1"/>
  <c r="M474" i="4"/>
  <c r="N474" i="4" s="1"/>
  <c r="M475" i="4"/>
  <c r="N475" i="4" s="1"/>
  <c r="M476" i="4"/>
  <c r="N476" i="4" s="1"/>
  <c r="M477" i="4"/>
  <c r="N477" i="4" s="1"/>
  <c r="M478" i="4"/>
  <c r="N478" i="4" s="1"/>
  <c r="M479" i="4"/>
  <c r="N479" i="4" s="1"/>
  <c r="M480" i="4"/>
  <c r="N480" i="4" s="1"/>
  <c r="M481" i="4"/>
  <c r="N481" i="4" s="1"/>
  <c r="M482" i="4"/>
  <c r="N482" i="4" s="1"/>
  <c r="M483" i="4"/>
  <c r="N483" i="4" s="1"/>
  <c r="M484" i="4"/>
  <c r="N484" i="4" s="1"/>
  <c r="M485" i="4"/>
  <c r="N485" i="4" s="1"/>
  <c r="M486" i="4"/>
  <c r="N486" i="4" s="1"/>
  <c r="M487" i="4"/>
  <c r="N487" i="4" s="1"/>
  <c r="M488" i="4"/>
  <c r="N488" i="4" s="1"/>
  <c r="M489" i="4"/>
  <c r="N489" i="4" s="1"/>
  <c r="M490" i="4"/>
  <c r="N490" i="4" s="1"/>
  <c r="M491" i="4"/>
  <c r="N491" i="4" s="1"/>
  <c r="M492" i="4"/>
  <c r="N492" i="4" s="1"/>
  <c r="M493" i="4"/>
  <c r="N493" i="4" s="1"/>
  <c r="M494" i="4"/>
  <c r="N494" i="4" s="1"/>
  <c r="M495" i="4"/>
  <c r="N495" i="4" s="1"/>
  <c r="M496" i="4"/>
  <c r="N496" i="4" s="1"/>
  <c r="M497" i="4"/>
  <c r="N497" i="4" s="1"/>
  <c r="M498" i="4"/>
  <c r="N498" i="4" s="1"/>
  <c r="M499" i="4"/>
  <c r="N499" i="4" s="1"/>
  <c r="M500" i="4"/>
  <c r="N500" i="4" s="1"/>
  <c r="M501" i="4"/>
  <c r="N501" i="4" s="1"/>
  <c r="M502" i="4"/>
  <c r="N502" i="4" s="1"/>
  <c r="M503" i="4"/>
  <c r="N503" i="4" s="1"/>
  <c r="M504" i="4"/>
  <c r="N504" i="4" s="1"/>
  <c r="M505" i="4"/>
  <c r="N505" i="4" s="1"/>
  <c r="M506" i="4"/>
  <c r="N506" i="4" s="1"/>
  <c r="M507" i="4"/>
  <c r="N507" i="4" s="1"/>
  <c r="M508" i="4"/>
  <c r="N508" i="4" s="1"/>
  <c r="M509" i="4"/>
  <c r="N509" i="4" s="1"/>
  <c r="M510" i="4"/>
  <c r="N510" i="4" s="1"/>
  <c r="M511" i="4"/>
  <c r="N511" i="4" s="1"/>
  <c r="M512" i="4"/>
  <c r="N512" i="4" s="1"/>
  <c r="M513" i="4"/>
  <c r="N513" i="4" s="1"/>
  <c r="M514" i="4"/>
  <c r="N514" i="4" s="1"/>
  <c r="M515" i="4"/>
  <c r="N515" i="4" s="1"/>
  <c r="M516" i="4"/>
  <c r="N516" i="4" s="1"/>
  <c r="M517" i="4"/>
  <c r="N517" i="4" s="1"/>
  <c r="M518" i="4"/>
  <c r="N518" i="4" s="1"/>
  <c r="M519" i="4"/>
  <c r="N519" i="4" s="1"/>
  <c r="M520" i="4"/>
  <c r="N520" i="4" s="1"/>
  <c r="M521" i="4"/>
  <c r="N521" i="4" s="1"/>
  <c r="M522" i="4"/>
  <c r="N522" i="4" s="1"/>
  <c r="M523" i="4"/>
  <c r="N523" i="4" s="1"/>
  <c r="M524" i="4"/>
  <c r="N524" i="4" s="1"/>
  <c r="M525" i="4"/>
  <c r="N525" i="4" s="1"/>
  <c r="M526" i="4"/>
  <c r="N526" i="4" s="1"/>
  <c r="M527" i="4"/>
  <c r="N527" i="4" s="1"/>
  <c r="M528" i="4"/>
  <c r="N528" i="4" s="1"/>
  <c r="M529" i="4"/>
  <c r="N529" i="4" s="1"/>
  <c r="M530" i="4"/>
  <c r="N530" i="4" s="1"/>
  <c r="M531" i="4"/>
  <c r="N531" i="4" s="1"/>
  <c r="M532" i="4"/>
  <c r="N532" i="4" s="1"/>
  <c r="M533" i="4"/>
  <c r="N533" i="4" s="1"/>
  <c r="M534" i="4"/>
  <c r="N534" i="4" s="1"/>
  <c r="M535" i="4"/>
  <c r="N535" i="4" s="1"/>
  <c r="M536" i="4"/>
  <c r="N536" i="4" s="1"/>
  <c r="M537" i="4"/>
  <c r="N537" i="4" s="1"/>
  <c r="M538" i="4"/>
  <c r="N538" i="4" s="1"/>
  <c r="M539" i="4"/>
  <c r="N539" i="4" s="1"/>
  <c r="M540" i="4"/>
  <c r="N540" i="4" s="1"/>
  <c r="M541" i="4"/>
  <c r="N541" i="4" s="1"/>
  <c r="M542" i="4"/>
  <c r="N542" i="4" s="1"/>
  <c r="M543" i="4"/>
  <c r="N543" i="4" s="1"/>
  <c r="M544" i="4"/>
  <c r="N544" i="4" s="1"/>
  <c r="M545" i="4"/>
  <c r="N545" i="4" s="1"/>
  <c r="M546" i="4"/>
  <c r="N546" i="4" s="1"/>
  <c r="M547" i="4"/>
  <c r="N547" i="4" s="1"/>
  <c r="M548" i="4"/>
  <c r="N548" i="4" s="1"/>
  <c r="M549" i="4"/>
  <c r="N549" i="4" s="1"/>
  <c r="M550" i="4"/>
  <c r="N550" i="4" s="1"/>
  <c r="M551" i="4"/>
  <c r="N551" i="4" s="1"/>
  <c r="M552" i="4"/>
  <c r="N552" i="4" s="1"/>
  <c r="M553" i="4"/>
  <c r="N553" i="4" s="1"/>
  <c r="M554" i="4"/>
  <c r="N554" i="4" s="1"/>
  <c r="M555" i="4"/>
  <c r="N555" i="4" s="1"/>
  <c r="M556" i="4"/>
  <c r="N556" i="4" s="1"/>
  <c r="M557" i="4"/>
  <c r="N557" i="4" s="1"/>
  <c r="M558" i="4"/>
  <c r="N558" i="4" s="1"/>
  <c r="M559" i="4"/>
  <c r="N559" i="4" s="1"/>
  <c r="M560" i="4"/>
  <c r="N560" i="4" s="1"/>
  <c r="M561" i="4"/>
  <c r="N561" i="4" s="1"/>
  <c r="M562" i="4"/>
  <c r="N562" i="4" s="1"/>
  <c r="M563" i="4"/>
  <c r="N563" i="4" s="1"/>
  <c r="M564" i="4"/>
  <c r="N564" i="4" s="1"/>
  <c r="M565" i="4"/>
  <c r="N565" i="4" s="1"/>
  <c r="M566" i="4"/>
  <c r="N566" i="4" s="1"/>
  <c r="M567" i="4"/>
  <c r="N567" i="4" s="1"/>
  <c r="M568" i="4"/>
  <c r="N568" i="4" s="1"/>
  <c r="M569" i="4"/>
  <c r="N569" i="4" s="1"/>
  <c r="M570" i="4"/>
  <c r="N570" i="4" s="1"/>
  <c r="M571" i="4"/>
  <c r="N571" i="4" s="1"/>
  <c r="M572" i="4"/>
  <c r="N572" i="4" s="1"/>
  <c r="M573" i="4"/>
  <c r="N573" i="4" s="1"/>
  <c r="M574" i="4"/>
  <c r="N574" i="4" s="1"/>
  <c r="M575" i="4"/>
  <c r="N575" i="4" s="1"/>
  <c r="M576" i="4"/>
  <c r="N576" i="4" s="1"/>
  <c r="M577" i="4"/>
  <c r="N577" i="4" s="1"/>
  <c r="M578" i="4"/>
  <c r="N578" i="4" s="1"/>
  <c r="M579" i="4"/>
  <c r="N579" i="4" s="1"/>
  <c r="M580" i="4"/>
  <c r="N580" i="4" s="1"/>
  <c r="M581" i="4"/>
  <c r="N581" i="4" s="1"/>
  <c r="M582" i="4"/>
  <c r="N582" i="4" s="1"/>
  <c r="M583" i="4"/>
  <c r="N583" i="4" s="1"/>
  <c r="M584" i="4"/>
  <c r="N584" i="4" s="1"/>
  <c r="M585" i="4"/>
  <c r="N585" i="4" s="1"/>
  <c r="M586" i="4"/>
  <c r="N586" i="4" s="1"/>
  <c r="M587" i="4"/>
  <c r="N587" i="4" s="1"/>
  <c r="M588" i="4"/>
  <c r="N588" i="4" s="1"/>
  <c r="M589" i="4"/>
  <c r="N589" i="4" s="1"/>
  <c r="M590" i="4"/>
  <c r="N590" i="4" s="1"/>
  <c r="M591" i="4"/>
  <c r="N591" i="4" s="1"/>
  <c r="M592" i="4"/>
  <c r="N592" i="4" s="1"/>
  <c r="M593" i="4"/>
  <c r="N593" i="4" s="1"/>
  <c r="M594" i="4"/>
  <c r="N594" i="4" s="1"/>
  <c r="M595" i="4"/>
  <c r="N595" i="4" s="1"/>
  <c r="M596" i="4"/>
  <c r="N596" i="4" s="1"/>
  <c r="M597" i="4"/>
  <c r="N597" i="4" s="1"/>
  <c r="M598" i="4"/>
  <c r="N598" i="4" s="1"/>
  <c r="M599" i="4"/>
  <c r="N599" i="4" s="1"/>
  <c r="M600" i="4"/>
  <c r="N600" i="4" s="1"/>
  <c r="M601" i="4"/>
  <c r="N601" i="4" s="1"/>
  <c r="M602" i="4"/>
  <c r="N602" i="4" s="1"/>
  <c r="M603" i="4"/>
  <c r="N603" i="4" s="1"/>
  <c r="M604" i="4"/>
  <c r="N604" i="4" s="1"/>
  <c r="M605" i="4"/>
  <c r="N605" i="4" s="1"/>
  <c r="M606" i="4"/>
  <c r="N606" i="4" s="1"/>
  <c r="M607" i="4"/>
  <c r="N607" i="4" s="1"/>
  <c r="M608" i="4"/>
  <c r="N608" i="4" s="1"/>
  <c r="M609" i="4"/>
  <c r="N609" i="4" s="1"/>
  <c r="M610" i="4"/>
  <c r="N610" i="4" s="1"/>
  <c r="M611" i="4"/>
  <c r="N611" i="4" s="1"/>
  <c r="M612" i="4"/>
  <c r="N612" i="4" s="1"/>
  <c r="M613" i="4"/>
  <c r="N613" i="4" s="1"/>
  <c r="M614" i="4"/>
  <c r="N614" i="4" s="1"/>
  <c r="M615" i="4"/>
  <c r="N615" i="4" s="1"/>
  <c r="M616" i="4"/>
  <c r="N616" i="4" s="1"/>
  <c r="M617" i="4"/>
  <c r="N617" i="4" s="1"/>
  <c r="M618" i="4"/>
  <c r="N618" i="4" s="1"/>
  <c r="M619" i="4"/>
  <c r="N619" i="4" s="1"/>
  <c r="M620" i="4"/>
  <c r="N620" i="4" s="1"/>
  <c r="M621" i="4"/>
  <c r="N621" i="4" s="1"/>
  <c r="M622" i="4"/>
  <c r="N622" i="4" s="1"/>
  <c r="M623" i="4"/>
  <c r="N623" i="4" s="1"/>
  <c r="M624" i="4"/>
  <c r="N624" i="4" s="1"/>
  <c r="M625" i="4"/>
  <c r="N625" i="4" s="1"/>
  <c r="M626" i="4"/>
  <c r="N626" i="4" s="1"/>
  <c r="M627" i="4"/>
  <c r="N627" i="4" s="1"/>
  <c r="M628" i="4"/>
  <c r="N628" i="4" s="1"/>
  <c r="M629" i="4"/>
  <c r="N629" i="4" s="1"/>
  <c r="M630" i="4"/>
  <c r="N630" i="4" s="1"/>
  <c r="M631" i="4"/>
  <c r="N631" i="4" s="1"/>
  <c r="M632" i="4"/>
  <c r="N632" i="4" s="1"/>
  <c r="M633" i="4"/>
  <c r="N633" i="4" s="1"/>
  <c r="M634" i="4"/>
  <c r="N634" i="4" s="1"/>
  <c r="M635" i="4"/>
  <c r="N635" i="4" s="1"/>
  <c r="M636" i="4"/>
  <c r="N636" i="4" s="1"/>
  <c r="M637" i="4"/>
  <c r="N637" i="4" s="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F34" i="11"/>
  <c r="F35" i="11"/>
  <c r="F36" i="11"/>
  <c r="F37" i="11"/>
  <c r="F38" i="11"/>
  <c r="F39" i="11"/>
  <c r="F40" i="11"/>
  <c r="F41" i="11"/>
  <c r="F42" i="11"/>
  <c r="F43" i="11"/>
  <c r="F44" i="11"/>
  <c r="F45" i="11"/>
  <c r="F46" i="11"/>
  <c r="F596" i="4"/>
  <c r="F597" i="4"/>
  <c r="F599" i="4"/>
  <c r="F600" i="4"/>
  <c r="F602" i="4"/>
  <c r="F603" i="4"/>
  <c r="F605" i="4"/>
  <c r="O605" i="4" s="1"/>
  <c r="F606" i="4"/>
  <c r="F607" i="4"/>
  <c r="F608" i="4"/>
  <c r="F609" i="4"/>
  <c r="F610" i="4"/>
  <c r="F611" i="4"/>
  <c r="F614" i="4"/>
  <c r="F615" i="4"/>
  <c r="F616" i="4"/>
  <c r="F617" i="4"/>
  <c r="O617" i="4" s="1"/>
  <c r="F618" i="4"/>
  <c r="F619" i="4"/>
  <c r="F620" i="4"/>
  <c r="F621" i="4"/>
  <c r="F622" i="4"/>
  <c r="F623" i="4"/>
  <c r="F624" i="4"/>
  <c r="F625" i="4"/>
  <c r="F626" i="4"/>
  <c r="F627" i="4"/>
  <c r="F629" i="4"/>
  <c r="O629" i="4" s="1"/>
  <c r="F630" i="4"/>
  <c r="F762" i="1"/>
  <c r="O762" i="1" s="1"/>
  <c r="F764" i="1"/>
  <c r="O764" i="1" s="1"/>
  <c r="F766" i="1"/>
  <c r="O766" i="1" s="1"/>
  <c r="F767" i="1"/>
  <c r="F768" i="1"/>
  <c r="F769" i="1"/>
  <c r="O769" i="1" s="1"/>
  <c r="F770" i="1"/>
  <c r="O770" i="1" s="1"/>
  <c r="F772" i="1"/>
  <c r="F774" i="1"/>
  <c r="O774" i="1" s="1"/>
  <c r="F776" i="1"/>
  <c r="F777" i="1"/>
  <c r="O777" i="1" s="1"/>
  <c r="F778" i="1"/>
  <c r="O778" i="1" s="1"/>
  <c r="F779" i="1"/>
  <c r="O779" i="1" s="1"/>
  <c r="F780" i="1"/>
  <c r="O780" i="1" s="1"/>
  <c r="F561" i="4"/>
  <c r="F562" i="4"/>
  <c r="O562" i="4" s="1"/>
  <c r="F563" i="4"/>
  <c r="F564" i="4"/>
  <c r="F565" i="4"/>
  <c r="F566" i="4"/>
  <c r="F567" i="4"/>
  <c r="F568" i="4"/>
  <c r="F569" i="4"/>
  <c r="O569" i="4" s="1"/>
  <c r="F570" i="4"/>
  <c r="O570" i="4" s="1"/>
  <c r="F571" i="4"/>
  <c r="O571" i="4" s="1"/>
  <c r="F572" i="4"/>
  <c r="F573" i="4"/>
  <c r="F574" i="4"/>
  <c r="O574" i="4" s="1"/>
  <c r="F575" i="4"/>
  <c r="F576" i="4"/>
  <c r="F577" i="4"/>
  <c r="F578" i="4"/>
  <c r="F580" i="4"/>
  <c r="F581" i="4"/>
  <c r="F582" i="4"/>
  <c r="F583" i="4"/>
  <c r="F584" i="4"/>
  <c r="F585" i="4"/>
  <c r="F586" i="4"/>
  <c r="F587" i="4"/>
  <c r="F588" i="4"/>
  <c r="F589" i="4"/>
  <c r="F590" i="4"/>
  <c r="F591" i="4"/>
  <c r="F593" i="4"/>
  <c r="F594" i="4"/>
  <c r="F595" i="4"/>
  <c r="F748" i="1"/>
  <c r="F749" i="1"/>
  <c r="F750" i="1"/>
  <c r="O750" i="1" s="1"/>
  <c r="F751" i="1"/>
  <c r="F752" i="1"/>
  <c r="F753" i="1"/>
  <c r="F754" i="1"/>
  <c r="O754" i="1" s="1"/>
  <c r="F755" i="1"/>
  <c r="O755" i="1" s="1"/>
  <c r="F758" i="1"/>
  <c r="O758" i="1" s="1"/>
  <c r="F759" i="1"/>
  <c r="O759" i="1" s="1"/>
  <c r="F5" i="4"/>
  <c r="O5" i="4" s="1"/>
  <c r="F533" i="4"/>
  <c r="O533" i="4" s="1"/>
  <c r="F550" i="4"/>
  <c r="F556" i="4"/>
  <c r="F502" i="4"/>
  <c r="O502" i="4" s="1"/>
  <c r="F535" i="4"/>
  <c r="F509" i="4"/>
  <c r="F518" i="4"/>
  <c r="F554" i="4"/>
  <c r="F519" i="4"/>
  <c r="F520" i="4"/>
  <c r="F521" i="4"/>
  <c r="F544" i="4"/>
  <c r="O544" i="4" s="1"/>
  <c r="F543" i="4"/>
  <c r="F506" i="4"/>
  <c r="F536" i="4"/>
  <c r="F522" i="4"/>
  <c r="F537" i="4"/>
  <c r="F523" i="4"/>
  <c r="F524" i="4"/>
  <c r="F526" i="4"/>
  <c r="F527" i="4"/>
  <c r="F505" i="4"/>
  <c r="F510" i="4"/>
  <c r="F528" i="4"/>
  <c r="F548" i="4"/>
  <c r="F530" i="4"/>
  <c r="F532" i="4"/>
  <c r="F513" i="4"/>
  <c r="F514" i="4"/>
  <c r="F362" i="4"/>
  <c r="F507" i="4"/>
  <c r="F525" i="4"/>
  <c r="F500" i="4"/>
  <c r="F515" i="4"/>
  <c r="F508" i="4"/>
  <c r="F529" i="4"/>
  <c r="F516" i="4"/>
  <c r="F531" i="4"/>
  <c r="F517" i="4"/>
  <c r="F511" i="4"/>
  <c r="F534" i="4"/>
  <c r="F512" i="4"/>
  <c r="F503" i="4"/>
  <c r="F449" i="4"/>
  <c r="F538" i="4"/>
  <c r="F539" i="4"/>
  <c r="F540" i="4"/>
  <c r="F541" i="4"/>
  <c r="F542" i="4"/>
  <c r="F498" i="4"/>
  <c r="F504" i="4"/>
  <c r="F545" i="4"/>
  <c r="O545" i="4" s="1"/>
  <c r="F546" i="4"/>
  <c r="F547" i="4"/>
  <c r="F496" i="4"/>
  <c r="F549" i="4"/>
  <c r="F497" i="4"/>
  <c r="F551" i="4"/>
  <c r="F463" i="4"/>
  <c r="F553" i="4"/>
  <c r="F487" i="4"/>
  <c r="F555" i="4"/>
  <c r="F470" i="4"/>
  <c r="F557" i="4"/>
  <c r="O557" i="4" s="1"/>
  <c r="F558" i="4"/>
  <c r="F559" i="4"/>
  <c r="F560" i="4"/>
  <c r="F192" i="1"/>
  <c r="O192" i="1" s="1"/>
  <c r="F167" i="1"/>
  <c r="O167" i="1" s="1"/>
  <c r="F373" i="1"/>
  <c r="F113" i="1"/>
  <c r="O113" i="1" s="1"/>
  <c r="F250" i="1"/>
  <c r="O250" i="1" s="1"/>
  <c r="F312" i="1"/>
  <c r="F636" i="1"/>
  <c r="F687" i="1"/>
  <c r="F195" i="1"/>
  <c r="O195" i="1" s="1"/>
  <c r="F646" i="1"/>
  <c r="O646" i="1" s="1"/>
  <c r="F610" i="1"/>
  <c r="F242" i="1"/>
  <c r="O242" i="1" s="1"/>
  <c r="F635" i="1"/>
  <c r="O635" i="1" s="1"/>
  <c r="F735" i="1"/>
  <c r="F741" i="1"/>
  <c r="F742" i="1"/>
  <c r="O742" i="1" s="1"/>
  <c r="F739" i="1"/>
  <c r="O739" i="1" s="1"/>
  <c r="F740" i="1"/>
  <c r="F737" i="1"/>
  <c r="F743" i="1"/>
  <c r="O743" i="1" s="1"/>
  <c r="F744" i="1"/>
  <c r="O744" i="1" s="1"/>
  <c r="F745" i="1"/>
  <c r="O745" i="1" s="1"/>
  <c r="F746" i="1"/>
  <c r="O746" i="1" s="1"/>
  <c r="F731" i="1"/>
  <c r="O731" i="1" s="1"/>
  <c r="F732" i="1"/>
  <c r="O732" i="1" s="1"/>
  <c r="F733" i="1"/>
  <c r="O733" i="1" s="1"/>
  <c r="F734" i="1"/>
  <c r="O734" i="1" s="1"/>
  <c r="F729" i="1"/>
  <c r="O729" i="1" s="1"/>
  <c r="F730" i="1"/>
  <c r="O730" i="1" s="1"/>
  <c r="F747" i="1"/>
  <c r="O747" i="1" s="1"/>
  <c r="F738" i="1"/>
  <c r="O738" i="1" s="1"/>
  <c r="F2" i="1"/>
  <c r="O2" i="1" s="1"/>
  <c r="F3" i="1"/>
  <c r="O3" i="1" s="1"/>
  <c r="F4" i="1"/>
  <c r="O4" i="1" s="1"/>
  <c r="F5" i="1"/>
  <c r="O5" i="1" s="1"/>
  <c r="F6" i="1"/>
  <c r="O6" i="1" s="1"/>
  <c r="F7" i="1"/>
  <c r="O7" i="1" s="1"/>
  <c r="F481" i="4"/>
  <c r="F482" i="4"/>
  <c r="F488" i="4"/>
  <c r="O488" i="4" s="1"/>
  <c r="F492" i="4"/>
  <c r="F493" i="4"/>
  <c r="F494" i="4"/>
  <c r="F501" i="4"/>
  <c r="F245" i="1"/>
  <c r="O245" i="1" s="1"/>
  <c r="F314" i="1"/>
  <c r="O314" i="1" s="1"/>
  <c r="F411" i="1"/>
  <c r="O411" i="1" s="1"/>
  <c r="F412" i="1"/>
  <c r="F301" i="1"/>
  <c r="O301" i="1" s="1"/>
  <c r="F315" i="1"/>
  <c r="O315" i="1" s="1"/>
  <c r="F244" i="1"/>
  <c r="F637" i="1"/>
  <c r="F499" i="4"/>
  <c r="F495" i="4"/>
  <c r="F491" i="4"/>
  <c r="F490" i="4"/>
  <c r="O490" i="4" s="1"/>
  <c r="F489" i="4"/>
  <c r="F486" i="4"/>
  <c r="F485" i="4"/>
  <c r="F484" i="4"/>
  <c r="F483" i="4"/>
  <c r="F480" i="4"/>
  <c r="F479" i="4"/>
  <c r="F478" i="4"/>
  <c r="F477" i="4"/>
  <c r="F476" i="4"/>
  <c r="O476" i="4" s="1"/>
  <c r="F475" i="4"/>
  <c r="F474" i="4"/>
  <c r="F473" i="4"/>
  <c r="O473" i="4" s="1"/>
  <c r="F472" i="4"/>
  <c r="F471" i="4"/>
  <c r="F469" i="4"/>
  <c r="F468" i="4"/>
  <c r="F467" i="4"/>
  <c r="F466" i="4"/>
  <c r="F465" i="4"/>
  <c r="F464" i="4"/>
  <c r="O464" i="4" s="1"/>
  <c r="F552" i="4"/>
  <c r="F462" i="4"/>
  <c r="F461" i="4"/>
  <c r="F460" i="4"/>
  <c r="O460" i="4" s="1"/>
  <c r="F459" i="4"/>
  <c r="F458" i="4"/>
  <c r="F457" i="4"/>
  <c r="F456" i="4"/>
  <c r="F455" i="4"/>
  <c r="F454" i="4"/>
  <c r="F453" i="4"/>
  <c r="F452" i="4"/>
  <c r="O452" i="4" s="1"/>
  <c r="F451" i="4"/>
  <c r="O451" i="4" s="1"/>
  <c r="F450" i="4"/>
  <c r="F448" i="4"/>
  <c r="F447" i="4"/>
  <c r="F446" i="4"/>
  <c r="F445" i="4"/>
  <c r="F444" i="4"/>
  <c r="F443" i="4"/>
  <c r="F442" i="4"/>
  <c r="F441" i="4"/>
  <c r="F440" i="4"/>
  <c r="O440" i="4" s="1"/>
  <c r="F439" i="4"/>
  <c r="O439" i="4" s="1"/>
  <c r="F438" i="4"/>
  <c r="F437" i="4"/>
  <c r="O437" i="4" s="1"/>
  <c r="F436" i="4"/>
  <c r="F435" i="4"/>
  <c r="F434" i="4"/>
  <c r="F433" i="4"/>
  <c r="F432" i="4"/>
  <c r="F431" i="4"/>
  <c r="F430" i="4"/>
  <c r="F429" i="4"/>
  <c r="F428" i="4"/>
  <c r="O428" i="4" s="1"/>
  <c r="F427" i="4"/>
  <c r="O427" i="4" s="1"/>
  <c r="F426" i="4"/>
  <c r="F511" i="1"/>
  <c r="F259" i="1"/>
  <c r="O259" i="1" s="1"/>
  <c r="F278" i="1"/>
  <c r="O278" i="1" s="1"/>
  <c r="F293" i="1"/>
  <c r="O293" i="1" s="1"/>
  <c r="F599" i="1"/>
  <c r="F399" i="1"/>
  <c r="F343" i="1"/>
  <c r="O343" i="1" s="1"/>
  <c r="F512" i="1"/>
  <c r="F513" i="1"/>
  <c r="F212" i="1"/>
  <c r="O212" i="1" s="1"/>
  <c r="F235" i="1"/>
  <c r="O235" i="1" s="1"/>
  <c r="F200" i="1"/>
  <c r="F514" i="1"/>
  <c r="O514" i="1" s="1"/>
  <c r="F600" i="1"/>
  <c r="F279" i="1"/>
  <c r="O279" i="1" s="1"/>
  <c r="F601" i="1"/>
  <c r="O601" i="1" s="1"/>
  <c r="F515" i="1"/>
  <c r="O515" i="1" s="1"/>
  <c r="F193" i="1"/>
  <c r="O193" i="1" s="1"/>
  <c r="F602" i="1"/>
  <c r="O602" i="1" s="1"/>
  <c r="F236" i="1"/>
  <c r="F135" i="1"/>
  <c r="O135" i="1" s="1"/>
  <c r="F400" i="1"/>
  <c r="F111" i="1"/>
  <c r="O111" i="1" s="1"/>
  <c r="F410" i="1"/>
  <c r="O410" i="1" s="1"/>
  <c r="F659" i="1"/>
  <c r="O659" i="1" s="1"/>
  <c r="F431" i="1"/>
  <c r="O431" i="1" s="1"/>
  <c r="F324" i="1"/>
  <c r="O324" i="1" s="1"/>
  <c r="F325" i="1"/>
  <c r="O325" i="1" s="1"/>
  <c r="F326" i="1"/>
  <c r="O326" i="1" s="1"/>
  <c r="F327" i="1"/>
  <c r="F190" i="1"/>
  <c r="O190" i="1" s="1"/>
  <c r="F118" i="1"/>
  <c r="O118" i="1" s="1"/>
  <c r="F340" i="1"/>
  <c r="F660" i="1"/>
  <c r="F665" i="1"/>
  <c r="O665" i="1" s="1"/>
  <c r="F370" i="1"/>
  <c r="O370" i="1" s="1"/>
  <c r="F257" i="1"/>
  <c r="O257" i="1" s="1"/>
  <c r="F271" i="1"/>
  <c r="F382" i="1"/>
  <c r="O382" i="1" s="1"/>
  <c r="F671" i="1"/>
  <c r="O671" i="1" s="1"/>
  <c r="F603" i="1"/>
  <c r="O603" i="1" s="1"/>
  <c r="F604" i="1"/>
  <c r="F272" i="1"/>
  <c r="O272" i="1" s="1"/>
  <c r="F237" i="1"/>
  <c r="O237" i="1" s="1"/>
  <c r="F255" i="1"/>
  <c r="O255" i="1" s="1"/>
  <c r="F254" i="1"/>
  <c r="O254" i="1" s="1"/>
  <c r="F294" i="1"/>
  <c r="O294" i="1" s="1"/>
  <c r="F299" i="1"/>
  <c r="O299" i="1" s="1"/>
  <c r="F263" i="1"/>
  <c r="F672" i="1"/>
  <c r="F222" i="1"/>
  <c r="O222" i="1" s="1"/>
  <c r="F253" i="1"/>
  <c r="O253" i="1" s="1"/>
  <c r="F351" i="1"/>
  <c r="O351" i="1" s="1"/>
  <c r="F352" i="1"/>
  <c r="F280" i="1"/>
  <c r="O280" i="1" s="1"/>
  <c r="F194" i="1"/>
  <c r="O194" i="1" s="1"/>
  <c r="F201" i="1"/>
  <c r="O201" i="1" s="1"/>
  <c r="F516" i="1"/>
  <c r="F180" i="1"/>
  <c r="O180" i="1" s="1"/>
  <c r="F605" i="1"/>
  <c r="F362" i="1"/>
  <c r="O362" i="1" s="1"/>
  <c r="F606" i="1"/>
  <c r="O606" i="1" s="1"/>
  <c r="F371" i="1"/>
  <c r="O371" i="1" s="1"/>
  <c r="F372" i="1"/>
  <c r="O372" i="1" s="1"/>
  <c r="F224" i="1"/>
  <c r="F300" i="1"/>
  <c r="F305" i="1"/>
  <c r="O305" i="1" s="1"/>
  <c r="F281" i="1"/>
  <c r="O281" i="1" s="1"/>
  <c r="F249" i="1"/>
  <c r="O249" i="1" s="1"/>
  <c r="F432" i="1"/>
  <c r="F433" i="1"/>
  <c r="O433" i="1" s="1"/>
  <c r="F463" i="1"/>
  <c r="O463" i="1" s="1"/>
  <c r="F464" i="1"/>
  <c r="F173" i="1"/>
  <c r="O173" i="1" s="1"/>
  <c r="F517" i="1"/>
  <c r="O517" i="1" s="1"/>
  <c r="F518" i="1"/>
  <c r="O518" i="1" s="1"/>
  <c r="F303" i="1"/>
  <c r="O303" i="1" s="1"/>
  <c r="F174" i="1"/>
  <c r="O174" i="1" s="1"/>
  <c r="F465" i="1"/>
  <c r="O465" i="1" s="1"/>
  <c r="F466" i="1"/>
  <c r="O466" i="1" s="1"/>
  <c r="F467" i="1"/>
  <c r="O467" i="1" s="1"/>
  <c r="F468" i="1"/>
  <c r="F182" i="1"/>
  <c r="O182" i="1" s="1"/>
  <c r="F519" i="1"/>
  <c r="O519" i="1" s="1"/>
  <c r="F238" i="1"/>
  <c r="O238" i="1" s="1"/>
  <c r="F243" i="1"/>
  <c r="O243" i="1" s="1"/>
  <c r="F306" i="1"/>
  <c r="O306" i="1" s="1"/>
  <c r="F307" i="1"/>
  <c r="O307" i="1" s="1"/>
  <c r="F607" i="1"/>
  <c r="F469" i="1"/>
  <c r="O469" i="1" s="1"/>
  <c r="F181" i="1"/>
  <c r="O181" i="1" s="1"/>
  <c r="F302" i="1"/>
  <c r="O302" i="1" s="1"/>
  <c r="F304" i="1"/>
  <c r="F311" i="1"/>
  <c r="F308" i="1"/>
  <c r="O308" i="1" s="1"/>
  <c r="F309" i="1"/>
  <c r="O309" i="1" s="1"/>
  <c r="F310" i="1"/>
  <c r="O310" i="1" s="1"/>
  <c r="F191" i="1"/>
  <c r="O191" i="1" s="1"/>
  <c r="F608" i="1"/>
  <c r="O608" i="1" s="1"/>
  <c r="F609" i="1"/>
  <c r="O609" i="1" s="1"/>
  <c r="F673" i="1"/>
  <c r="O673" i="1" s="1"/>
  <c r="F246" i="1"/>
  <c r="O246" i="1" s="1"/>
  <c r="F313" i="1"/>
  <c r="O313" i="1" s="1"/>
  <c r="F223" i="1"/>
  <c r="O223" i="1" s="1"/>
  <c r="F642" i="1"/>
  <c r="F557" i="1"/>
  <c r="F404" i="4"/>
  <c r="O404" i="4" s="1"/>
  <c r="F405" i="4"/>
  <c r="F406" i="4"/>
  <c r="F407" i="4"/>
  <c r="F408" i="4"/>
  <c r="F409" i="4"/>
  <c r="F410" i="4"/>
  <c r="F411" i="4"/>
  <c r="F412" i="4"/>
  <c r="F413" i="4"/>
  <c r="F414" i="4"/>
  <c r="F415" i="4"/>
  <c r="O415" i="4" s="1"/>
  <c r="F416" i="4"/>
  <c r="O416" i="4" s="1"/>
  <c r="F417" i="4"/>
  <c r="F418" i="4"/>
  <c r="F419" i="4"/>
  <c r="F420" i="4"/>
  <c r="F421" i="4"/>
  <c r="F422" i="4"/>
  <c r="F423" i="4"/>
  <c r="F424" i="4"/>
  <c r="F425" i="4"/>
  <c r="F510" i="1"/>
  <c r="O510" i="1" s="1"/>
  <c r="F587" i="1"/>
  <c r="O587" i="1" s="1"/>
  <c r="F588" i="1"/>
  <c r="O588" i="1" s="1"/>
  <c r="F685" i="1"/>
  <c r="F589" i="1"/>
  <c r="F211" i="1"/>
  <c r="O211" i="1" s="1"/>
  <c r="F198" i="1"/>
  <c r="O198" i="1" s="1"/>
  <c r="F727" i="1"/>
  <c r="O727" i="1" s="1"/>
  <c r="F686" i="1"/>
  <c r="O686" i="1" s="1"/>
  <c r="F199" i="1"/>
  <c r="O199" i="1" s="1"/>
  <c r="F684" i="1"/>
  <c r="O684" i="1" s="1"/>
  <c r="F277" i="1"/>
  <c r="O277" i="1" s="1"/>
  <c r="F597" i="1"/>
  <c r="F248" i="1"/>
  <c r="F590" i="1"/>
  <c r="O590" i="1" s="1"/>
  <c r="F598" i="1"/>
  <c r="O598" i="1" s="1"/>
  <c r="F591" i="1"/>
  <c r="F592" i="1"/>
  <c r="F593" i="1"/>
  <c r="O593" i="1" s="1"/>
  <c r="F594" i="1"/>
  <c r="O594" i="1" s="1"/>
  <c r="F595" i="1"/>
  <c r="O595" i="1" s="1"/>
  <c r="F728" i="1"/>
  <c r="F596" i="1"/>
  <c r="O596" i="1" s="1"/>
  <c r="F270" i="1"/>
  <c r="O270" i="1" s="1"/>
  <c r="F634" i="1"/>
  <c r="F33" i="11"/>
  <c r="F375" i="4"/>
  <c r="F376" i="4"/>
  <c r="O376" i="4" s="1"/>
  <c r="F377" i="4"/>
  <c r="O377" i="4" s="1"/>
  <c r="F378" i="4"/>
  <c r="F379" i="4"/>
  <c r="O379" i="4" s="1"/>
  <c r="F380" i="4"/>
  <c r="O380" i="4" s="1"/>
  <c r="F381" i="4"/>
  <c r="F382" i="4"/>
  <c r="F383" i="4"/>
  <c r="F384" i="4"/>
  <c r="F385" i="4"/>
  <c r="F386" i="4"/>
  <c r="F387" i="4"/>
  <c r="F388" i="4"/>
  <c r="O388" i="4" s="1"/>
  <c r="F389" i="4"/>
  <c r="O389" i="4" s="1"/>
  <c r="F390" i="4"/>
  <c r="F391" i="4"/>
  <c r="O391" i="4" s="1"/>
  <c r="F392" i="4"/>
  <c r="O392" i="4" s="1"/>
  <c r="F393" i="4"/>
  <c r="F394" i="4"/>
  <c r="F395" i="4"/>
  <c r="F396" i="4"/>
  <c r="F397" i="4"/>
  <c r="F398" i="4"/>
  <c r="F399" i="4"/>
  <c r="F400" i="4"/>
  <c r="O400" i="4" s="1"/>
  <c r="F401" i="4"/>
  <c r="O401" i="4" s="1"/>
  <c r="F402" i="4"/>
  <c r="F403" i="4"/>
  <c r="O403" i="4" s="1"/>
  <c r="F221" i="1"/>
  <c r="O221" i="1" s="1"/>
  <c r="F276" i="1"/>
  <c r="F628" i="1"/>
  <c r="F629" i="1"/>
  <c r="O629" i="1" s="1"/>
  <c r="F584" i="1"/>
  <c r="F505" i="1"/>
  <c r="O505" i="1" s="1"/>
  <c r="F692" i="1"/>
  <c r="F630" i="1"/>
  <c r="O630" i="1" s="1"/>
  <c r="F121" i="1"/>
  <c r="O121" i="1" s="1"/>
  <c r="F262" i="1"/>
  <c r="O262" i="1" s="1"/>
  <c r="F631" i="1"/>
  <c r="O631" i="1" s="1"/>
  <c r="F632" i="1"/>
  <c r="O632" i="1" s="1"/>
  <c r="F159" i="1"/>
  <c r="O159" i="1" s="1"/>
  <c r="F633" i="1"/>
  <c r="O633" i="1" s="1"/>
  <c r="F506" i="1"/>
  <c r="O506" i="1" s="1"/>
  <c r="F702" i="1"/>
  <c r="O702" i="1" s="1"/>
  <c r="F585" i="1"/>
  <c r="O585" i="1" s="1"/>
  <c r="F586" i="1"/>
  <c r="F361" i="1"/>
  <c r="O361" i="1" s="1"/>
  <c r="F507" i="1"/>
  <c r="O507" i="1" s="1"/>
  <c r="F269" i="1"/>
  <c r="O269" i="1" s="1"/>
  <c r="F508" i="1"/>
  <c r="F509" i="1"/>
  <c r="F31" i="11"/>
  <c r="F32" i="11"/>
  <c r="F356" i="4"/>
  <c r="O356" i="4" s="1"/>
  <c r="F357" i="4"/>
  <c r="F358" i="4"/>
  <c r="F359" i="4"/>
  <c r="F360" i="4"/>
  <c r="F361" i="4"/>
  <c r="F363" i="4"/>
  <c r="F364" i="4"/>
  <c r="O364" i="4" s="1"/>
  <c r="F365" i="4"/>
  <c r="O365" i="4" s="1"/>
  <c r="F366" i="4"/>
  <c r="F367" i="4"/>
  <c r="O367" i="4" s="1"/>
  <c r="F368" i="4"/>
  <c r="O368" i="4" s="1"/>
  <c r="F369" i="4"/>
  <c r="F370" i="4"/>
  <c r="F371" i="4"/>
  <c r="F372" i="4"/>
  <c r="F373" i="4"/>
  <c r="F374" i="4"/>
  <c r="F369" i="1"/>
  <c r="O369" i="1" s="1"/>
  <c r="F220" i="1"/>
  <c r="O220" i="1" s="1"/>
  <c r="F578" i="1"/>
  <c r="O578" i="1" s="1"/>
  <c r="F579" i="1"/>
  <c r="O579" i="1" s="1"/>
  <c r="F291" i="1"/>
  <c r="O291" i="1" s="1"/>
  <c r="F292" i="1"/>
  <c r="O292" i="1" s="1"/>
  <c r="F670" i="1"/>
  <c r="O670" i="1" s="1"/>
  <c r="F580" i="1"/>
  <c r="F91" i="1"/>
  <c r="O91" i="1" s="1"/>
  <c r="F275" i="1"/>
  <c r="O275" i="1" s="1"/>
  <c r="F298" i="1"/>
  <c r="O298" i="1" s="1"/>
  <c r="F197" i="1"/>
  <c r="F462" i="1"/>
  <c r="O462" i="1" s="1"/>
  <c r="F103" i="1"/>
  <c r="O103" i="1" s="1"/>
  <c r="F627" i="1"/>
  <c r="O627" i="1" s="1"/>
  <c r="F504" i="1"/>
  <c r="F581" i="1"/>
  <c r="O581" i="1" s="1"/>
  <c r="F189" i="1"/>
  <c r="O189" i="1" s="1"/>
  <c r="F156" i="1"/>
  <c r="O156" i="1" s="1"/>
  <c r="F582" i="1"/>
  <c r="O582" i="1" s="1"/>
  <c r="F583" i="1"/>
  <c r="O583" i="1" s="1"/>
  <c r="F256" i="1"/>
  <c r="O256" i="1" s="1"/>
  <c r="F339" i="4"/>
  <c r="F340" i="4"/>
  <c r="F341" i="4"/>
  <c r="F342" i="4"/>
  <c r="F343" i="4"/>
  <c r="O343" i="4" s="1"/>
  <c r="F344" i="4"/>
  <c r="O344" i="4" s="1"/>
  <c r="F345" i="4"/>
  <c r="F346" i="4"/>
  <c r="F347" i="4"/>
  <c r="F348" i="4"/>
  <c r="F349" i="4"/>
  <c r="F350" i="4"/>
  <c r="F351" i="4"/>
  <c r="F352" i="4"/>
  <c r="F353" i="4"/>
  <c r="F354" i="4"/>
  <c r="F355" i="4"/>
  <c r="O355" i="4" s="1"/>
  <c r="F71" i="1"/>
  <c r="O71" i="1" s="1"/>
  <c r="F29" i="1"/>
  <c r="O29" i="1" s="1"/>
  <c r="F39" i="1"/>
  <c r="O39" i="1" s="1"/>
  <c r="F9" i="1"/>
  <c r="O9" i="1" s="1"/>
  <c r="F219" i="1"/>
  <c r="O219" i="1" s="1"/>
  <c r="F56" i="1"/>
  <c r="O56" i="1" s="1"/>
  <c r="F397" i="1"/>
  <c r="O397" i="1" s="1"/>
  <c r="F188" i="1"/>
  <c r="F460" i="1"/>
  <c r="F398" i="1"/>
  <c r="O398" i="1" s="1"/>
  <c r="F575" i="1"/>
  <c r="O575" i="1" s="1"/>
  <c r="F576" i="1"/>
  <c r="F577" i="1"/>
  <c r="F57" i="1"/>
  <c r="O57" i="1" s="1"/>
  <c r="F503" i="1"/>
  <c r="O503" i="1" s="1"/>
  <c r="F625" i="1"/>
  <c r="F626" i="1"/>
  <c r="O626" i="1" s="1"/>
  <c r="F288" i="1"/>
  <c r="O288" i="1" s="1"/>
  <c r="F289" i="1"/>
  <c r="O289" i="1" s="1"/>
  <c r="F258" i="1"/>
  <c r="O258" i="1" s="1"/>
  <c r="F290" i="1"/>
  <c r="O290" i="1" s="1"/>
  <c r="F297" i="1"/>
  <c r="O297" i="1" s="1"/>
  <c r="F265" i="1"/>
  <c r="O265" i="1" s="1"/>
  <c r="F461" i="1"/>
  <c r="F350" i="1"/>
  <c r="O350" i="1" s="1"/>
  <c r="F23" i="1"/>
  <c r="O23" i="1" s="1"/>
  <c r="F354" i="1"/>
  <c r="O354" i="1" s="1"/>
  <c r="F360" i="1"/>
  <c r="F29" i="11"/>
  <c r="F30" i="11"/>
  <c r="F321" i="4"/>
  <c r="F322" i="4"/>
  <c r="F323" i="4"/>
  <c r="F324" i="4"/>
  <c r="F325" i="4"/>
  <c r="F326" i="4"/>
  <c r="F327" i="4"/>
  <c r="F328" i="4"/>
  <c r="O328" i="4" s="1"/>
  <c r="F329" i="4"/>
  <c r="F330" i="4"/>
  <c r="F331" i="4"/>
  <c r="O331" i="4" s="1"/>
  <c r="F332" i="4"/>
  <c r="O332" i="4" s="1"/>
  <c r="F333" i="4"/>
  <c r="F334" i="4"/>
  <c r="F335" i="4"/>
  <c r="F336" i="4"/>
  <c r="F337" i="4"/>
  <c r="F338" i="4"/>
  <c r="F234" i="1"/>
  <c r="O234" i="1" s="1"/>
  <c r="F22" i="1"/>
  <c r="O22" i="1" s="1"/>
  <c r="F24" i="1"/>
  <c r="F25" i="1"/>
  <c r="O25" i="1" s="1"/>
  <c r="F36" i="1"/>
  <c r="O36" i="1" s="1"/>
  <c r="F37" i="1"/>
  <c r="O37" i="1" s="1"/>
  <c r="F87" i="1"/>
  <c r="O87" i="1" s="1"/>
  <c r="F652" i="1"/>
  <c r="F68" i="1"/>
  <c r="O68" i="1" s="1"/>
  <c r="F458" i="1"/>
  <c r="O458" i="1" s="1"/>
  <c r="F158" i="1"/>
  <c r="O158" i="1" s="1"/>
  <c r="F38" i="1"/>
  <c r="O38" i="1" s="1"/>
  <c r="F132" i="1"/>
  <c r="F55" i="1"/>
  <c r="O55" i="1" s="1"/>
  <c r="F395" i="1"/>
  <c r="O395" i="1" s="1"/>
  <c r="F18" i="1"/>
  <c r="O18" i="1" s="1"/>
  <c r="F187" i="1"/>
  <c r="O187" i="1" s="1"/>
  <c r="F26" i="1"/>
  <c r="O26" i="1" s="1"/>
  <c r="F117" i="1"/>
  <c r="O117" i="1" s="1"/>
  <c r="F624" i="1"/>
  <c r="F396" i="1"/>
  <c r="F137" i="1"/>
  <c r="O137" i="1" s="1"/>
  <c r="F140" i="1"/>
  <c r="O140" i="1" s="1"/>
  <c r="F459" i="1"/>
  <c r="O459" i="1" s="1"/>
  <c r="F70" i="1"/>
  <c r="O70" i="1" s="1"/>
  <c r="F114" i="1"/>
  <c r="O114" i="1" s="1"/>
  <c r="F502" i="1"/>
  <c r="O502" i="1" s="1"/>
  <c r="F24" i="11"/>
  <c r="F25" i="11"/>
  <c r="F26" i="11"/>
  <c r="F27" i="11"/>
  <c r="F28" i="11"/>
  <c r="F296" i="4"/>
  <c r="O296" i="4" s="1"/>
  <c r="F297" i="4"/>
  <c r="F298" i="4"/>
  <c r="O298" i="4" s="1"/>
  <c r="F299" i="4"/>
  <c r="F300" i="4"/>
  <c r="F301" i="4"/>
  <c r="F302" i="4"/>
  <c r="F303" i="4"/>
  <c r="F304" i="4"/>
  <c r="F305" i="4"/>
  <c r="F306" i="4"/>
  <c r="F307" i="4"/>
  <c r="O307" i="4" s="1"/>
  <c r="F308" i="4"/>
  <c r="O308" i="4" s="1"/>
  <c r="F309" i="4"/>
  <c r="F310" i="4"/>
  <c r="O310" i="4" s="1"/>
  <c r="F311" i="4"/>
  <c r="F312" i="4"/>
  <c r="F313" i="4"/>
  <c r="F314" i="4"/>
  <c r="F315" i="4"/>
  <c r="F316" i="4"/>
  <c r="F317" i="4"/>
  <c r="F318" i="4"/>
  <c r="F319" i="4"/>
  <c r="O319" i="4" s="1"/>
  <c r="F320" i="4"/>
  <c r="O320" i="4" s="1"/>
  <c r="F696" i="1"/>
  <c r="O696" i="1" s="1"/>
  <c r="F17" i="1"/>
  <c r="O17" i="1" s="1"/>
  <c r="F233" i="1"/>
  <c r="O233" i="1" s="1"/>
  <c r="F569" i="1"/>
  <c r="F286" i="1"/>
  <c r="O286" i="1" s="1"/>
  <c r="F287" i="1"/>
  <c r="O287" i="1" s="1"/>
  <c r="F570" i="1"/>
  <c r="O570" i="1" s="1"/>
  <c r="F571" i="1"/>
  <c r="O571" i="1" s="1"/>
  <c r="F430" i="1"/>
  <c r="O430" i="1" s="1"/>
  <c r="F496" i="1"/>
  <c r="F497" i="1"/>
  <c r="O497" i="1" s="1"/>
  <c r="F498" i="1"/>
  <c r="O498" i="1" s="1"/>
  <c r="F499" i="1"/>
  <c r="O499" i="1" s="1"/>
  <c r="F500" i="1"/>
  <c r="O500" i="1" s="1"/>
  <c r="F572" i="1"/>
  <c r="F573" i="1"/>
  <c r="O573" i="1" s="1"/>
  <c r="F574" i="1"/>
  <c r="O574" i="1" s="1"/>
  <c r="F67" i="1"/>
  <c r="O67" i="1" s="1"/>
  <c r="F35" i="1"/>
  <c r="O35" i="1" s="1"/>
  <c r="F54" i="1"/>
  <c r="O54" i="1" s="1"/>
  <c r="F13" i="1"/>
  <c r="O13" i="1" s="1"/>
  <c r="F683" i="1"/>
  <c r="O683" i="1" s="1"/>
  <c r="F381" i="1"/>
  <c r="F501" i="1"/>
  <c r="O501" i="1" s="1"/>
  <c r="F23" i="11"/>
  <c r="F278" i="4"/>
  <c r="F279" i="4"/>
  <c r="F280" i="4"/>
  <c r="O280" i="4" s="1"/>
  <c r="F281" i="4"/>
  <c r="O281" i="4" s="1"/>
  <c r="F282" i="4"/>
  <c r="F283" i="4"/>
  <c r="O283" i="4" s="1"/>
  <c r="F284" i="4"/>
  <c r="O284" i="4" s="1"/>
  <c r="F285" i="4"/>
  <c r="F286" i="4"/>
  <c r="F287" i="4"/>
  <c r="F288" i="4"/>
  <c r="F289" i="4"/>
  <c r="F290" i="4"/>
  <c r="F291" i="4"/>
  <c r="F292" i="4"/>
  <c r="O292" i="4" s="1"/>
  <c r="F293" i="4"/>
  <c r="O293" i="4" s="1"/>
  <c r="F294" i="4"/>
  <c r="F295" i="4"/>
  <c r="O295" i="4" s="1"/>
  <c r="F736" i="1"/>
  <c r="F494" i="1"/>
  <c r="O494" i="1" s="1"/>
  <c r="F457" i="1"/>
  <c r="O457" i="1" s="1"/>
  <c r="F495" i="1"/>
  <c r="F53" i="1"/>
  <c r="O53" i="1" s="1"/>
  <c r="F644" i="1"/>
  <c r="O644" i="1" s="1"/>
  <c r="F86" i="1"/>
  <c r="O86" i="1" s="1"/>
  <c r="F658" i="1"/>
  <c r="O658" i="1" s="1"/>
  <c r="F567" i="1"/>
  <c r="F93" i="1"/>
  <c r="O93" i="1" s="1"/>
  <c r="F209" i="1"/>
  <c r="O209" i="1" s="1"/>
  <c r="F285" i="1"/>
  <c r="F568" i="1"/>
  <c r="F110" i="1"/>
  <c r="O110" i="1" s="1"/>
  <c r="F210" i="1"/>
  <c r="O210" i="1" s="1"/>
  <c r="F155" i="1"/>
  <c r="O155" i="1" s="1"/>
  <c r="F22" i="11"/>
  <c r="F266" i="4"/>
  <c r="F267" i="4"/>
  <c r="F268" i="4"/>
  <c r="O268" i="4" s="1"/>
  <c r="F269" i="4"/>
  <c r="F270" i="4"/>
  <c r="F271" i="4"/>
  <c r="O271" i="4" s="1"/>
  <c r="F272" i="4"/>
  <c r="O272" i="4" s="1"/>
  <c r="F273" i="4"/>
  <c r="F274" i="4"/>
  <c r="F275" i="4"/>
  <c r="F276" i="4"/>
  <c r="F277" i="4"/>
  <c r="F77" i="1"/>
  <c r="O77" i="1" s="1"/>
  <c r="F274" i="1"/>
  <c r="O274" i="1" s="1"/>
  <c r="F171" i="1"/>
  <c r="O171" i="1" s="1"/>
  <c r="F166" i="1"/>
  <c r="O166" i="1" s="1"/>
  <c r="F284" i="1"/>
  <c r="O284" i="1" s="1"/>
  <c r="F565" i="1"/>
  <c r="O565" i="1" s="1"/>
  <c r="F65" i="1"/>
  <c r="O65" i="1" s="1"/>
  <c r="F296" i="1"/>
  <c r="F429" i="1"/>
  <c r="O429" i="1" s="1"/>
  <c r="F66" i="1"/>
  <c r="O66" i="1" s="1"/>
  <c r="F186" i="1"/>
  <c r="O186" i="1" s="1"/>
  <c r="F241" i="1"/>
  <c r="O241" i="1" s="1"/>
  <c r="F150" i="1"/>
  <c r="O150" i="1" s="1"/>
  <c r="F566" i="1"/>
  <c r="O566" i="1" s="1"/>
  <c r="F145" i="1"/>
  <c r="O145" i="1" s="1"/>
  <c r="F654" i="1"/>
  <c r="O654" i="1" s="1"/>
  <c r="F232" i="1"/>
  <c r="O232" i="1" s="1"/>
  <c r="F79" i="1"/>
  <c r="O79" i="1" s="1"/>
  <c r="F120" i="1"/>
  <c r="F493" i="1"/>
  <c r="F161" i="1"/>
  <c r="O161" i="1" s="1"/>
  <c r="F95" i="1"/>
  <c r="O95" i="1" s="1"/>
  <c r="F250" i="4"/>
  <c r="F251" i="4"/>
  <c r="F252" i="4"/>
  <c r="F253" i="4"/>
  <c r="F254" i="4"/>
  <c r="F255" i="4"/>
  <c r="F256" i="4"/>
  <c r="O256" i="4" s="1"/>
  <c r="F257" i="4"/>
  <c r="F258" i="4"/>
  <c r="F259" i="4"/>
  <c r="O259" i="4" s="1"/>
  <c r="F260" i="4"/>
  <c r="O260" i="4" s="1"/>
  <c r="F261" i="4"/>
  <c r="F262" i="4"/>
  <c r="F263" i="4"/>
  <c r="F264" i="4"/>
  <c r="F265" i="4"/>
  <c r="F50" i="1"/>
  <c r="O50" i="1" s="1"/>
  <c r="F368" i="1"/>
  <c r="F51" i="1"/>
  <c r="O51" i="1" s="1"/>
  <c r="F723" i="1"/>
  <c r="O723" i="1" s="1"/>
  <c r="F710" i="1"/>
  <c r="O710" i="1" s="1"/>
  <c r="F63" i="1"/>
  <c r="O63" i="1" s="1"/>
  <c r="F409" i="1"/>
  <c r="O409" i="1" s="1"/>
  <c r="F268" i="1"/>
  <c r="O268" i="1" s="1"/>
  <c r="F428" i="1"/>
  <c r="F52" i="1"/>
  <c r="O52" i="1" s="1"/>
  <c r="F170" i="1"/>
  <c r="O170" i="1" s="1"/>
  <c r="F708" i="1"/>
  <c r="F64" i="1"/>
  <c r="F456" i="1"/>
  <c r="F622" i="1"/>
  <c r="O622" i="1" s="1"/>
  <c r="F98" i="1"/>
  <c r="O98" i="1" s="1"/>
  <c r="F230" i="1"/>
  <c r="O230" i="1" s="1"/>
  <c r="F231" i="1"/>
  <c r="O231" i="1" s="1"/>
  <c r="F96" i="1"/>
  <c r="O96" i="1" s="1"/>
  <c r="F218" i="1"/>
  <c r="O218" i="1" s="1"/>
  <c r="F163" i="1"/>
  <c r="O163" i="1" s="1"/>
  <c r="F623" i="1"/>
  <c r="F179" i="1"/>
  <c r="O179" i="1" s="1"/>
  <c r="F19" i="11"/>
  <c r="F20" i="11"/>
  <c r="F21" i="11"/>
  <c r="F222" i="4"/>
  <c r="F223" i="4"/>
  <c r="O223" i="4" s="1"/>
  <c r="F224" i="4"/>
  <c r="O224" i="4" s="1"/>
  <c r="F225" i="4"/>
  <c r="F226" i="4"/>
  <c r="F227" i="4"/>
  <c r="F228" i="4"/>
  <c r="F229" i="4"/>
  <c r="F230" i="4"/>
  <c r="F231" i="4"/>
  <c r="F232" i="4"/>
  <c r="O232" i="4" s="1"/>
  <c r="F233" i="4"/>
  <c r="F234" i="4"/>
  <c r="F235" i="4"/>
  <c r="O235" i="4" s="1"/>
  <c r="F236" i="4"/>
  <c r="O236" i="4" s="1"/>
  <c r="F237" i="4"/>
  <c r="F238" i="4"/>
  <c r="F239" i="4"/>
  <c r="F240" i="4"/>
  <c r="F241" i="4"/>
  <c r="F242" i="4"/>
  <c r="F243" i="4"/>
  <c r="F244" i="4"/>
  <c r="O244" i="4" s="1"/>
  <c r="F245" i="4"/>
  <c r="F246" i="4"/>
  <c r="F247" i="4"/>
  <c r="O247" i="4" s="1"/>
  <c r="F248" i="4"/>
  <c r="O248" i="4" s="1"/>
  <c r="F249" i="4"/>
  <c r="F707" i="1"/>
  <c r="O707" i="1" s="1"/>
  <c r="F491" i="1"/>
  <c r="O491" i="1" s="1"/>
  <c r="F640" i="1"/>
  <c r="F454" i="1"/>
  <c r="O454" i="1" s="1"/>
  <c r="F62" i="1"/>
  <c r="O62" i="1" s="1"/>
  <c r="F560" i="1"/>
  <c r="F561" i="1"/>
  <c r="O561" i="1" s="1"/>
  <c r="F704" i="1"/>
  <c r="F316" i="1"/>
  <c r="O316" i="1" s="1"/>
  <c r="F165" i="1"/>
  <c r="O165" i="1" s="1"/>
  <c r="F142" i="1"/>
  <c r="O142" i="1" s="1"/>
  <c r="F657" i="1"/>
  <c r="O657" i="1" s="1"/>
  <c r="F84" i="1"/>
  <c r="O84" i="1" s="1"/>
  <c r="F492" i="1"/>
  <c r="F621" i="1"/>
  <c r="F178" i="1"/>
  <c r="O178" i="1" s="1"/>
  <c r="F49" i="1"/>
  <c r="O49" i="1" s="1"/>
  <c r="F134" i="1"/>
  <c r="O134" i="1" s="1"/>
  <c r="F206" i="1"/>
  <c r="O206" i="1" s="1"/>
  <c r="F144" i="1"/>
  <c r="F207" i="1"/>
  <c r="O207" i="1" s="1"/>
  <c r="F562" i="1"/>
  <c r="O562" i="1" s="1"/>
  <c r="F563" i="1"/>
  <c r="O563" i="1" s="1"/>
  <c r="F320" i="1"/>
  <c r="F119" i="1"/>
  <c r="O119" i="1" s="1"/>
  <c r="F73" i="1"/>
  <c r="O73" i="1" s="1"/>
  <c r="F714" i="1"/>
  <c r="F217" i="1"/>
  <c r="O217" i="1" s="1"/>
  <c r="F169" i="1"/>
  <c r="O169" i="1" s="1"/>
  <c r="F126" i="1"/>
  <c r="O126" i="1" s="1"/>
  <c r="F160" i="1"/>
  <c r="F129" i="1"/>
  <c r="O129" i="1" s="1"/>
  <c r="F149" i="1"/>
  <c r="O149" i="1" s="1"/>
  <c r="F208" i="1"/>
  <c r="O208" i="1" s="1"/>
  <c r="F664" i="1"/>
  <c r="F273" i="1"/>
  <c r="O273" i="1" s="1"/>
  <c r="F152" i="1"/>
  <c r="O152" i="1" s="1"/>
  <c r="F229" i="1"/>
  <c r="O229" i="1" s="1"/>
  <c r="F669" i="1"/>
  <c r="F105" i="1"/>
  <c r="O105" i="1" s="1"/>
  <c r="F715" i="1"/>
  <c r="O715" i="1" s="1"/>
  <c r="F564" i="1"/>
  <c r="O564" i="1" s="1"/>
  <c r="F455" i="1"/>
  <c r="F283" i="1"/>
  <c r="O283" i="1" s="1"/>
  <c r="F204" i="4"/>
  <c r="F205" i="4"/>
  <c r="F206" i="4"/>
  <c r="F207" i="4"/>
  <c r="F208" i="4"/>
  <c r="F209" i="4"/>
  <c r="F210" i="4"/>
  <c r="F211" i="4"/>
  <c r="O211" i="4" s="1"/>
  <c r="F212" i="4"/>
  <c r="O212" i="4" s="1"/>
  <c r="F213" i="4"/>
  <c r="F214" i="4"/>
  <c r="F215" i="4"/>
  <c r="F216" i="4"/>
  <c r="F217" i="4"/>
  <c r="F218" i="4"/>
  <c r="F219" i="4"/>
  <c r="F220" i="4"/>
  <c r="F221" i="4"/>
  <c r="F108" i="1"/>
  <c r="O108" i="1" s="1"/>
  <c r="F101" i="1"/>
  <c r="O101" i="1" s="1"/>
  <c r="F620" i="1"/>
  <c r="O620" i="1" s="1"/>
  <c r="F21" i="1"/>
  <c r="O21" i="1" s="1"/>
  <c r="F228" i="1"/>
  <c r="F264" i="1"/>
  <c r="F47" i="1"/>
  <c r="O47" i="1" s="1"/>
  <c r="F48" i="1"/>
  <c r="F282" i="1"/>
  <c r="O282" i="1" s="1"/>
  <c r="F164" i="1"/>
  <c r="F359" i="1"/>
  <c r="O359" i="1" s="1"/>
  <c r="F427" i="1"/>
  <c r="O427" i="1" s="1"/>
  <c r="F558" i="1"/>
  <c r="O558" i="1" s="1"/>
  <c r="F559" i="1"/>
  <c r="O559" i="1" s="1"/>
  <c r="F17" i="11"/>
  <c r="F18" i="11"/>
  <c r="F189" i="4"/>
  <c r="F190" i="4"/>
  <c r="O190" i="4" s="1"/>
  <c r="F191" i="4"/>
  <c r="F192" i="4"/>
  <c r="F193" i="4"/>
  <c r="F194" i="4"/>
  <c r="F195" i="4"/>
  <c r="F196" i="4"/>
  <c r="O196" i="4" s="1"/>
  <c r="F197" i="4"/>
  <c r="F198" i="4"/>
  <c r="O198" i="4" s="1"/>
  <c r="F199" i="4"/>
  <c r="O199" i="4" s="1"/>
  <c r="F200" i="4"/>
  <c r="O200" i="4" s="1"/>
  <c r="F201" i="4"/>
  <c r="O201" i="4" s="1"/>
  <c r="F202" i="4"/>
  <c r="O202" i="4" s="1"/>
  <c r="F203" i="4"/>
  <c r="F426" i="1"/>
  <c r="O426" i="1" s="1"/>
  <c r="F453" i="1"/>
  <c r="O453" i="1" s="1"/>
  <c r="F489" i="1"/>
  <c r="O489" i="1" s="1"/>
  <c r="F490" i="1"/>
  <c r="O490" i="1" s="1"/>
  <c r="F555" i="1"/>
  <c r="O555" i="1" s="1"/>
  <c r="F46" i="1"/>
  <c r="O46" i="1" s="1"/>
  <c r="F617" i="1"/>
  <c r="O617" i="1" s="1"/>
  <c r="F556" i="1"/>
  <c r="O556" i="1" s="1"/>
  <c r="F61" i="1"/>
  <c r="O61" i="1" s="1"/>
  <c r="F618" i="1"/>
  <c r="O618" i="1" s="1"/>
  <c r="F619" i="1"/>
  <c r="O619" i="1" s="1"/>
  <c r="F549" i="1"/>
  <c r="O549" i="1" s="1"/>
  <c r="F123" i="1"/>
  <c r="O123" i="1" s="1"/>
  <c r="F550" i="1"/>
  <c r="O550" i="1" s="1"/>
  <c r="F487" i="1"/>
  <c r="O487" i="1" s="1"/>
  <c r="F551" i="1"/>
  <c r="O551" i="1" s="1"/>
  <c r="F452" i="1"/>
  <c r="F488" i="1"/>
  <c r="F552" i="1"/>
  <c r="F690" i="1"/>
  <c r="O690" i="1" s="1"/>
  <c r="F90" i="1"/>
  <c r="O90" i="1" s="1"/>
  <c r="F724" i="1"/>
  <c r="F553" i="1"/>
  <c r="O553" i="1" s="1"/>
  <c r="F554" i="1"/>
  <c r="O554" i="1" s="1"/>
  <c r="F196" i="1"/>
  <c r="O196" i="1" s="1"/>
  <c r="F663" i="1"/>
  <c r="O663" i="1" s="1"/>
  <c r="F170" i="4"/>
  <c r="F171" i="4"/>
  <c r="F172" i="4"/>
  <c r="O172" i="4" s="1"/>
  <c r="F173" i="4"/>
  <c r="O173" i="4" s="1"/>
  <c r="F174" i="4"/>
  <c r="O174" i="4" s="1"/>
  <c r="F175" i="4"/>
  <c r="O175" i="4" s="1"/>
  <c r="F176" i="4"/>
  <c r="O176" i="4" s="1"/>
  <c r="F177" i="4"/>
  <c r="O177" i="4" s="1"/>
  <c r="F178" i="4"/>
  <c r="O178" i="4" s="1"/>
  <c r="F179" i="4"/>
  <c r="F180" i="4"/>
  <c r="O180" i="4" s="1"/>
  <c r="F181" i="4"/>
  <c r="O181" i="4" s="1"/>
  <c r="F182" i="4"/>
  <c r="F183" i="4"/>
  <c r="F184" i="4"/>
  <c r="O184" i="4" s="1"/>
  <c r="F185" i="4"/>
  <c r="F186" i="4"/>
  <c r="O186" i="4" s="1"/>
  <c r="F187" i="4"/>
  <c r="O187" i="4" s="1"/>
  <c r="F188" i="4"/>
  <c r="O188" i="4" s="1"/>
  <c r="F709" i="1"/>
  <c r="F449" i="1"/>
  <c r="O449" i="1" s="1"/>
  <c r="F394" i="1"/>
  <c r="O394" i="1" s="1"/>
  <c r="F261" i="1"/>
  <c r="O261" i="1" s="1"/>
  <c r="F97" i="1"/>
  <c r="O97" i="1" s="1"/>
  <c r="F139" i="1"/>
  <c r="O139" i="1" s="1"/>
  <c r="F425" i="1"/>
  <c r="O425" i="1" s="1"/>
  <c r="F486" i="1"/>
  <c r="O486" i="1" s="1"/>
  <c r="F706" i="1"/>
  <c r="O706" i="1" s="1"/>
  <c r="F616" i="1"/>
  <c r="F450" i="1"/>
  <c r="O450" i="1" s="1"/>
  <c r="F545" i="1"/>
  <c r="O545" i="1" s="1"/>
  <c r="F451" i="1"/>
  <c r="O451" i="1" s="1"/>
  <c r="F546" i="1"/>
  <c r="O546" i="1" s="1"/>
  <c r="F547" i="1"/>
  <c r="O547" i="1" s="1"/>
  <c r="F720" i="1"/>
  <c r="F548" i="1"/>
  <c r="F380" i="1"/>
  <c r="O380" i="1" s="1"/>
  <c r="F45" i="1"/>
  <c r="O45" i="1" s="1"/>
  <c r="F695" i="1"/>
  <c r="O695" i="1" s="1"/>
  <c r="F20" i="1"/>
  <c r="O20" i="1" s="1"/>
  <c r="F12" i="1"/>
  <c r="O12" i="1" s="1"/>
  <c r="F14" i="11"/>
  <c r="F15" i="11"/>
  <c r="F16" i="11"/>
  <c r="F148" i="4"/>
  <c r="O148" i="4" s="1"/>
  <c r="F149" i="4"/>
  <c r="O149" i="4" s="1"/>
  <c r="F150" i="4"/>
  <c r="F151" i="4"/>
  <c r="O151" i="4" s="1"/>
  <c r="F152" i="4"/>
  <c r="O152" i="4" s="1"/>
  <c r="F153" i="4"/>
  <c r="O153" i="4" s="1"/>
  <c r="F154" i="4"/>
  <c r="O154" i="4" s="1"/>
  <c r="F155" i="4"/>
  <c r="F156" i="4"/>
  <c r="F157" i="4"/>
  <c r="O157" i="4" s="1"/>
  <c r="F158" i="4"/>
  <c r="F159" i="4"/>
  <c r="F160" i="4"/>
  <c r="O160" i="4" s="1"/>
  <c r="F161" i="4"/>
  <c r="O161" i="4" s="1"/>
  <c r="F162" i="4"/>
  <c r="F163" i="4"/>
  <c r="O163" i="4" s="1"/>
  <c r="F164" i="4"/>
  <c r="O164" i="4" s="1"/>
  <c r="F165" i="4"/>
  <c r="O165" i="4" s="1"/>
  <c r="F166" i="4"/>
  <c r="O166" i="4" s="1"/>
  <c r="F167" i="4"/>
  <c r="F168" i="4"/>
  <c r="F169" i="4"/>
  <c r="O169" i="4" s="1"/>
  <c r="F445" i="1"/>
  <c r="O445" i="1" s="1"/>
  <c r="F446" i="1"/>
  <c r="O446" i="1" s="1"/>
  <c r="F482" i="1"/>
  <c r="O482" i="1" s="1"/>
  <c r="F109" i="1"/>
  <c r="O109" i="1" s="1"/>
  <c r="F148" i="1"/>
  <c r="O148" i="1" s="1"/>
  <c r="F177" i="1"/>
  <c r="O177" i="1" s="1"/>
  <c r="F92" i="1"/>
  <c r="O92" i="1" s="1"/>
  <c r="F76" i="1"/>
  <c r="O76" i="1" s="1"/>
  <c r="F691" i="1"/>
  <c r="O691" i="1" s="1"/>
  <c r="F483" i="1"/>
  <c r="O483" i="1" s="1"/>
  <c r="F349" i="1"/>
  <c r="O349" i="1" s="1"/>
  <c r="F668" i="1"/>
  <c r="O668" i="1" s="1"/>
  <c r="F447" i="1"/>
  <c r="O447" i="1" s="1"/>
  <c r="F227" i="1"/>
  <c r="O227" i="1" s="1"/>
  <c r="F484" i="1"/>
  <c r="F122" i="1"/>
  <c r="O122" i="1" s="1"/>
  <c r="F116" i="1"/>
  <c r="O116" i="1" s="1"/>
  <c r="F391" i="1"/>
  <c r="F125" i="1"/>
  <c r="O125" i="1" s="1"/>
  <c r="F44" i="1"/>
  <c r="O44" i="1" s="1"/>
  <c r="F543" i="1"/>
  <c r="O543" i="1" s="1"/>
  <c r="F448" i="1"/>
  <c r="F89" i="1"/>
  <c r="O89" i="1" s="1"/>
  <c r="F485" i="1"/>
  <c r="O485" i="1" s="1"/>
  <c r="F14" i="1"/>
  <c r="O14" i="1" s="1"/>
  <c r="F128" i="1"/>
  <c r="F102" i="1"/>
  <c r="O102" i="1" s="1"/>
  <c r="F392" i="1"/>
  <c r="O392" i="1" s="1"/>
  <c r="F251" i="1"/>
  <c r="O251" i="1" s="1"/>
  <c r="F393" i="1"/>
  <c r="O393" i="1" s="1"/>
  <c r="F34" i="1"/>
  <c r="O34" i="1" s="1"/>
  <c r="F544" i="1"/>
  <c r="O544" i="1" s="1"/>
  <c r="F614" i="1"/>
  <c r="O614" i="1" s="1"/>
  <c r="F115" i="1"/>
  <c r="O115" i="1" s="1"/>
  <c r="F615" i="1"/>
  <c r="O615" i="1" s="1"/>
  <c r="F379" i="1"/>
  <c r="O379" i="1" s="1"/>
  <c r="F16" i="1"/>
  <c r="O16" i="1" s="1"/>
  <c r="F267" i="1"/>
  <c r="O267" i="1" s="1"/>
  <c r="F28" i="1"/>
  <c r="O28" i="1" s="1"/>
  <c r="F12" i="11"/>
  <c r="F13" i="11"/>
  <c r="F126" i="4"/>
  <c r="F127" i="4"/>
  <c r="O127" i="4" s="1"/>
  <c r="F128" i="4"/>
  <c r="O128" i="4" s="1"/>
  <c r="F129" i="4"/>
  <c r="O129" i="4" s="1"/>
  <c r="F130" i="4"/>
  <c r="F131" i="4"/>
  <c r="F132" i="4"/>
  <c r="F133" i="4"/>
  <c r="O133" i="4" s="1"/>
  <c r="F134" i="4"/>
  <c r="F135" i="4"/>
  <c r="F136" i="4"/>
  <c r="O136" i="4" s="1"/>
  <c r="F137" i="4"/>
  <c r="O137" i="4" s="1"/>
  <c r="F138" i="4"/>
  <c r="F139" i="4"/>
  <c r="O139" i="4" s="1"/>
  <c r="F140" i="4"/>
  <c r="O140" i="4" s="1"/>
  <c r="F141" i="4"/>
  <c r="O141" i="4" s="1"/>
  <c r="F142" i="4"/>
  <c r="F143" i="4"/>
  <c r="F144" i="4"/>
  <c r="F145" i="4"/>
  <c r="O145" i="4" s="1"/>
  <c r="F146" i="4"/>
  <c r="F147" i="4"/>
  <c r="F42" i="1"/>
  <c r="O42" i="1" s="1"/>
  <c r="F638" i="1"/>
  <c r="O638" i="1" s="1"/>
  <c r="F205" i="1"/>
  <c r="O205" i="1" s="1"/>
  <c r="F358" i="1"/>
  <c r="O358" i="1" s="1"/>
  <c r="F348" i="1"/>
  <c r="O348" i="1" s="1"/>
  <c r="F367" i="1"/>
  <c r="O367" i="1" s="1"/>
  <c r="F387" i="1"/>
  <c r="O387" i="1" s="1"/>
  <c r="F388" i="1"/>
  <c r="F378" i="1"/>
  <c r="O378" i="1" s="1"/>
  <c r="F60" i="1"/>
  <c r="O60" i="1" s="1"/>
  <c r="F405" i="1"/>
  <c r="F406" i="1"/>
  <c r="O406" i="1" s="1"/>
  <c r="F389" i="1"/>
  <c r="O389" i="1" s="1"/>
  <c r="F420" i="1"/>
  <c r="O420" i="1" s="1"/>
  <c r="F69" i="1"/>
  <c r="O69" i="1" s="1"/>
  <c r="F421" i="1"/>
  <c r="F422" i="1"/>
  <c r="O422" i="1" s="1"/>
  <c r="F407" i="1"/>
  <c r="O407" i="1" s="1"/>
  <c r="F423" i="1"/>
  <c r="F542" i="1"/>
  <c r="O542" i="1" s="1"/>
  <c r="F390" i="1"/>
  <c r="O390" i="1" s="1"/>
  <c r="F43" i="1"/>
  <c r="O43" i="1" s="1"/>
  <c r="F444" i="1"/>
  <c r="F408" i="1"/>
  <c r="F480" i="1"/>
  <c r="O480" i="1" s="1"/>
  <c r="F481" i="1"/>
  <c r="O481" i="1" s="1"/>
  <c r="F424" i="1"/>
  <c r="F9" i="11"/>
  <c r="F10" i="11"/>
  <c r="F11" i="11"/>
  <c r="F116" i="4"/>
  <c r="O116" i="4" s="1"/>
  <c r="F117" i="4"/>
  <c r="O117" i="4" s="1"/>
  <c r="F118" i="4"/>
  <c r="F119" i="4"/>
  <c r="F120" i="4"/>
  <c r="F121" i="4"/>
  <c r="O121" i="4" s="1"/>
  <c r="F122" i="4"/>
  <c r="F123" i="4"/>
  <c r="F124" i="4"/>
  <c r="O124" i="4" s="1"/>
  <c r="F125" i="4"/>
  <c r="O125" i="4" s="1"/>
  <c r="F357" i="1"/>
  <c r="O357" i="1" s="1"/>
  <c r="F365" i="1"/>
  <c r="O365" i="1" s="1"/>
  <c r="F225" i="1"/>
  <c r="O225" i="1" s="1"/>
  <c r="F366" i="1"/>
  <c r="O366" i="1" s="1"/>
  <c r="F377" i="1"/>
  <c r="O377" i="1" s="1"/>
  <c r="F19" i="1"/>
  <c r="O19" i="1" s="1"/>
  <c r="F33" i="1"/>
  <c r="O33" i="1" s="1"/>
  <c r="F226" i="1"/>
  <c r="O226" i="1" s="1"/>
  <c r="F719" i="1"/>
  <c r="O719" i="1" s="1"/>
  <c r="F147" i="1"/>
  <c r="O147" i="1" s="1"/>
  <c r="F666" i="1"/>
  <c r="O666" i="1" s="1"/>
  <c r="F260" i="1"/>
  <c r="O260" i="1" s="1"/>
  <c r="F266" i="1"/>
  <c r="O266" i="1" s="1"/>
  <c r="F661" i="1"/>
  <c r="O661" i="1" s="1"/>
  <c r="F15" i="1"/>
  <c r="O15" i="1" s="1"/>
  <c r="F247" i="1"/>
  <c r="O247" i="1" s="1"/>
  <c r="F106" i="1"/>
  <c r="O106" i="1" s="1"/>
  <c r="F639" i="1"/>
  <c r="O639" i="1" s="1"/>
  <c r="F653" i="1"/>
  <c r="F674" i="1"/>
  <c r="O674" i="1" s="1"/>
  <c r="F675" i="1"/>
  <c r="O675" i="1" s="1"/>
  <c r="F130" i="1"/>
  <c r="O130" i="1" s="1"/>
  <c r="F104" i="1"/>
  <c r="F676" i="1"/>
  <c r="F677" i="1"/>
  <c r="O677" i="1" s="1"/>
  <c r="F641" i="1"/>
  <c r="O641" i="1" s="1"/>
  <c r="F295" i="1"/>
  <c r="O295" i="1" s="1"/>
  <c r="F252" i="1"/>
  <c r="O252" i="1" s="1"/>
  <c r="F8" i="1"/>
  <c r="O8" i="1" s="1"/>
  <c r="F146" i="1"/>
  <c r="O146" i="1" s="1"/>
  <c r="F10" i="1"/>
  <c r="O10" i="1" s="1"/>
  <c r="F662" i="1"/>
  <c r="O662" i="1" s="1"/>
  <c r="F697" i="1"/>
  <c r="O697" i="1" s="1"/>
  <c r="F434" i="1"/>
  <c r="O434" i="1" s="1"/>
  <c r="F700" i="1"/>
  <c r="F319" i="1"/>
  <c r="O319" i="1" s="1"/>
  <c r="F317" i="1"/>
  <c r="O317" i="1" s="1"/>
  <c r="F374" i="1"/>
  <c r="O374" i="1" s="1"/>
  <c r="F162" i="1"/>
  <c r="O162" i="1" s="1"/>
  <c r="F321" i="1"/>
  <c r="O321" i="1" s="1"/>
  <c r="F655" i="1"/>
  <c r="O655" i="1" s="1"/>
  <c r="F322" i="1"/>
  <c r="O322" i="1" s="1"/>
  <c r="F323" i="1"/>
  <c r="O323" i="1" s="1"/>
  <c r="F656" i="1"/>
  <c r="F329" i="1"/>
  <c r="O329" i="1" s="1"/>
  <c r="F330" i="1"/>
  <c r="O330" i="1" s="1"/>
  <c r="F331" i="1"/>
  <c r="O331" i="1" s="1"/>
  <c r="F332" i="1"/>
  <c r="F333" i="1"/>
  <c r="O333" i="1" s="1"/>
  <c r="F470" i="1"/>
  <c r="O470" i="1" s="1"/>
  <c r="F335" i="1"/>
  <c r="O335" i="1" s="1"/>
  <c r="F337" i="1"/>
  <c r="O337" i="1" s="1"/>
  <c r="F338" i="1"/>
  <c r="O338" i="1" s="1"/>
  <c r="F341" i="1"/>
  <c r="O341" i="1" s="1"/>
  <c r="F342" i="1"/>
  <c r="O342" i="1" s="1"/>
  <c r="F712" i="1"/>
  <c r="F711" i="1"/>
  <c r="O711" i="1" s="1"/>
  <c r="F345" i="1"/>
  <c r="O345" i="1" s="1"/>
  <c r="F413" i="1"/>
  <c r="F347" i="1"/>
  <c r="O347" i="1" s="1"/>
  <c r="F353" i="1"/>
  <c r="O353" i="1" s="1"/>
  <c r="F363" i="1"/>
  <c r="O363" i="1" s="1"/>
  <c r="F364" i="1"/>
  <c r="O364" i="1" s="1"/>
  <c r="F375" i="1"/>
  <c r="O375" i="1" s="1"/>
  <c r="F383" i="1"/>
  <c r="O383" i="1" s="1"/>
  <c r="F384" i="1"/>
  <c r="O384" i="1" s="1"/>
  <c r="F401" i="1"/>
  <c r="O401" i="1" s="1"/>
  <c r="F414" i="1"/>
  <c r="O414" i="1" s="1"/>
  <c r="F435" i="1"/>
  <c r="O435" i="1" s="1"/>
  <c r="F471" i="1"/>
  <c r="O471" i="1" s="1"/>
  <c r="F520" i="1"/>
  <c r="F611" i="1"/>
  <c r="O611" i="1" s="1"/>
  <c r="F521" i="1"/>
  <c r="O521" i="1" s="1"/>
  <c r="F40" i="1"/>
  <c r="O40" i="1" s="1"/>
  <c r="F436" i="1"/>
  <c r="F678" i="1"/>
  <c r="O678" i="1" s="1"/>
  <c r="F522" i="1"/>
  <c r="O522" i="1" s="1"/>
  <c r="F437" i="1"/>
  <c r="O437" i="1" s="1"/>
  <c r="F58" i="1"/>
  <c r="O58" i="1" s="1"/>
  <c r="F30" i="1"/>
  <c r="O30" i="1" s="1"/>
  <c r="F339" i="1"/>
  <c r="O339" i="1" s="1"/>
  <c r="F523" i="1"/>
  <c r="O523" i="1" s="1"/>
  <c r="F472" i="1"/>
  <c r="F679" i="1"/>
  <c r="O679" i="1" s="1"/>
  <c r="F524" i="1"/>
  <c r="O524" i="1" s="1"/>
  <c r="F183" i="1"/>
  <c r="O183" i="1" s="1"/>
  <c r="F184" i="1"/>
  <c r="F385" i="1"/>
  <c r="O385" i="1" s="1"/>
  <c r="F525" i="1"/>
  <c r="O525" i="1" s="1"/>
  <c r="F415" i="1"/>
  <c r="O415" i="1" s="1"/>
  <c r="F416" i="1"/>
  <c r="F689" i="1"/>
  <c r="O689" i="1" s="1"/>
  <c r="F438" i="1"/>
  <c r="O438" i="1" s="1"/>
  <c r="F141" i="1"/>
  <c r="O141" i="1" s="1"/>
  <c r="F78" i="1"/>
  <c r="O78" i="1" s="1"/>
  <c r="F127" i="1"/>
  <c r="O127" i="1" s="1"/>
  <c r="F417" i="1"/>
  <c r="O417" i="1" s="1"/>
  <c r="F334" i="1"/>
  <c r="O334" i="1" s="1"/>
  <c r="F131" i="1"/>
  <c r="O131" i="1" s="1"/>
  <c r="F439" i="1"/>
  <c r="O439" i="1" s="1"/>
  <c r="F612" i="1"/>
  <c r="O612" i="1" s="1"/>
  <c r="F318" i="1"/>
  <c r="O318" i="1" s="1"/>
  <c r="F680" i="1"/>
  <c r="F153" i="1"/>
  <c r="O153" i="1" s="1"/>
  <c r="F376" i="1"/>
  <c r="O376" i="1" s="1"/>
  <c r="F667" i="1"/>
  <c r="O667" i="1" s="1"/>
  <c r="F386" i="1"/>
  <c r="O386" i="1" s="1"/>
  <c r="F402" i="1"/>
  <c r="O402" i="1" s="1"/>
  <c r="F418" i="1"/>
  <c r="O418" i="1" s="1"/>
  <c r="F645" i="1"/>
  <c r="O645" i="1" s="1"/>
  <c r="F239" i="1"/>
  <c r="O239" i="1" s="1"/>
  <c r="F698" i="1"/>
  <c r="O698" i="1" s="1"/>
  <c r="F72" i="1"/>
  <c r="O72" i="1" s="1"/>
  <c r="F526" i="1"/>
  <c r="O526" i="1" s="1"/>
  <c r="F80" i="1"/>
  <c r="F85" i="1"/>
  <c r="O85" i="1" s="1"/>
  <c r="F613" i="1"/>
  <c r="O613" i="1" s="1"/>
  <c r="F31" i="1"/>
  <c r="O31" i="1" s="1"/>
  <c r="F648" i="1"/>
  <c r="F403" i="1"/>
  <c r="O403" i="1" s="1"/>
  <c r="F419" i="1"/>
  <c r="O419" i="1" s="1"/>
  <c r="F473" i="1"/>
  <c r="O473" i="1" s="1"/>
  <c r="F474" i="1"/>
  <c r="O474" i="1" s="1"/>
  <c r="F11" i="1"/>
  <c r="O11" i="1" s="1"/>
  <c r="F527" i="1"/>
  <c r="O527" i="1" s="1"/>
  <c r="F528" i="1"/>
  <c r="F202" i="1"/>
  <c r="O202" i="1" s="1"/>
  <c r="F681" i="1"/>
  <c r="O681" i="1" s="1"/>
  <c r="F529" i="1"/>
  <c r="O529" i="1" s="1"/>
  <c r="F440" i="1"/>
  <c r="O440" i="1" s="1"/>
  <c r="F530" i="1"/>
  <c r="O530" i="1" s="1"/>
  <c r="F531" i="1"/>
  <c r="O531" i="1" s="1"/>
  <c r="F532" i="1"/>
  <c r="O532" i="1" s="1"/>
  <c r="F475" i="1"/>
  <c r="O475" i="1" s="1"/>
  <c r="F88" i="1"/>
  <c r="F533" i="1"/>
  <c r="F441" i="1"/>
  <c r="O441" i="1" s="1"/>
  <c r="F442" i="1"/>
  <c r="O442" i="1" s="1"/>
  <c r="F213" i="1"/>
  <c r="O213" i="1" s="1"/>
  <c r="F443" i="1"/>
  <c r="O443" i="1" s="1"/>
  <c r="F476" i="1"/>
  <c r="O476" i="1" s="1"/>
  <c r="F41" i="1"/>
  <c r="O41" i="1" s="1"/>
  <c r="F99" i="1"/>
  <c r="O99" i="1" s="1"/>
  <c r="F534" i="1"/>
  <c r="O534" i="1" s="1"/>
  <c r="F535" i="1"/>
  <c r="O535" i="1" s="1"/>
  <c r="F643" i="1"/>
  <c r="O643" i="1" s="1"/>
  <c r="F328" i="1"/>
  <c r="F175" i="1"/>
  <c r="O175" i="1" s="1"/>
  <c r="F176" i="1"/>
  <c r="O176" i="1" s="1"/>
  <c r="F214" i="1"/>
  <c r="O214" i="1" s="1"/>
  <c r="F240" i="1"/>
  <c r="F477" i="1"/>
  <c r="F536" i="1"/>
  <c r="O536" i="1" s="1"/>
  <c r="F478" i="1"/>
  <c r="O478" i="1" s="1"/>
  <c r="F699" i="1"/>
  <c r="O699" i="1" s="1"/>
  <c r="F703" i="1"/>
  <c r="O703" i="1" s="1"/>
  <c r="F701" i="1"/>
  <c r="O701" i="1" s="1"/>
  <c r="F151" i="1"/>
  <c r="O151" i="1" s="1"/>
  <c r="F537" i="1"/>
  <c r="O537" i="1" s="1"/>
  <c r="F649" i="1"/>
  <c r="O649" i="1" s="1"/>
  <c r="F650" i="1"/>
  <c r="O650" i="1" s="1"/>
  <c r="F688" i="1"/>
  <c r="O688" i="1" s="1"/>
  <c r="F185" i="1"/>
  <c r="O185" i="1" s="1"/>
  <c r="F647" i="1"/>
  <c r="O647" i="1" s="1"/>
  <c r="F716" i="1"/>
  <c r="O716" i="1" s="1"/>
  <c r="F203" i="1"/>
  <c r="O203" i="1" s="1"/>
  <c r="F94" i="1"/>
  <c r="O94" i="1" s="1"/>
  <c r="F204" i="1"/>
  <c r="F682" i="1"/>
  <c r="O682" i="1" s="1"/>
  <c r="F538" i="1"/>
  <c r="O538" i="1" s="1"/>
  <c r="F59" i="1"/>
  <c r="O59" i="1" s="1"/>
  <c r="F215" i="1"/>
  <c r="O215" i="1" s="1"/>
  <c r="F32" i="1"/>
  <c r="O32" i="1" s="1"/>
  <c r="F136" i="1"/>
  <c r="F157" i="1"/>
  <c r="O157" i="1" s="1"/>
  <c r="F336" i="1"/>
  <c r="F154" i="1"/>
  <c r="O154" i="1" s="1"/>
  <c r="F539" i="1"/>
  <c r="O539" i="1" s="1"/>
  <c r="F705" i="1"/>
  <c r="O705" i="1" s="1"/>
  <c r="F138" i="1"/>
  <c r="O138" i="1" s="1"/>
  <c r="F112" i="1"/>
  <c r="O112" i="1" s="1"/>
  <c r="F75" i="1"/>
  <c r="O75" i="1" s="1"/>
  <c r="F107" i="1"/>
  <c r="O107" i="1" s="1"/>
  <c r="F74" i="1"/>
  <c r="O74" i="1" s="1"/>
  <c r="F81" i="1"/>
  <c r="O81" i="1" s="1"/>
  <c r="F133" i="1"/>
  <c r="O133" i="1" s="1"/>
  <c r="F82" i="1"/>
  <c r="O82" i="1" s="1"/>
  <c r="F83" i="1"/>
  <c r="O83" i="1" s="1"/>
  <c r="F100" i="1"/>
  <c r="O100" i="1" s="1"/>
  <c r="F540" i="1"/>
  <c r="F541" i="1"/>
  <c r="O541" i="1" s="1"/>
  <c r="F168" i="1"/>
  <c r="F479" i="1"/>
  <c r="O479" i="1" s="1"/>
  <c r="F717" i="1"/>
  <c r="O717" i="1" s="1"/>
  <c r="F721" i="1"/>
  <c r="O721" i="1" s="1"/>
  <c r="F722" i="1"/>
  <c r="O722" i="1" s="1"/>
  <c r="F404" i="1"/>
  <c r="O404" i="1" s="1"/>
  <c r="F713" i="1"/>
  <c r="O713" i="1" s="1"/>
  <c r="F344" i="1"/>
  <c r="F346" i="1"/>
  <c r="O346" i="1" s="1"/>
  <c r="F355" i="1"/>
  <c r="O355" i="1" s="1"/>
  <c r="F356" i="1"/>
  <c r="O356" i="1" s="1"/>
  <c r="F718" i="1"/>
  <c r="O718" i="1" s="1"/>
  <c r="F27" i="1"/>
  <c r="O27" i="1" s="1"/>
  <c r="F693" i="1"/>
  <c r="O693" i="1" s="1"/>
  <c r="F694" i="1"/>
  <c r="O694" i="1" s="1"/>
  <c r="F216" i="1"/>
  <c r="F651" i="1"/>
  <c r="O651" i="1" s="1"/>
  <c r="F124" i="1"/>
  <c r="F143" i="1"/>
  <c r="O143" i="1" s="1"/>
  <c r="F3" i="4"/>
  <c r="F4" i="4"/>
  <c r="O4" i="4" s="1"/>
  <c r="F6" i="4"/>
  <c r="F7" i="4"/>
  <c r="O7" i="4" s="1"/>
  <c r="F8" i="4"/>
  <c r="O8" i="4" s="1"/>
  <c r="F9" i="4"/>
  <c r="O9" i="4" s="1"/>
  <c r="F10" i="4"/>
  <c r="O10" i="4" s="1"/>
  <c r="F11" i="4"/>
  <c r="F12" i="4"/>
  <c r="F13" i="4"/>
  <c r="O13" i="4" s="1"/>
  <c r="F14" i="4"/>
  <c r="F15" i="4"/>
  <c r="F16" i="4"/>
  <c r="O16" i="4" s="1"/>
  <c r="F17" i="4"/>
  <c r="O17" i="4" s="1"/>
  <c r="F18" i="4"/>
  <c r="F19" i="4"/>
  <c r="O19" i="4" s="1"/>
  <c r="F20" i="4"/>
  <c r="O20" i="4" s="1"/>
  <c r="F21" i="4"/>
  <c r="O21" i="4" s="1"/>
  <c r="F22" i="4"/>
  <c r="O22" i="4" s="1"/>
  <c r="F23" i="4"/>
  <c r="F24" i="4"/>
  <c r="F25" i="4"/>
  <c r="O25" i="4" s="1"/>
  <c r="F26" i="4"/>
  <c r="F27" i="4"/>
  <c r="F28" i="4"/>
  <c r="O28" i="4" s="1"/>
  <c r="F29" i="4"/>
  <c r="O29" i="4" s="1"/>
  <c r="F30" i="4"/>
  <c r="F31" i="4"/>
  <c r="O31" i="4" s="1"/>
  <c r="F32" i="4"/>
  <c r="O32" i="4" s="1"/>
  <c r="F33" i="4"/>
  <c r="O33" i="4" s="1"/>
  <c r="F34" i="4"/>
  <c r="O34" i="4" s="1"/>
  <c r="F35" i="4"/>
  <c r="F36" i="4"/>
  <c r="F37" i="4"/>
  <c r="O37" i="4" s="1"/>
  <c r="F38" i="4"/>
  <c r="F39" i="4"/>
  <c r="F40" i="4"/>
  <c r="O40" i="4" s="1"/>
  <c r="F41" i="4"/>
  <c r="O41" i="4" s="1"/>
  <c r="F42" i="4"/>
  <c r="F43" i="4"/>
  <c r="O43" i="4" s="1"/>
  <c r="F44" i="4"/>
  <c r="O44" i="4" s="1"/>
  <c r="F45" i="4"/>
  <c r="O45" i="4" s="1"/>
  <c r="F46" i="4"/>
  <c r="O46" i="4" s="1"/>
  <c r="F47" i="4"/>
  <c r="F48" i="4"/>
  <c r="F49" i="4"/>
  <c r="O49" i="4" s="1"/>
  <c r="F50" i="4"/>
  <c r="F51" i="4"/>
  <c r="F52" i="4"/>
  <c r="O52" i="4" s="1"/>
  <c r="F53" i="4"/>
  <c r="O53" i="4" s="1"/>
  <c r="F54" i="4"/>
  <c r="F55" i="4"/>
  <c r="O55" i="4" s="1"/>
  <c r="F56" i="4"/>
  <c r="O56" i="4" s="1"/>
  <c r="F57" i="4"/>
  <c r="O57" i="4" s="1"/>
  <c r="F58" i="4"/>
  <c r="O58" i="4" s="1"/>
  <c r="F59" i="4"/>
  <c r="F60" i="4"/>
  <c r="F61" i="4"/>
  <c r="O61" i="4" s="1"/>
  <c r="F62" i="4"/>
  <c r="F63" i="4"/>
  <c r="F64" i="4"/>
  <c r="O64" i="4" s="1"/>
  <c r="F65" i="4"/>
  <c r="O65" i="4" s="1"/>
  <c r="F66" i="4"/>
  <c r="F67" i="4"/>
  <c r="O67" i="4" s="1"/>
  <c r="F68" i="4"/>
  <c r="O68" i="4" s="1"/>
  <c r="F69" i="4"/>
  <c r="O69" i="4" s="1"/>
  <c r="F70" i="4"/>
  <c r="O70" i="4" s="1"/>
  <c r="F71" i="4"/>
  <c r="F72" i="4"/>
  <c r="F73" i="4"/>
  <c r="O73" i="4" s="1"/>
  <c r="F74" i="4"/>
  <c r="F75" i="4"/>
  <c r="F76" i="4"/>
  <c r="O76" i="4" s="1"/>
  <c r="F77" i="4"/>
  <c r="O77" i="4" s="1"/>
  <c r="F78" i="4"/>
  <c r="F79" i="4"/>
  <c r="O79" i="4" s="1"/>
  <c r="F80" i="4"/>
  <c r="O80" i="4" s="1"/>
  <c r="F81" i="4"/>
  <c r="O81" i="4" s="1"/>
  <c r="F82" i="4"/>
  <c r="O82" i="4" s="1"/>
  <c r="F83" i="4"/>
  <c r="F84" i="4"/>
  <c r="F85" i="4"/>
  <c r="O85" i="4" s="1"/>
  <c r="F86" i="4"/>
  <c r="F87" i="4"/>
  <c r="F88" i="4"/>
  <c r="O88" i="4" s="1"/>
  <c r="F89" i="4"/>
  <c r="O89" i="4" s="1"/>
  <c r="F90" i="4"/>
  <c r="F91" i="4"/>
  <c r="O91" i="4" s="1"/>
  <c r="F92" i="4"/>
  <c r="O92" i="4" s="1"/>
  <c r="F93" i="4"/>
  <c r="O93" i="4" s="1"/>
  <c r="F94" i="4"/>
  <c r="O94" i="4" s="1"/>
  <c r="F95" i="4"/>
  <c r="F96" i="4"/>
  <c r="F97" i="4"/>
  <c r="O97" i="4" s="1"/>
  <c r="F98" i="4"/>
  <c r="F99" i="4"/>
  <c r="F100" i="4"/>
  <c r="O100" i="4" s="1"/>
  <c r="F101" i="4"/>
  <c r="O101" i="4" s="1"/>
  <c r="F102" i="4"/>
  <c r="F103" i="4"/>
  <c r="O103" i="4" s="1"/>
  <c r="F104" i="4"/>
  <c r="O104" i="4" s="1"/>
  <c r="F105" i="4"/>
  <c r="O105" i="4" s="1"/>
  <c r="F106" i="4"/>
  <c r="O106" i="4" s="1"/>
  <c r="F107" i="4"/>
  <c r="F108" i="4"/>
  <c r="F109" i="4"/>
  <c r="O109" i="4" s="1"/>
  <c r="F110" i="4"/>
  <c r="F111" i="4"/>
  <c r="F112" i="4"/>
  <c r="O112" i="4" s="1"/>
  <c r="F113" i="4"/>
  <c r="O113" i="4" s="1"/>
  <c r="F114" i="4"/>
  <c r="F115" i="4"/>
  <c r="O115" i="4" s="1"/>
  <c r="F2" i="4"/>
  <c r="F8" i="11"/>
  <c r="F7" i="11"/>
  <c r="F6" i="11"/>
  <c r="F5" i="11"/>
  <c r="F3" i="11"/>
  <c r="F4" i="11"/>
  <c r="F2" i="11"/>
  <c r="O776" i="1" l="1"/>
  <c r="O616" i="1"/>
  <c r="O264" i="1"/>
  <c r="O296" i="1"/>
  <c r="O580" i="1"/>
  <c r="O516" i="1"/>
  <c r="O604" i="1"/>
  <c r="O656" i="1"/>
  <c r="O144" i="1"/>
  <c r="O368" i="1"/>
  <c r="O568" i="1"/>
  <c r="O460" i="1"/>
  <c r="O504" i="1"/>
  <c r="O628" i="1"/>
  <c r="O592" i="1"/>
  <c r="O557" i="1"/>
  <c r="O468" i="1"/>
  <c r="O300" i="1"/>
  <c r="O672" i="1"/>
  <c r="O660" i="1"/>
  <c r="O637" i="1"/>
  <c r="O749" i="1"/>
  <c r="O328" i="1"/>
  <c r="O80" i="1"/>
  <c r="O416" i="1"/>
  <c r="O472" i="1"/>
  <c r="O436" i="1"/>
  <c r="O413" i="1"/>
  <c r="O700" i="1"/>
  <c r="O653" i="1"/>
  <c r="O424" i="1"/>
  <c r="O423" i="1"/>
  <c r="O405" i="1"/>
  <c r="O128" i="1"/>
  <c r="O391" i="1"/>
  <c r="O548" i="1"/>
  <c r="O709" i="1"/>
  <c r="O724" i="1"/>
  <c r="O228" i="1"/>
  <c r="O455" i="1"/>
  <c r="O664" i="1"/>
  <c r="O714" i="1"/>
  <c r="O640" i="1"/>
  <c r="O428" i="1"/>
  <c r="O285" i="1"/>
  <c r="O495" i="1"/>
  <c r="O381" i="1"/>
  <c r="O572" i="1"/>
  <c r="O652" i="1"/>
  <c r="O461" i="1"/>
  <c r="O625" i="1"/>
  <c r="O188" i="1"/>
  <c r="O586" i="1"/>
  <c r="O276" i="1"/>
  <c r="O634" i="1"/>
  <c r="O591" i="1"/>
  <c r="O642" i="1"/>
  <c r="O607" i="1"/>
  <c r="O464" i="1"/>
  <c r="O224" i="1"/>
  <c r="O263" i="1"/>
  <c r="O340" i="1"/>
  <c r="O513" i="1"/>
  <c r="O511" i="1"/>
  <c r="O244" i="1"/>
  <c r="O737" i="1"/>
  <c r="O610" i="1"/>
  <c r="O373" i="1"/>
  <c r="O748" i="1"/>
  <c r="O772" i="1"/>
  <c r="O720" i="1"/>
  <c r="O512" i="1"/>
  <c r="O740" i="1"/>
  <c r="O124" i="1"/>
  <c r="O168" i="1"/>
  <c r="O336" i="1"/>
  <c r="O204" i="1"/>
  <c r="O477" i="1"/>
  <c r="O533" i="1"/>
  <c r="O712" i="1"/>
  <c r="O332" i="1"/>
  <c r="O676" i="1"/>
  <c r="O408" i="1"/>
  <c r="O421" i="1"/>
  <c r="O388" i="1"/>
  <c r="O484" i="1"/>
  <c r="O552" i="1"/>
  <c r="O164" i="1"/>
  <c r="O320" i="1"/>
  <c r="O704" i="1"/>
  <c r="O623" i="1"/>
  <c r="O456" i="1"/>
  <c r="O493" i="1"/>
  <c r="O567" i="1"/>
  <c r="O736" i="1"/>
  <c r="O569" i="1"/>
  <c r="O396" i="1"/>
  <c r="O132" i="1"/>
  <c r="O577" i="1"/>
  <c r="O197" i="1"/>
  <c r="O509" i="1"/>
  <c r="O692" i="1"/>
  <c r="O728" i="1"/>
  <c r="O248" i="1"/>
  <c r="O311" i="1"/>
  <c r="O432" i="1"/>
  <c r="O352" i="1"/>
  <c r="O271" i="1"/>
  <c r="O327" i="1"/>
  <c r="O400" i="1"/>
  <c r="O600" i="1"/>
  <c r="O399" i="1"/>
  <c r="O412" i="1"/>
  <c r="O687" i="1"/>
  <c r="O753" i="1"/>
  <c r="O768" i="1"/>
  <c r="O216" i="1"/>
  <c r="O344" i="1"/>
  <c r="O240" i="1"/>
  <c r="O88" i="1"/>
  <c r="O648" i="1"/>
  <c r="O680" i="1"/>
  <c r="O184" i="1"/>
  <c r="O520" i="1"/>
  <c r="O104" i="1"/>
  <c r="O444" i="1"/>
  <c r="O448" i="1"/>
  <c r="O488" i="1"/>
  <c r="O669" i="1"/>
  <c r="O160" i="1"/>
  <c r="O621" i="1"/>
  <c r="O64" i="1"/>
  <c r="O120" i="1"/>
  <c r="O624" i="1"/>
  <c r="O360" i="1"/>
  <c r="O576" i="1"/>
  <c r="O508" i="1"/>
  <c r="O597" i="1"/>
  <c r="O589" i="1"/>
  <c r="O304" i="1"/>
  <c r="O599" i="1"/>
  <c r="O741" i="1"/>
  <c r="O636" i="1"/>
  <c r="O752" i="1"/>
  <c r="O767" i="1"/>
  <c r="O540" i="1"/>
  <c r="O136" i="1"/>
  <c r="O528" i="1"/>
  <c r="O452" i="1"/>
  <c r="O48" i="1"/>
  <c r="O492" i="1"/>
  <c r="O560" i="1"/>
  <c r="O708" i="1"/>
  <c r="O496" i="1"/>
  <c r="O24" i="1"/>
  <c r="O584" i="1"/>
  <c r="O685" i="1"/>
  <c r="O605" i="1"/>
  <c r="O236" i="1"/>
  <c r="O200" i="1"/>
  <c r="O735" i="1"/>
  <c r="O312" i="1"/>
  <c r="O751" i="1"/>
  <c r="O775" i="1"/>
  <c r="O773" i="1"/>
  <c r="O771" i="1"/>
  <c r="O765" i="1"/>
  <c r="O763" i="1"/>
  <c r="O761" i="1"/>
  <c r="O760" i="1"/>
  <c r="O757" i="1"/>
  <c r="O756" i="1"/>
  <c r="O726" i="1"/>
  <c r="O172" i="1"/>
  <c r="O725" i="1"/>
  <c r="O354" i="4"/>
  <c r="O342" i="4"/>
  <c r="O171" i="4"/>
  <c r="O195" i="4"/>
  <c r="O483" i="4"/>
  <c r="O182" i="4"/>
  <c r="O170" i="4"/>
  <c r="O194" i="4"/>
  <c r="O183" i="4"/>
  <c r="O426" i="4"/>
  <c r="O438" i="4"/>
  <c r="O582" i="4"/>
  <c r="O179" i="4"/>
  <c r="O203" i="4"/>
  <c r="O301" i="4"/>
  <c r="O265" i="4"/>
  <c r="O337" i="4"/>
  <c r="O487" i="4"/>
  <c r="O548" i="4"/>
  <c r="O595" i="4"/>
  <c r="O353" i="4"/>
  <c r="O541" i="4"/>
  <c r="O241" i="4"/>
  <c r="O229" i="4"/>
  <c r="O277" i="4"/>
  <c r="O352" i="4"/>
  <c r="O340" i="4"/>
  <c r="O361" i="4"/>
  <c r="O508" i="4"/>
  <c r="O510" i="4"/>
  <c r="O521" i="4"/>
  <c r="O593" i="4"/>
  <c r="O313" i="4"/>
  <c r="O517" i="4"/>
  <c r="O253" i="4"/>
  <c r="O325" i="4"/>
  <c r="O493" i="4"/>
  <c r="O118" i="4"/>
  <c r="O289" i="4"/>
  <c r="O341" i="4"/>
  <c r="O499" i="4"/>
  <c r="O553" i="4"/>
  <c r="O529" i="4"/>
  <c r="O594" i="4"/>
  <c r="O581" i="4"/>
  <c r="O142" i="4"/>
  <c r="O130" i="4"/>
  <c r="O197" i="4"/>
  <c r="O433" i="4"/>
  <c r="O445" i="4"/>
  <c r="O257" i="4"/>
  <c r="O329" i="4"/>
  <c r="O472" i="4"/>
  <c r="O586" i="4"/>
  <c r="O583" i="4"/>
  <c r="O601" i="4"/>
  <c r="O459" i="4"/>
  <c r="O3" i="4"/>
  <c r="O159" i="4"/>
  <c r="O87" i="4"/>
  <c r="O63" i="4"/>
  <c r="O39" i="4"/>
  <c r="O15" i="4"/>
  <c r="O495" i="4"/>
  <c r="O387" i="4"/>
  <c r="O111" i="4"/>
  <c r="O243" i="4"/>
  <c r="O543" i="4"/>
  <c r="O375" i="4"/>
  <c r="O99" i="4"/>
  <c r="O75" i="4"/>
  <c r="O51" i="4"/>
  <c r="O27" i="4"/>
  <c r="O231" i="4"/>
  <c r="O267" i="4"/>
  <c r="O363" i="4"/>
  <c r="O399" i="4"/>
  <c r="O123" i="4"/>
  <c r="O147" i="4"/>
  <c r="O135" i="4"/>
  <c r="O102" i="4"/>
  <c r="O78" i="4"/>
  <c r="O54" i="4"/>
  <c r="O42" i="4"/>
  <c r="O18" i="4"/>
  <c r="O246" i="4"/>
  <c r="O222" i="4"/>
  <c r="O270" i="4"/>
  <c r="O114" i="4"/>
  <c r="O90" i="4"/>
  <c r="O66" i="4"/>
  <c r="O30" i="4"/>
  <c r="O234" i="4"/>
  <c r="O657" i="4"/>
  <c r="O645" i="4"/>
  <c r="O656" i="4"/>
  <c r="O644" i="4"/>
  <c r="O653" i="4"/>
  <c r="O641" i="4"/>
  <c r="O663" i="4"/>
  <c r="O651" i="4"/>
  <c r="O639" i="4"/>
  <c r="O643" i="4"/>
  <c r="O658" i="4"/>
  <c r="O646" i="4"/>
  <c r="O655" i="4"/>
  <c r="O654" i="4"/>
  <c r="O642" i="4"/>
  <c r="O664" i="4"/>
  <c r="O652" i="4"/>
  <c r="O640" i="4"/>
  <c r="O537" i="4"/>
  <c r="O511" i="4"/>
  <c r="O522" i="4"/>
  <c r="O662" i="4"/>
  <c r="O650" i="4"/>
  <c r="O638" i="4"/>
  <c r="O660" i="4"/>
  <c r="O648" i="4"/>
  <c r="O659" i="4"/>
  <c r="O647" i="4"/>
  <c r="O661" i="4"/>
  <c r="O649" i="4"/>
  <c r="O291" i="4"/>
  <c r="O279" i="4"/>
  <c r="O555" i="4"/>
  <c r="O531" i="4"/>
  <c r="O627" i="4"/>
  <c r="O615" i="4"/>
  <c r="O351" i="4"/>
  <c r="O339" i="4"/>
  <c r="O315" i="4"/>
  <c r="O303" i="4"/>
  <c r="O435" i="4"/>
  <c r="O447" i="4"/>
  <c r="O255" i="4"/>
  <c r="O327" i="4"/>
  <c r="O520" i="4"/>
  <c r="O592" i="4"/>
  <c r="O580" i="4"/>
  <c r="O568" i="4"/>
  <c r="O208" i="4"/>
  <c r="O424" i="4"/>
  <c r="O412" i="4"/>
  <c r="O220" i="4"/>
  <c r="O436" i="4"/>
  <c r="O448" i="4"/>
  <c r="O532" i="4"/>
  <c r="O556" i="4"/>
  <c r="O628" i="4"/>
  <c r="O616" i="4"/>
  <c r="O604" i="4"/>
  <c r="O185" i="4"/>
  <c r="O209" i="4"/>
  <c r="O221" i="4"/>
  <c r="O138" i="4"/>
  <c r="O126" i="4"/>
  <c r="O258" i="4"/>
  <c r="O330" i="4"/>
  <c r="O192" i="4"/>
  <c r="O191" i="4"/>
  <c r="O345" i="4"/>
  <c r="O489" i="4"/>
  <c r="O513" i="4"/>
  <c r="O245" i="4"/>
  <c r="O233" i="4"/>
  <c r="O269" i="4"/>
  <c r="O366" i="4"/>
  <c r="O402" i="4"/>
  <c r="O390" i="4"/>
  <c r="O378" i="4"/>
  <c r="O461" i="4"/>
  <c r="O189" i="4"/>
  <c r="O144" i="4"/>
  <c r="O48" i="4"/>
  <c r="O132" i="4"/>
  <c r="O168" i="4"/>
  <c r="O108" i="4"/>
  <c r="O36" i="4"/>
  <c r="O204" i="4"/>
  <c r="O405" i="4"/>
  <c r="O12" i="4"/>
  <c r="O120" i="4"/>
  <c r="O213" i="4"/>
  <c r="O417" i="4"/>
  <c r="O297" i="4"/>
  <c r="O156" i="4"/>
  <c r="O96" i="4"/>
  <c r="O60" i="4"/>
  <c r="O219" i="4"/>
  <c r="O207" i="4"/>
  <c r="O316" i="4"/>
  <c r="O304" i="4"/>
  <c r="O370" i="4"/>
  <c r="O394" i="4"/>
  <c r="O382" i="4"/>
  <c r="O423" i="4"/>
  <c r="O411" i="4"/>
  <c r="O457" i="4"/>
  <c r="O469" i="4"/>
  <c r="O484" i="4"/>
  <c r="O496" i="4"/>
  <c r="O589" i="4"/>
  <c r="O577" i="4"/>
  <c r="O565" i="4"/>
  <c r="O84" i="4"/>
  <c r="O72" i="4"/>
  <c r="O24" i="4"/>
  <c r="O471" i="4"/>
  <c r="O485" i="4"/>
  <c r="O216" i="4"/>
  <c r="O264" i="4"/>
  <c r="O288" i="4"/>
  <c r="O600" i="4"/>
  <c r="O167" i="4"/>
  <c r="O155" i="4"/>
  <c r="O240" i="4"/>
  <c r="O228" i="4"/>
  <c r="O276" i="4"/>
  <c r="O360" i="4"/>
  <c r="O429" i="4"/>
  <c r="O441" i="4"/>
  <c r="O143" i="4"/>
  <c r="O612" i="4"/>
  <c r="O83" i="4"/>
  <c r="O47" i="4"/>
  <c r="O23" i="4"/>
  <c r="O261" i="4"/>
  <c r="O333" i="4"/>
  <c r="O321" i="4"/>
  <c r="O372" i="4"/>
  <c r="O396" i="4"/>
  <c r="O384" i="4"/>
  <c r="O480" i="4"/>
  <c r="O552" i="4"/>
  <c r="O252" i="4"/>
  <c r="O624" i="4"/>
  <c r="O107" i="4"/>
  <c r="O95" i="4"/>
  <c r="O71" i="4"/>
  <c r="O59" i="4"/>
  <c r="O35" i="4"/>
  <c r="O11" i="4"/>
  <c r="O285" i="4"/>
  <c r="O420" i="4"/>
  <c r="O119" i="4"/>
  <c r="O309" i="4"/>
  <c r="O324" i="4"/>
  <c r="O477" i="4"/>
  <c r="O528" i="4"/>
  <c r="O131" i="4"/>
  <c r="O453" i="4"/>
  <c r="O540" i="4"/>
  <c r="O636" i="4"/>
  <c r="O249" i="4"/>
  <c r="O237" i="4"/>
  <c r="O225" i="4"/>
  <c r="O273" i="4"/>
  <c r="O348" i="4"/>
  <c r="O357" i="4"/>
  <c r="O432" i="4"/>
  <c r="O444" i="4"/>
  <c r="O560" i="4"/>
  <c r="O503" i="4"/>
  <c r="O524" i="4"/>
  <c r="O632" i="4"/>
  <c r="O620" i="4"/>
  <c r="O608" i="4"/>
  <c r="O596" i="4"/>
  <c r="O408" i="4"/>
  <c r="O336" i="4"/>
  <c r="O492" i="4"/>
  <c r="O465" i="4"/>
  <c r="O369" i="4"/>
  <c r="O393" i="4"/>
  <c r="O381" i="4"/>
  <c r="O559" i="4"/>
  <c r="O547" i="4"/>
  <c r="O523" i="4"/>
  <c r="O509" i="4"/>
  <c r="O588" i="4"/>
  <c r="O576" i="4"/>
  <c r="O564" i="4"/>
  <c r="O631" i="4"/>
  <c r="O619" i="4"/>
  <c r="O607" i="4"/>
  <c r="O312" i="4"/>
  <c r="O300" i="4"/>
  <c r="O474" i="4"/>
  <c r="O501" i="4"/>
  <c r="O504" i="4"/>
  <c r="O585" i="4"/>
  <c r="O573" i="4"/>
  <c r="O561" i="4"/>
  <c r="O516" i="4"/>
  <c r="O38" i="4"/>
  <c r="O230" i="4"/>
  <c r="O625" i="4"/>
  <c r="O478" i="4"/>
  <c r="O250" i="4"/>
  <c r="O334" i="4"/>
  <c r="O414" i="4"/>
  <c r="O466" i="4"/>
  <c r="O158" i="4"/>
  <c r="O110" i="4"/>
  <c r="O86" i="4"/>
  <c r="O74" i="4"/>
  <c r="O62" i="4"/>
  <c r="O50" i="4"/>
  <c r="O14" i="4"/>
  <c r="O266" i="4"/>
  <c r="O637" i="4"/>
  <c r="O263" i="4"/>
  <c r="O335" i="4"/>
  <c r="O398" i="4"/>
  <c r="O463" i="4"/>
  <c r="O210" i="4"/>
  <c r="O262" i="4"/>
  <c r="O322" i="4"/>
  <c r="O397" i="4"/>
  <c r="O454" i="4"/>
  <c r="O551" i="4"/>
  <c r="O505" i="4"/>
  <c r="O635" i="4"/>
  <c r="O599" i="4"/>
  <c r="O239" i="4"/>
  <c r="O275" i="4"/>
  <c r="O286" i="4"/>
  <c r="O318" i="4"/>
  <c r="O306" i="4"/>
  <c r="O350" i="4"/>
  <c r="O359" i="4"/>
  <c r="O425" i="4"/>
  <c r="O413" i="4"/>
  <c r="O442" i="4"/>
  <c r="O455" i="4"/>
  <c r="O467" i="4"/>
  <c r="O481" i="4"/>
  <c r="O497" i="4"/>
  <c r="O538" i="4"/>
  <c r="O500" i="4"/>
  <c r="O527" i="4"/>
  <c r="O634" i="4"/>
  <c r="O622" i="4"/>
  <c r="O610" i="4"/>
  <c r="O598" i="4"/>
  <c r="O290" i="4"/>
  <c r="O278" i="4"/>
  <c r="O542" i="4"/>
  <c r="O98" i="4"/>
  <c r="O26" i="4"/>
  <c r="O242" i="4"/>
  <c r="O613" i="4"/>
  <c r="O251" i="4"/>
  <c r="O323" i="4"/>
  <c r="O374" i="4"/>
  <c r="O386" i="4"/>
  <c r="O287" i="4"/>
  <c r="O373" i="4"/>
  <c r="O385" i="4"/>
  <c r="O479" i="4"/>
  <c r="O482" i="4"/>
  <c r="O539" i="4"/>
  <c r="O515" i="4"/>
  <c r="O623" i="4"/>
  <c r="O611" i="4"/>
  <c r="O227" i="4"/>
  <c r="O238" i="4"/>
  <c r="O226" i="4"/>
  <c r="O274" i="4"/>
  <c r="O317" i="4"/>
  <c r="O305" i="4"/>
  <c r="O349" i="4"/>
  <c r="O371" i="4"/>
  <c r="O358" i="4"/>
  <c r="O395" i="4"/>
  <c r="O383" i="4"/>
  <c r="O431" i="4"/>
  <c r="O443" i="4"/>
  <c r="O456" i="4"/>
  <c r="O468" i="4"/>
  <c r="O549" i="4"/>
  <c r="O449" i="4"/>
  <c r="O525" i="4"/>
  <c r="O526" i="4"/>
  <c r="O633" i="4"/>
  <c r="O621" i="4"/>
  <c r="O609" i="4"/>
  <c r="O597" i="4"/>
  <c r="O2" i="4"/>
  <c r="O193" i="4"/>
  <c r="O218" i="4"/>
  <c r="O206" i="4"/>
  <c r="O347" i="4"/>
  <c r="O422" i="4"/>
  <c r="O410" i="4"/>
  <c r="O458" i="4"/>
  <c r="O512" i="4"/>
  <c r="O362" i="4"/>
  <c r="O162" i="4"/>
  <c r="O150" i="4"/>
  <c r="O217" i="4"/>
  <c r="O205" i="4"/>
  <c r="O294" i="4"/>
  <c r="O282" i="4"/>
  <c r="O314" i="4"/>
  <c r="O302" i="4"/>
  <c r="O346" i="4"/>
  <c r="O421" i="4"/>
  <c r="O409" i="4"/>
  <c r="O434" i="4"/>
  <c r="O446" i="4"/>
  <c r="O486" i="4"/>
  <c r="O558" i="4"/>
  <c r="O546" i="4"/>
  <c r="O534" i="4"/>
  <c r="O514" i="4"/>
  <c r="O535" i="4"/>
  <c r="O587" i="4"/>
  <c r="O575" i="4"/>
  <c r="O563" i="4"/>
  <c r="O630" i="4"/>
  <c r="O618" i="4"/>
  <c r="O606" i="4"/>
  <c r="O122" i="4"/>
  <c r="O6" i="4"/>
  <c r="O407" i="4"/>
  <c r="O470" i="4"/>
  <c r="O215" i="4"/>
  <c r="O419" i="4"/>
  <c r="O536" i="4"/>
  <c r="O146" i="4"/>
  <c r="O134" i="4"/>
  <c r="O214" i="4"/>
  <c r="O254" i="4"/>
  <c r="O311" i="4"/>
  <c r="O299" i="4"/>
  <c r="O338" i="4"/>
  <c r="O326" i="4"/>
  <c r="O418" i="4"/>
  <c r="O406" i="4"/>
  <c r="O450" i="4"/>
  <c r="O462" i="4"/>
  <c r="O475" i="4"/>
  <c r="O491" i="4"/>
  <c r="O494" i="4"/>
  <c r="O498" i="4"/>
  <c r="O530" i="4"/>
  <c r="O506" i="4"/>
  <c r="O550" i="4"/>
  <c r="O584" i="4"/>
  <c r="O572" i="4"/>
  <c r="O519" i="4"/>
  <c r="O554" i="4"/>
  <c r="O507" i="4"/>
  <c r="O518" i="4"/>
  <c r="O591" i="4"/>
  <c r="O579" i="4"/>
  <c r="O567" i="4"/>
  <c r="O590" i="4"/>
  <c r="O578" i="4"/>
  <c r="O566" i="4"/>
  <c r="O603" i="4"/>
  <c r="O430" i="4"/>
  <c r="O626" i="4"/>
  <c r="O614" i="4"/>
  <c r="O602" i="4"/>
</calcChain>
</file>

<file path=xl/sharedStrings.xml><?xml version="1.0" encoding="utf-8"?>
<sst xmlns="http://schemas.openxmlformats.org/spreadsheetml/2006/main" count="12929" uniqueCount="3134">
  <si>
    <t>Patient Insights Support - Ticket Overview</t>
  </si>
  <si>
    <t>Tickets opened with the Pfizer Support team. The purpose of this document is to present an aggregate view of tickets.</t>
  </si>
  <si>
    <t>Assignment Group:</t>
  </si>
  <si>
    <t>GBL-C4 MARM PATIENT INSIGHTS SUPPORT &amp; GBL-C4 MARM PATIENT INIGHTS SUPPORT L3</t>
  </si>
  <si>
    <t>Document Owners:</t>
  </si>
  <si>
    <t>Robert Peng</t>
  </si>
  <si>
    <t>Last updated:</t>
  </si>
  <si>
    <t>Jan/31/2025</t>
  </si>
  <si>
    <t>Priority</t>
  </si>
  <si>
    <t>Resolve SLA</t>
  </si>
  <si>
    <t>1 - Critical</t>
  </si>
  <si>
    <t>2 - High</t>
  </si>
  <si>
    <t>3 - Medium</t>
  </si>
  <si>
    <t>4 - Low</t>
  </si>
  <si>
    <t>Ticket ID</t>
  </si>
  <si>
    <t>Opened On</t>
  </si>
  <si>
    <t>Closed On</t>
  </si>
  <si>
    <t>Status</t>
  </si>
  <si>
    <t>Assignee</t>
  </si>
  <si>
    <t>Age (days)</t>
  </si>
  <si>
    <t>Application Affected</t>
  </si>
  <si>
    <t>Brief Description</t>
  </si>
  <si>
    <t>Category</t>
  </si>
  <si>
    <t>Subcategory</t>
  </si>
  <si>
    <t>Reporter</t>
  </si>
  <si>
    <t>Reported By</t>
  </si>
  <si>
    <t>SLA Threshold</t>
  </si>
  <si>
    <t>SLAs Met?</t>
  </si>
  <si>
    <t>IM44979703</t>
  </si>
  <si>
    <t>Closed</t>
  </si>
  <si>
    <t>ANANDA40</t>
  </si>
  <si>
    <t>PASSPORT</t>
  </si>
  <si>
    <t>Patient Insights | Job (BHVN HUB) not working in DEV</t>
  </si>
  <si>
    <t>Batch</t>
  </si>
  <si>
    <t>IICS</t>
  </si>
  <si>
    <t>GUNDANNA, PUNYA</t>
  </si>
  <si>
    <t>Support</t>
  </si>
  <si>
    <t>IM44987477</t>
  </si>
  <si>
    <t>MALLIA04</t>
  </si>
  <si>
    <t>TABLEAU | UAT | FW: PIN_SFLK_PATIENT_SUMMARY_AGG_VW Extract Refresh Failed</t>
  </si>
  <si>
    <t>Tableau</t>
  </si>
  <si>
    <t>MALLIKARJUN INGALALLI, ANUPAMA</t>
  </si>
  <si>
    <t>IM44906264</t>
  </si>
  <si>
    <t>Patient Insights | Master Load failed on 9/29</t>
  </si>
  <si>
    <t>DINALIS, KONSTANTINOS</t>
  </si>
  <si>
    <t>IM44922833</t>
  </si>
  <si>
    <t>GUNDAP04</t>
  </si>
  <si>
    <t>Patient Insights | TF_FAL_PAC_LOAD failed 10/4</t>
  </si>
  <si>
    <t>IM44906241</t>
  </si>
  <si>
    <t>Patient Insights | Taskflow Prescriber Writer load failed on 9/23</t>
  </si>
  <si>
    <t>IM44906286</t>
  </si>
  <si>
    <t>CHAMP</t>
  </si>
  <si>
    <t>Patient Insights | CHAMP Taskflow failed on 9/30</t>
  </si>
  <si>
    <t>IM41854611</t>
  </si>
  <si>
    <t>SIRIVV02</t>
  </si>
  <si>
    <t>The Mapping Task mt_pi_trn_trn_performance_summary_volume_update_data_load failed.</t>
  </si>
  <si>
    <t>SIRIVELLA, VISHNU VARDHAN</t>
  </si>
  <si>
    <t>IM44625661</t>
  </si>
  <si>
    <t>Patient Insights | Automatic Tableau data source refresh failure through IICS</t>
  </si>
  <si>
    <t>IM41861471</t>
  </si>
  <si>
    <t>Rider script issue in Dev server for Patient Insight Application</t>
  </si>
  <si>
    <t>Rider Script</t>
  </si>
  <si>
    <t>IM42533854</t>
  </si>
  <si>
    <t>Mapping task mt_pi_stg_trn_ptnt_dim_data_load in passport workflow getting hanged due to memory sort issues</t>
  </si>
  <si>
    <t>Job Failure</t>
  </si>
  <si>
    <t>IM43777508</t>
  </si>
  <si>
    <t>Patient Insight Application | TF_MASTER_HUB_PJT_LOAD getting failed from 28/11</t>
  </si>
  <si>
    <t>IM44497164</t>
  </si>
  <si>
    <t>Trigger the TALZENNA Taskflow in UAT environment.</t>
  </si>
  <si>
    <t>Ad-hoc job</t>
  </si>
  <si>
    <t>VEMURI, VISHAL</t>
  </si>
  <si>
    <t>Digital</t>
  </si>
  <si>
    <t>IM43630497</t>
  </si>
  <si>
    <t>Patient Insights | Taskflow TF_CHAMP_SPIF_KPI_master failed 9/21</t>
  </si>
  <si>
    <t>IM41736338</t>
  </si>
  <si>
    <t>IICS Jobs failure (Prod, Sit , dev)- Connecting to NAS Drive</t>
  </si>
  <si>
    <t>Other</t>
  </si>
  <si>
    <t>IM43651115</t>
  </si>
  <si>
    <t>Patient Insights | TF_MASTER_DERM_FILE_LOAD failed 9/27</t>
  </si>
  <si>
    <t>IM44418925</t>
  </si>
  <si>
    <t>Execution of Taskflows in UAT environment</t>
  </si>
  <si>
    <t>CHENNAM, VAMSIKRISHNA</t>
  </si>
  <si>
    <t>IM44552899</t>
  </si>
  <si>
    <t>Trigger the master Taskflow in UAT environment.</t>
  </si>
  <si>
    <t>IM43376471</t>
  </si>
  <si>
    <t>Patient Insights | Production | IICS taskflow failure</t>
  </si>
  <si>
    <t>IM43766479</t>
  </si>
  <si>
    <t>Patient Insights | Automatic data refresh through ETL (IICS) to Tableau is failing</t>
  </si>
  <si>
    <t>IM43919246</t>
  </si>
  <si>
    <t>Patient Insight | Automatic data refresh through ETL (IICS) to Tableau is failing</t>
  </si>
  <si>
    <t>ANAND, ASHISH</t>
  </si>
  <si>
    <t>IM44511482</t>
  </si>
  <si>
    <t>Patient Insights - Other Issue - Triggering of taskflows in UAT environment</t>
  </si>
  <si>
    <t>IM44710379</t>
  </si>
  <si>
    <t>Patient Insights | Production Readiness - Phase 1 &amp; 2 | Email ID Addition (Gen AI)</t>
  </si>
  <si>
    <t>IM44514997</t>
  </si>
  <si>
    <t>Placing the files in S3 bucket - UAT environment</t>
  </si>
  <si>
    <t>IM44516316</t>
  </si>
  <si>
    <t>To trigger GBT and BHVN taskflows in UAT Environment.</t>
  </si>
  <si>
    <t>IM44560636</t>
  </si>
  <si>
    <t>Need to place files in S3 bucket and to trigger (GBT &amp; BHVN) taskflows in UAT environment.</t>
  </si>
  <si>
    <t>IM43248509</t>
  </si>
  <si>
    <t>Bridge Master task flow got failed at MT_STG_BRDG_CASE_FCT Mapping task with parsing error</t>
  </si>
  <si>
    <t>IM43661245</t>
  </si>
  <si>
    <t>DINALK01</t>
  </si>
  <si>
    <t>Patient Insights | TF_PatientInsights_Master_Load taskflow failure 10/1</t>
  </si>
  <si>
    <t>IM44613563</t>
  </si>
  <si>
    <t>Need set of data files to trigger Master GBT task flow in Dev environment.</t>
  </si>
  <si>
    <t>IM42190524</t>
  </si>
  <si>
    <t>Mapping task of TF_PatientInsights_Master_Load got failed with object does not exists error</t>
  </si>
  <si>
    <t>IM42459196</t>
  </si>
  <si>
    <t>TF_S2_load Job whcih drives the vyndamax report got failed in production server</t>
  </si>
  <si>
    <t>IM43033706</t>
  </si>
  <si>
    <t>All of the Patient insights jobs are getting failing with error, which is related to admin level configuration</t>
  </si>
  <si>
    <t>IM43400754</t>
  </si>
  <si>
    <t>Patient Insight | Patient Master tasklfow faiure 7/21/2023</t>
  </si>
  <si>
    <t>IM43638457</t>
  </si>
  <si>
    <t>Patient Insights - CHAMP data load not completed</t>
  </si>
  <si>
    <t>Performance</t>
  </si>
  <si>
    <t>TROUGHT, ALLISON</t>
  </si>
  <si>
    <t>Business</t>
  </si>
  <si>
    <t>IM44493033</t>
  </si>
  <si>
    <t>Trigger the PatientInsights Master Taskflow(DERM) in UAT environment.</t>
  </si>
  <si>
    <t>IM44522992</t>
  </si>
  <si>
    <t>To upload files in S3 bucket and trigger taskflow in UAT environment.</t>
  </si>
  <si>
    <t>IM44529008</t>
  </si>
  <si>
    <t>Triggering the taskflows in UAT environment</t>
  </si>
  <si>
    <t>IM44545714</t>
  </si>
  <si>
    <t>Trigger the mapping task in UAT environment</t>
  </si>
  <si>
    <t>IM44615865</t>
  </si>
  <si>
    <t>Need to place data files in S3 bucket to trigger BHVN task flow in Dev environment.</t>
  </si>
  <si>
    <t>IM42172416</t>
  </si>
  <si>
    <t>ETL Task flow TF_PatientInsights_Master_Load is running morethan 11 hours.</t>
  </si>
  <si>
    <t>Job Performance</t>
  </si>
  <si>
    <t>IM42686701</t>
  </si>
  <si>
    <t>Taskflow TF_CHAMP_SPIF_KPI_master failed on Production 1/9</t>
  </si>
  <si>
    <t>Interface Failure</t>
  </si>
  <si>
    <t>IM43457934</t>
  </si>
  <si>
    <t>Patient Insight Application | Patient master job failed in production</t>
  </si>
  <si>
    <t>IM43543922</t>
  </si>
  <si>
    <t>Patient Insights | Taskflow TF_CHAMP_SPIF_KPI_master failure 8/31</t>
  </si>
  <si>
    <t>IM43612559</t>
  </si>
  <si>
    <t>Patient Insights | Taskflow TF_CHAMP_SPIF_KPI_master failed 9/15</t>
  </si>
  <si>
    <t>IM43761645</t>
  </si>
  <si>
    <t>Patient Insights | CHAMP Master Taskflow failure 10/27</t>
  </si>
  <si>
    <t>IM43864019</t>
  </si>
  <si>
    <t>Patient Insights | CHAMP | Data load failure 11/27</t>
  </si>
  <si>
    <t>IM43950438</t>
  </si>
  <si>
    <t>Patient Insights | S2 Failure | S2 Failure on 17th December</t>
  </si>
  <si>
    <t>IM43951205</t>
  </si>
  <si>
    <t>Patient Insights | TF_PatientInsights_Master_Load failed 12/18</t>
  </si>
  <si>
    <t>IM44057221</t>
  </si>
  <si>
    <t>Patient Insight | Double Down refresh on Monday</t>
  </si>
  <si>
    <t>IM44129705</t>
  </si>
  <si>
    <t>Patient Insights | TF_PATIENTINSIGHTS_MASTER_LOAD Failure</t>
  </si>
  <si>
    <t>IM44130239</t>
  </si>
  <si>
    <t>Patient Insights | TF_MASTER_HUB_PJT_LOAD failure 2/12</t>
  </si>
  <si>
    <t>IM44151264</t>
  </si>
  <si>
    <t>Patient Insights | Interface Failure | TF_PATIENTINSIGHTS_MASTER_LOAD</t>
  </si>
  <si>
    <t>IM44315642</t>
  </si>
  <si>
    <t>Patient Insights | PatientInsights_Master_load failure</t>
  </si>
  <si>
    <t>IM44496467</t>
  </si>
  <si>
    <t>Patient Insights - Other Issue - Trigger the HUB PORTFOLIO taskflow in UAT</t>
  </si>
  <si>
    <t>IM44552151</t>
  </si>
  <si>
    <t>Patient Insight :To trigger DERM taskflow in UAT environment</t>
  </si>
  <si>
    <t>IM44640580</t>
  </si>
  <si>
    <t>Need to place data files in S3 bucket and trigger GBT &amp; BHVN Master task flows in UAT environment.</t>
  </si>
  <si>
    <t>IM44673538</t>
  </si>
  <si>
    <t>Patient Insights | missed to schedule the jobs on Production for Velsipity release 2</t>
  </si>
  <si>
    <t>IM42190496</t>
  </si>
  <si>
    <t>After RFC #CR2188014 &amp; CR2186671 Deployment --POT Master Load task flow got failed</t>
  </si>
  <si>
    <t>IM43013035</t>
  </si>
  <si>
    <t>Tableau data sources from IICS and Shell scripts are not executing in patient insight prod IICS server. All are being queued but not executing.</t>
  </si>
  <si>
    <t>IM43517604</t>
  </si>
  <si>
    <t>CHAMP | Mapping task "mt_kpi_audit_flatnd_tbl" failed</t>
  </si>
  <si>
    <t>IM43869096</t>
  </si>
  <si>
    <t>Patient Insights - CHAMP Data refresh issue</t>
  </si>
  <si>
    <t>IM44000237</t>
  </si>
  <si>
    <t>TF_MASTER_GBT_LOAD failure in patient Insight Production server</t>
  </si>
  <si>
    <t>IM44137966</t>
  </si>
  <si>
    <t>Patient Insights | TF_MASTER_HUB_PJT_LOAD failure 2/14</t>
  </si>
  <si>
    <t>IM44165076</t>
  </si>
  <si>
    <t>Patient Insights | TF_MASTER_HUB_PJT_LOAD Failure | Production Environment</t>
  </si>
  <si>
    <t>IM44227837</t>
  </si>
  <si>
    <t>Patient Insights | CHAMP Taskflow failure 3/12</t>
  </si>
  <si>
    <t>IM44229932</t>
  </si>
  <si>
    <t>Patient Insights | TF_MASTER_HUB_PJT_LOAD</t>
  </si>
  <si>
    <t>IM44492818</t>
  </si>
  <si>
    <t>Patient Insights - execute TF_MASTER_POT_FILE_LOAD in UAT</t>
  </si>
  <si>
    <t>IM44538549</t>
  </si>
  <si>
    <t>Trigger the Enhanced Services Taskflows in UAT environment.</t>
  </si>
  <si>
    <t>IM43529841</t>
  </si>
  <si>
    <t>CHAMP | Unexpected missing SPIF data for Kroger Xeljanz</t>
  </si>
  <si>
    <t>Data Issue</t>
  </si>
  <si>
    <t>IM44588782</t>
  </si>
  <si>
    <t>Patient Insights | TF_ES_Financial_load &amp; TF_ES_Impact_Load - Data mismatch in specific columns</t>
  </si>
  <si>
    <t>Snowflake</t>
  </si>
  <si>
    <t>IM44599798</t>
  </si>
  <si>
    <t>Data mismatch in the CDM Load - Patient Summary Load mappings</t>
  </si>
  <si>
    <t>IM42365216</t>
  </si>
  <si>
    <t>Passport - New patient counts misalignment</t>
  </si>
  <si>
    <t>DESAI, RAJ</t>
  </si>
  <si>
    <t>IM44089679</t>
  </si>
  <si>
    <t>Data mismatch observed in HUB Portfolio table STG_HUB_POT_INTER_FCT_RD</t>
  </si>
  <si>
    <t>IM43091857</t>
  </si>
  <si>
    <t>Patient Insights | LASH | Multiple Patient ID tagged to 1 Case ID</t>
  </si>
  <si>
    <t>LASH</t>
  </si>
  <si>
    <t>SAMIAYYAN, SHANMUGAM</t>
  </si>
  <si>
    <t>IM43089864</t>
  </si>
  <si>
    <t>GANJR04</t>
  </si>
  <si>
    <t>Patient Insights - Data Quality dashboard not updated for new products</t>
  </si>
  <si>
    <t>IM43574695</t>
  </si>
  <si>
    <t>Patient Insights - Passport SPP Enhanced Services data issue</t>
  </si>
  <si>
    <t>IM44207594</t>
  </si>
  <si>
    <t>Patient Insight -Passport :2022 the data is not populated in the E/S Financial dashboard</t>
  </si>
  <si>
    <t>WANG, ERIC</t>
  </si>
  <si>
    <t>IM42246206</t>
  </si>
  <si>
    <t>PASSPORT -EXTERNAL || We have huge patient count difference b/w source data and passport patient status view</t>
  </si>
  <si>
    <t>THANGAVEL, RAMESH</t>
  </si>
  <si>
    <t>IM44258055</t>
  </si>
  <si>
    <t>Patient Insight -PASSPORT Hub Scorecard: Hub-Brand mismapping</t>
  </si>
  <si>
    <t>IM42404511</t>
  </si>
  <si>
    <t>CHAMP - Code is showing as Unmapped for NULL values</t>
  </si>
  <si>
    <t>IM43091906</t>
  </si>
  <si>
    <t>Patient Insights | LASH | Data discrepancy - Insurance data discrepancy between Patient , Benefit Profile and Case File</t>
  </si>
  <si>
    <t>IM43092020</t>
  </si>
  <si>
    <t>Patient Insights | LASH | Unique value records violation - Insurance criteria met</t>
  </si>
  <si>
    <t>IM43092056</t>
  </si>
  <si>
    <t>Patient Insights | LASH | Missing data - Missing POT Site information</t>
  </si>
  <si>
    <t>IM44046228</t>
  </si>
  <si>
    <t>Patient Insights | Future Referral date issue</t>
  </si>
  <si>
    <t>DING, MING</t>
  </si>
  <si>
    <t>IM42440296</t>
  </si>
  <si>
    <t>CHAMP Application | Account Name: Kroger | Request: Update Kroger account with additional Spec_pharm_nm mapping</t>
  </si>
  <si>
    <t>IM44341094</t>
  </si>
  <si>
    <t>Reference tables clean-up</t>
  </si>
  <si>
    <t>PENG, XIAO JIANG</t>
  </si>
  <si>
    <t>IM44529550</t>
  </si>
  <si>
    <t>Patient Insights | BHVN HUB Copay | Missing transaction type information</t>
  </si>
  <si>
    <t>Claritas</t>
  </si>
  <si>
    <t>UDAYAKUMAR, SOWMIYA</t>
  </si>
  <si>
    <t>IM42616009</t>
  </si>
  <si>
    <t>Patient Insights - Talzenna dashboard data Issue</t>
  </si>
  <si>
    <t>IM43628691</t>
  </si>
  <si>
    <t>Patient Insights - Passport SPP fulfillment rate data issue</t>
  </si>
  <si>
    <t>IM43819267</t>
  </si>
  <si>
    <t>Patient Insights | Passport SPP Acaria-Xeljanz fulfillment rate issue</t>
  </si>
  <si>
    <t>IM44754354</t>
  </si>
  <si>
    <t>Patient Insights - FRM regions not correct</t>
  </si>
  <si>
    <t>IM43574680</t>
  </si>
  <si>
    <t>Patient Insights - Passport SPP Accredo-Somavert data issue</t>
  </si>
  <si>
    <t>IM44348564</t>
  </si>
  <si>
    <t>Patient Insights | HUB Scorecard - m_cdw_cust_dim_load - Data truncated in the column CUST_SUB_TYPE_3_CD</t>
  </si>
  <si>
    <t>IM42956217</t>
  </si>
  <si>
    <t>Amba Dashboard | Discrepancy in Opt-in Data</t>
  </si>
  <si>
    <t>ALTER, JONATHAN MICHAEL</t>
  </si>
  <si>
    <t>IM44278640</t>
  </si>
  <si>
    <t>Patient Insights | Enhanced Services Impact number of engagement issue</t>
  </si>
  <si>
    <t>IM44176118</t>
  </si>
  <si>
    <t>Patient Insights | BHVN | HCP Address not updated</t>
  </si>
  <si>
    <t>YALGI, SAMEER A</t>
  </si>
  <si>
    <t>IM43692447</t>
  </si>
  <si>
    <t>Patient Insights - SPIF for Accredo 2022 missing</t>
  </si>
  <si>
    <t>IM44169034</t>
  </si>
  <si>
    <t>Patient Insights | Claritas BHVN | Delay with CRx Data feeds</t>
  </si>
  <si>
    <t>IM42688707</t>
  </si>
  <si>
    <t>Negative values in HUB Time to Fill metric</t>
  </si>
  <si>
    <t>DADHICH, NAMAN</t>
  </si>
  <si>
    <t>IM43092077</t>
  </si>
  <si>
    <t>Patient Insights | LASH | Missing data - Somavert fills data</t>
  </si>
  <si>
    <t>IM43898510</t>
  </si>
  <si>
    <t>Passport dashboard validation for Braftovi and Braftovi/Mektovi</t>
  </si>
  <si>
    <t>IM43632721</t>
  </si>
  <si>
    <t>GANJIR04</t>
  </si>
  <si>
    <t>Patient Insights - Brand Analytics fulfillment data issue</t>
  </si>
  <si>
    <t>IM44782193</t>
  </si>
  <si>
    <t>Patient Experience 90D Fill Rate 2024-08-22</t>
  </si>
  <si>
    <t>IM41820332</t>
  </si>
  <si>
    <t>GBL-C4 MARM PATIENT INSIGHTS SUPPORT - De-duplication logic to be revised in CHAMP for lst_int_dt for intervention activities</t>
  </si>
  <si>
    <t>IM44117286</t>
  </si>
  <si>
    <t>Patient Insights | Passport SPP | CVS Braf/Mek discrepancy Q4</t>
  </si>
  <si>
    <t>OSIPOWER, LISA</t>
  </si>
  <si>
    <t>IM41753824</t>
  </si>
  <si>
    <t>The DOT gap between Passport and the numbers we have received from Pfizerworks have getting fair big at the moment. We need to reevaluate the methodology and make sure everything is working correctly.</t>
  </si>
  <si>
    <t>IM43091810</t>
  </si>
  <si>
    <t>Patient Insights | Sonexus | Sonexus SPIF Specialty Pharmacy Account Names</t>
  </si>
  <si>
    <t>Sonexus</t>
  </si>
  <si>
    <t>IM43890469</t>
  </si>
  <si>
    <t>CHAMP | Optum 2023 missing SPIF data</t>
  </si>
  <si>
    <t>IM43570684</t>
  </si>
  <si>
    <t>Patient Insights - CHAMP Caremark Ibrance 2022 do not align</t>
  </si>
  <si>
    <t>IM44368751</t>
  </si>
  <si>
    <t>Patient Insight |Data mismatch for the ACCOUNT, ACCOUNT_TYPE columns in Ibrance, Xeljanz - Persistency Mappings</t>
  </si>
  <si>
    <t>IM45111282</t>
  </si>
  <si>
    <t>AMBA data differences between Walgreens and patient insight extraction</t>
  </si>
  <si>
    <t>GOLDSMITH, GEORGE</t>
  </si>
  <si>
    <t>IM43067170</t>
  </si>
  <si>
    <t>Patient Insights - Fulfillment rate and network calculation logic</t>
  </si>
  <si>
    <t>IM45135442</t>
  </si>
  <si>
    <t>Patient Insights - Data Issue</t>
  </si>
  <si>
    <t>IM44591811</t>
  </si>
  <si>
    <t>Amba Dashboard Data Inquiry</t>
  </si>
  <si>
    <t>IM43644345</t>
  </si>
  <si>
    <t>Patient Insights - DON Services data issue</t>
  </si>
  <si>
    <t>Web App</t>
  </si>
  <si>
    <t>IM43606214</t>
  </si>
  <si>
    <t>Patient Insights | SONEXUS | Triage Data questions</t>
  </si>
  <si>
    <t>Question</t>
  </si>
  <si>
    <t>IM44561005</t>
  </si>
  <si>
    <t>Patient Insights | DERM | HCO Phone and Fax length issue</t>
  </si>
  <si>
    <t>SHAIK, SADHATHAMEED</t>
  </si>
  <si>
    <t>IM45135126</t>
  </si>
  <si>
    <t>Patient Insights -FRM Dashboard: Vyndamax data not populating</t>
  </si>
  <si>
    <t>IM44084842</t>
  </si>
  <si>
    <t>Patient Insights | Texas Account Mapping</t>
  </si>
  <si>
    <t>IM44260802</t>
  </si>
  <si>
    <t>Patient Insights - CHAMP :missing SPIF for Walgreens Vyndaqel/Vyndamax</t>
  </si>
  <si>
    <t>IM44838337</t>
  </si>
  <si>
    <t>Patient Insights | Primary_payer_pcn values are populating as null - Patient Summary Load mappings</t>
  </si>
  <si>
    <t>IM43606115</t>
  </si>
  <si>
    <t>Patient Insights | LASH | Triage Data questions</t>
  </si>
  <si>
    <t>IM43792481</t>
  </si>
  <si>
    <t>Patient Insights - CHAMP SPP Validation - Data Issue</t>
  </si>
  <si>
    <t>IM43262030</t>
  </si>
  <si>
    <t>BABUS32</t>
  </si>
  <si>
    <t>Patient Insights - AMBA Dashboard refresh date</t>
  </si>
  <si>
    <t>IM43612488</t>
  </si>
  <si>
    <t>Patient Insights | LASH | PAC data question</t>
  </si>
  <si>
    <t>IM44097118</t>
  </si>
  <si>
    <t>Patient Insights - CHAMP - SPP Validation issue</t>
  </si>
  <si>
    <t>IM42274987</t>
  </si>
  <si>
    <t>Passport | Amber SP | No data showing for specific Oncology brands</t>
  </si>
  <si>
    <t>IM43632121</t>
  </si>
  <si>
    <t>Patient Insights | Vyndamax Persistency questions</t>
  </si>
  <si>
    <t>IM44098489</t>
  </si>
  <si>
    <t>Patient Insights - CHAMP - Oxbryta intervention mapping</t>
  </si>
  <si>
    <t>IM41820264</t>
  </si>
  <si>
    <t>GBL-C4 MARM PATIENT INSIGHTS SUPPORT</t>
  </si>
  <si>
    <t>IM42286819</t>
  </si>
  <si>
    <t>Passport | Patient Code mapping issue</t>
  </si>
  <si>
    <t>IM44545871</t>
  </si>
  <si>
    <t>Patient Insights | Hub scorecard question</t>
  </si>
  <si>
    <t>IM43091925</t>
  </si>
  <si>
    <t>Patient Insights | LASH | Data discrepancy - Shipment and fill date data discrepancy</t>
  </si>
  <si>
    <t>IM44058680</t>
  </si>
  <si>
    <t>Patient Insights - Passport SPP - Accredo Braftovi-Mektovi patient counts mismatch with Vendor</t>
  </si>
  <si>
    <t>IM45107783</t>
  </si>
  <si>
    <t>Patient Insights - CHAMP | CVS Specialty Oxbryta there are unmapped SPIF codes</t>
  </si>
  <si>
    <t>Mapping</t>
  </si>
  <si>
    <t>IM43034145</t>
  </si>
  <si>
    <t>Patient Insights - Data not showing in CHAMP dashboard as expected</t>
  </si>
  <si>
    <t>IM44564094</t>
  </si>
  <si>
    <t>Patient Insights | GBT | Data getting truncated in column TYPE_OF_ACTIVITY</t>
  </si>
  <si>
    <t>IM43065861</t>
  </si>
  <si>
    <t>Duplicate records available in SPIF count</t>
  </si>
  <si>
    <t>IM43696100</t>
  </si>
  <si>
    <t>Patient Insights - CHAMP SPP Validation data discrepancy</t>
  </si>
  <si>
    <t>IM44568335</t>
  </si>
  <si>
    <t>Patient Insights | BHVN | Data getting truncated in column PRIMARY_ICD_CD</t>
  </si>
  <si>
    <t>IM42246137</t>
  </si>
  <si>
    <t>PASSPORT EXTERNAL || Enhanced services call data for centerwell account doesn’t seem to be flowing through</t>
  </si>
  <si>
    <t>IM44024029</t>
  </si>
  <si>
    <t>Patient Insights - Passport SPP Onco360-Braftovi Fulfillment rate issue</t>
  </si>
  <si>
    <t>IM43333227</t>
  </si>
  <si>
    <t>Brand Analytics | Xtandi question</t>
  </si>
  <si>
    <t>IM44059679</t>
  </si>
  <si>
    <t>Patient Insights | Passport SPP - Patient experience dashboard fill data gap</t>
  </si>
  <si>
    <t>IM44248027</t>
  </si>
  <si>
    <t>Patient Insights - Enhanced Services - Centerwell no data issue</t>
  </si>
  <si>
    <t>IM41856154</t>
  </si>
  <si>
    <t>Vyndamax patient experience report - No data displayed</t>
  </si>
  <si>
    <t>IM43448647</t>
  </si>
  <si>
    <t>Patient Insights - CHAMP SPIF codes missing in mapping sheet but available in Patient Point</t>
  </si>
  <si>
    <t>IM43572432</t>
  </si>
  <si>
    <t>Patient Insights - HUB Portfolio POT data issue</t>
  </si>
  <si>
    <t>IM44098515</t>
  </si>
  <si>
    <t>Patient Insights - Passport SPP DoT calculation for Braftovi/Mektovi</t>
  </si>
  <si>
    <t>IM44239574</t>
  </si>
  <si>
    <t>Patient Insights - CHAMP - Issue with SPIF mapping for Accredo-Oxbryta</t>
  </si>
  <si>
    <t>IM42795571</t>
  </si>
  <si>
    <t>Patient Insights | SPP External data issue</t>
  </si>
  <si>
    <t>IM44112546</t>
  </si>
  <si>
    <t>Patient Insights | Passport SPP | Patient Status count inconsistencies</t>
  </si>
  <si>
    <t>IM42327441</t>
  </si>
  <si>
    <t>Unable to update the brand name of product ABROCITINIB</t>
  </si>
  <si>
    <t>IM43059608</t>
  </si>
  <si>
    <t>Patient Insights - One and done rate is misstated (Q1 2023)</t>
  </si>
  <si>
    <t>IM44404635</t>
  </si>
  <si>
    <t>IM44793931</t>
  </si>
  <si>
    <t>Patient Insights | Passport SPP KPI duplicated for Texas account</t>
  </si>
  <si>
    <t>IM43045690</t>
  </si>
  <si>
    <t>The numbers we have from Champ for Ibrance - Fax for Jan-2013 don't match with the SPIF data. We will need to understand the current mapping for Elixir</t>
  </si>
  <si>
    <t>IM44544687</t>
  </si>
  <si>
    <t>SPP fill rate for Xeljanz</t>
  </si>
  <si>
    <t>Enhancement</t>
  </si>
  <si>
    <t>IM44848793</t>
  </si>
  <si>
    <t>Patient Insights | Update USER_ROLE_XREF</t>
  </si>
  <si>
    <t>Data Refresh</t>
  </si>
  <si>
    <t>KARDI, PANDE PUTU ADYSTI</t>
  </si>
  <si>
    <t>IM44098362</t>
  </si>
  <si>
    <t>Patient Insights - Clarification on "m_kpi_audit_flatnd_tbl" Mapping</t>
  </si>
  <si>
    <t>AKONDI, PRAVEEN</t>
  </si>
  <si>
    <t>IM44275667</t>
  </si>
  <si>
    <t>Patient Insights | Passport SPP Enhanced Services issue</t>
  </si>
  <si>
    <t>IM41979517</t>
  </si>
  <si>
    <t>Brand Analytics issue</t>
  </si>
  <si>
    <t>IM44185877</t>
  </si>
  <si>
    <t>Patient Insight- CHAMP Data present in SPIF mapping but missing from contract</t>
  </si>
  <si>
    <t>IM43960217</t>
  </si>
  <si>
    <t>State Mismatch In Legacy GBT &amp; Patient Insights Data</t>
  </si>
  <si>
    <t>RAI, ARCHITA</t>
  </si>
  <si>
    <t>IM44020446</t>
  </si>
  <si>
    <t>Patient Insights - CHAMP does not display the 2024 data</t>
  </si>
  <si>
    <t>IM44217835</t>
  </si>
  <si>
    <t>NULL value issue in NEW_PTNT_IND for OXBRYTA</t>
  </si>
  <si>
    <t>KANAKALA, LIKITHA</t>
  </si>
  <si>
    <t>IM45033305</t>
  </si>
  <si>
    <t>Patient Insights | Persistency calculation issue for Patient CDM</t>
  </si>
  <si>
    <t>DURAIMANICKAM, INDHUJA</t>
  </si>
  <si>
    <t>IM43100107</t>
  </si>
  <si>
    <t>Patient Insights - Amber data issue &amp; patient/dispensed volume count higher than expected</t>
  </si>
  <si>
    <t>IM44096042</t>
  </si>
  <si>
    <t>Patient Insights - CHAMP - Acaria SPIF mapping missing for 2024</t>
  </si>
  <si>
    <t>IM44151812</t>
  </si>
  <si>
    <t>Ibrance Patient Experience Report - Not refreshed</t>
  </si>
  <si>
    <t>IM44212206</t>
  </si>
  <si>
    <t>Patient Insights - Mapping task issue (mt_pi_stg_trn_patient_status_dim_load)</t>
  </si>
  <si>
    <t>Project Team</t>
  </si>
  <si>
    <t>IM44959265</t>
  </si>
  <si>
    <t>Passport Enhanced service patient count metric vs. enrollment mis-match</t>
  </si>
  <si>
    <t>IM45271072</t>
  </si>
  <si>
    <t>Error while opening the CHAMP dashboard in PASS_DEv, PASS_SIT, PASS_UAT</t>
  </si>
  <si>
    <t>KALIGIRI, SWAPNA</t>
  </si>
  <si>
    <t>IM45277621</t>
  </si>
  <si>
    <t>Patient Insights - Application Issue</t>
  </si>
  <si>
    <t>IM42703161</t>
  </si>
  <si>
    <t>Patient Point - Error while updating Contract ID 4857</t>
  </si>
  <si>
    <t>IM42703634</t>
  </si>
  <si>
    <t>Patient Point - Duplicate records on contract 1147</t>
  </si>
  <si>
    <t>IM43574325</t>
  </si>
  <si>
    <t>Patient Insights - AMBA - Date filter not working properly</t>
  </si>
  <si>
    <t>IM44051740</t>
  </si>
  <si>
    <t>Patient Insights - 2024 budget not available for contracts added at the end of 2023</t>
  </si>
  <si>
    <t>IM44194762</t>
  </si>
  <si>
    <t>Patient Insights - champ -Data Issue for Kroger account</t>
  </si>
  <si>
    <t>IM45245485</t>
  </si>
  <si>
    <t>IM45289084</t>
  </si>
  <si>
    <t>IM45279941</t>
  </si>
  <si>
    <t>Plan Payer channel mapping question - FAL</t>
  </si>
  <si>
    <t>HAQUE, ASAD UL</t>
  </si>
  <si>
    <t>IM42202493</t>
  </si>
  <si>
    <t>PASSPORT | Metrics for recent quarters are not showing up in the platform.</t>
  </si>
  <si>
    <t>IM42202626</t>
  </si>
  <si>
    <t>Passport | Wrong products getting included in portfolio level reports.</t>
  </si>
  <si>
    <t>IM42905363</t>
  </si>
  <si>
    <t>Patient Point - Contract 4852 missing start dates</t>
  </si>
  <si>
    <t>IM44232550</t>
  </si>
  <si>
    <t>IM44232550 - CHAMP is not picking up SPIF for CVS Caremark Vyndaqel program</t>
  </si>
  <si>
    <t>IM44559176</t>
  </si>
  <si>
    <t>Patient Insights - Optum/Somavert Welcome Calls - November 2023 mismatch</t>
  </si>
  <si>
    <t>IM44643718</t>
  </si>
  <si>
    <t>SPP Data Issue for XELJANZ,CIBINQO,LITFULO,VELSIPITY</t>
  </si>
  <si>
    <t>PARAMESWARAN, KARTHIGA</t>
  </si>
  <si>
    <t>IM44791815</t>
  </si>
  <si>
    <t>Patient Insights - Incorrect missing invoice message for Contract 4879</t>
  </si>
  <si>
    <t>IM45128411</t>
  </si>
  <si>
    <t>Velsipity Acaria-missing data in Passport dashboards</t>
  </si>
  <si>
    <t>IM45303177</t>
  </si>
  <si>
    <t>IM45335600</t>
  </si>
  <si>
    <t>IM45096090</t>
  </si>
  <si>
    <t>Patient Insights - SPIF mapping issue for Walgreens/Braftovi</t>
  </si>
  <si>
    <t>IM45242042</t>
  </si>
  <si>
    <t>Update data for OSOT Dashboard - Route to GBL-C4 MARM PATIENT INSIGHTS SUPPORT</t>
  </si>
  <si>
    <t>IM45342053</t>
  </si>
  <si>
    <t>IM43833579</t>
  </si>
  <si>
    <t>Patient Insights - CHAMP - BioPlus-Ibrance unmapped records</t>
  </si>
  <si>
    <t>IM44775855</t>
  </si>
  <si>
    <t>Patient Insights | AMBA dashboard duplicate data</t>
  </si>
  <si>
    <t>IM44948319</t>
  </si>
  <si>
    <t>Patient Insights - August Data Point for PA CMM Status in KPI Engagement Report</t>
  </si>
  <si>
    <t>GOLLER, MARK</t>
  </si>
  <si>
    <t>IM44960493</t>
  </si>
  <si>
    <t>Patient Insights | Other_Coverage_CD | BHVN COPAY</t>
  </si>
  <si>
    <t>IM45075681</t>
  </si>
  <si>
    <t>Patient Insights | TF_FAL_PAC_LOAD failure 11/21</t>
  </si>
  <si>
    <t>IM45243138</t>
  </si>
  <si>
    <t>OTHER</t>
  </si>
  <si>
    <t>IM42560753</t>
  </si>
  <si>
    <t>Last refresh date in amba dashboard must be 11/25 but it is showing 11/18</t>
  </si>
  <si>
    <t>DIXIT, RISHI</t>
  </si>
  <si>
    <t>IM42945815</t>
  </si>
  <si>
    <t>CHAMP - Update/Refresh question</t>
  </si>
  <si>
    <t>IM42963870</t>
  </si>
  <si>
    <t>CHAMP | Unmapped SPIF codes</t>
  </si>
  <si>
    <t>IM43493652</t>
  </si>
  <si>
    <t>Data Quality | Only Vyndaqel and Xeljanz brands available</t>
  </si>
  <si>
    <t>IM44059667</t>
  </si>
  <si>
    <t>The Ibrance patient experience report is shown as last updated at 12-Oct-2023 and the most recent quarter is Q2’23.</t>
  </si>
  <si>
    <t>IM44072283</t>
  </si>
  <si>
    <t>Patient Insights - Data Issue - Champ- (TF_CHAMP_SPIF_KPI_master)</t>
  </si>
  <si>
    <t>IM44099506</t>
  </si>
  <si>
    <t>IM44354312</t>
  </si>
  <si>
    <t>Patient Insights | Patient Experience report is empty</t>
  </si>
  <si>
    <t>GEORGE, AJOY</t>
  </si>
  <si>
    <t>IM44379645</t>
  </si>
  <si>
    <t>Passport dashboard - Internal</t>
  </si>
  <si>
    <t>IM44947189</t>
  </si>
  <si>
    <t>MUTHURAMALINGAM, VIMALA GOKULAM</t>
  </si>
  <si>
    <t>IM45075592</t>
  </si>
  <si>
    <t>Patient Insights | DERM master load failed 11/20</t>
  </si>
  <si>
    <t>IM42664133</t>
  </si>
  <si>
    <t>IM42714818</t>
  </si>
  <si>
    <t>Amba Dashboard Refresh Issue</t>
  </si>
  <si>
    <t>IM43027980</t>
  </si>
  <si>
    <t>Patient Insights - Patient Insights Usage dashboard not updated</t>
  </si>
  <si>
    <t>IM43252914</t>
  </si>
  <si>
    <t>Patient Insights - Champ question-Bioplus</t>
  </si>
  <si>
    <t>IM44090379</t>
  </si>
  <si>
    <t>Patient Insights | Brand Analytics | Referral Date issue</t>
  </si>
  <si>
    <t>IM44184387</t>
  </si>
  <si>
    <t>Patient Insights | Passport SPP | Acaria/Xeljanz Q4 2023 fulfillment rate</t>
  </si>
  <si>
    <t>IM44630935</t>
  </si>
  <si>
    <t>Patient Insights - Unexpected unmapped SPIF in CHAMP</t>
  </si>
  <si>
    <t>IM44718929</t>
  </si>
  <si>
    <t>Patient Insights | Patient Experience Velsipity Fulfillment rate issue</t>
  </si>
  <si>
    <t>IM44820207</t>
  </si>
  <si>
    <t>Patient Insights - Patient Point Data Issue</t>
  </si>
  <si>
    <t>IM45232194</t>
  </si>
  <si>
    <t>Patient Insights | BRIDGE | HUB interface failure on 01/15/2025</t>
  </si>
  <si>
    <t>IM45323470</t>
  </si>
  <si>
    <t>Patient Insights - Data Issue - Velsipity - Baseline Assessment Value Issue</t>
  </si>
  <si>
    <t>IM45249196</t>
  </si>
  <si>
    <t>CHANDU06</t>
  </si>
  <si>
    <t>Update the Primary Care FAL and PAC dashboard Route to GBL-C4 MARM PATIENT INSIGHTS SUPPORT</t>
  </si>
  <si>
    <t>IM43347198</t>
  </si>
  <si>
    <t>CHAMP | SPIF unmapped even if mapping is setup on Patient Point</t>
  </si>
  <si>
    <t>IM43410763</t>
  </si>
  <si>
    <t>Patient Point | Duplication error while updating contract 4832</t>
  </si>
  <si>
    <t>IM43603660</t>
  </si>
  <si>
    <t>Patient Insights - CHAMP Elixir-Inlyta SPIF missing incorrectly</t>
  </si>
  <si>
    <t>IM43926374</t>
  </si>
  <si>
    <t>Patient Point | Budget needs to be reverted back</t>
  </si>
  <si>
    <t>IM44112581</t>
  </si>
  <si>
    <t>Patient Insights | Inquiry - CenterWell Q4 Braftovi</t>
  </si>
  <si>
    <t>IM44175761</t>
  </si>
  <si>
    <t>Patient Insights - Pending patient disappeared Acaria/Q4/Braftovi</t>
  </si>
  <si>
    <t>IM44175818</t>
  </si>
  <si>
    <t>Patient Insights - Kroger/Q4/Braftovi missing new patient in Efficiency tab</t>
  </si>
  <si>
    <t>IM44256640</t>
  </si>
  <si>
    <t>Patient Insights - CHAMP SPP Validation tab - Velsipity missing</t>
  </si>
  <si>
    <t>IM44420684</t>
  </si>
  <si>
    <t>IM44508435</t>
  </si>
  <si>
    <t>Patient Insights - CHAMP not refreshed as expected</t>
  </si>
  <si>
    <t>IM45075647</t>
  </si>
  <si>
    <t>Patient Insights | TF_FRM_ENGMT_LOAD failure 11/20</t>
  </si>
  <si>
    <t>IM45107059</t>
  </si>
  <si>
    <t>Patient Insights - System Performance or Failure</t>
  </si>
  <si>
    <t>IM45198941</t>
  </si>
  <si>
    <t>Patient Insights | PatientInsights_Master_Load Failure</t>
  </si>
  <si>
    <t>IM45285299</t>
  </si>
  <si>
    <t>OPSA link is not working</t>
  </si>
  <si>
    <t>IM42363405</t>
  </si>
  <si>
    <t>Observed that, Discontinued reason codes are missing from the passport patient summary</t>
  </si>
  <si>
    <t>IM42714822</t>
  </si>
  <si>
    <t>Regarding the Amba Summary dashboard, it appears the last refresh date was Dec 30th 2022. This dashboard is supposed to be updated with the latest data from IQVIA each Friday.</t>
  </si>
  <si>
    <t>IM44239566</t>
  </si>
  <si>
    <t>Patient Insights -CHAMP Lumicera-Xeljanz unmapped files</t>
  </si>
  <si>
    <t>IM45350064</t>
  </si>
  <si>
    <t>Passport Dispensed volume blank</t>
  </si>
  <si>
    <t>IM45285776</t>
  </si>
  <si>
    <t>IM45317517</t>
  </si>
  <si>
    <t>Patient Insights FRM Users alignment with Troy's File</t>
  </si>
  <si>
    <t>NISHAD, AMARCHAND SATYANARAYAN</t>
  </si>
  <si>
    <t>IM45291325</t>
  </si>
  <si>
    <t>Refresh Tables from PROD to DEV &amp; UAT</t>
  </si>
  <si>
    <t>PATRO, P SAURAV KUMAR</t>
  </si>
  <si>
    <t>IM45310930</t>
  </si>
  <si>
    <t>Patient Insights FRM USER_XREF_ROLE Mapping Fix</t>
  </si>
  <si>
    <t>IM41736552</t>
  </si>
  <si>
    <t>To track the list of SOP's for Patient Insight Application</t>
  </si>
  <si>
    <t>Documentation</t>
  </si>
  <si>
    <t>SOP</t>
  </si>
  <si>
    <t>IM44982114</t>
  </si>
  <si>
    <t>Update Patient Insights FAL PAC geography alignments</t>
  </si>
  <si>
    <t>Data Update</t>
  </si>
  <si>
    <t>IM45263137</t>
  </si>
  <si>
    <t>Patient Insight | TF_CHAMP_SPIF_KPI_MASTER | 28th January 2025</t>
  </si>
  <si>
    <t>IM45191186</t>
  </si>
  <si>
    <t>Data Point for PA CMM Status in KPI Engagement Report</t>
  </si>
  <si>
    <t>Environment</t>
  </si>
  <si>
    <t>IM43636894</t>
  </si>
  <si>
    <t>Patient Insights | GitHub Dependabot alerts</t>
  </si>
  <si>
    <t>Dependabot</t>
  </si>
  <si>
    <t>IM41852377</t>
  </si>
  <si>
    <t>Automated set up required for DEV cdw tables refresh</t>
  </si>
  <si>
    <t>IM45233229</t>
  </si>
  <si>
    <t>PI Specialty Care FRM Dashboard I&amp;I Zip2Terr issue</t>
  </si>
  <si>
    <t>IM45221191</t>
  </si>
  <si>
    <t>OPSA Field Access Analytics Dashboard</t>
  </si>
  <si>
    <t>PAL, SARIKA</t>
  </si>
  <si>
    <t>IM45210734</t>
  </si>
  <si>
    <t>UAT and Production Files Upload</t>
  </si>
  <si>
    <t>JAYAPRAKASH, PRADEESH D</t>
  </si>
  <si>
    <t>IM44707919</t>
  </si>
  <si>
    <t>TABLEAU | FW: PRESCRIBER_NEW_WRITER_VW (PNTINSIGHT_RPT) Extract Refresh Failed</t>
  </si>
  <si>
    <t>MORE, SHAILESH</t>
  </si>
  <si>
    <t>IM45175397</t>
  </si>
  <si>
    <t>Patient Insights | GenWizard Model Upgrade Stage Testing</t>
  </si>
  <si>
    <t>IM44690236</t>
  </si>
  <si>
    <t>Patient Insights | Scorecard Dashboard Extract Refresh Failed</t>
  </si>
  <si>
    <t>IM45042035</t>
  </si>
  <si>
    <t>TABLEAU</t>
  </si>
  <si>
    <t>TABLEAU | FW: Data Quality Management Dashboard Extract Refresh Failed</t>
  </si>
  <si>
    <t>IM41652167</t>
  </si>
  <si>
    <t>Pap Fills data prod &amp; NAS drive issue</t>
  </si>
  <si>
    <t>IM43690105</t>
  </si>
  <si>
    <t>Refresh Dev snowflake DB with prod data</t>
  </si>
  <si>
    <t>IM44838901</t>
  </si>
  <si>
    <t>TABLEAU | FW: SelfServiceDS_Historicals_Events Extract Refresh Failed</t>
  </si>
  <si>
    <t>IM45227981</t>
  </si>
  <si>
    <t>CDW DATA REFRESH FROM PROD TO LOWER ENVIRONMENT</t>
  </si>
  <si>
    <t>DALUI, SUDIPTA</t>
  </si>
  <si>
    <t>IM43933186</t>
  </si>
  <si>
    <t>Invalid Mapping in UAT - m_pi_trn_efficiency_fulfillment_rate_summary_load</t>
  </si>
  <si>
    <t>NAYANI, VENKATANARESH</t>
  </si>
  <si>
    <t>IM44703720</t>
  </si>
  <si>
    <t>Patient Insights | CDW tables refresh from PROD to lower environment.</t>
  </si>
  <si>
    <t>IM41657575</t>
  </si>
  <si>
    <t>New AD group Creation for Tableau</t>
  </si>
  <si>
    <t>IM43653074</t>
  </si>
  <si>
    <t>diskspace on server amraelp00008327</t>
  </si>
  <si>
    <t>Disk issue</t>
  </si>
  <si>
    <t>MALESHRI, RAVINDRA</t>
  </si>
  <si>
    <t>IM44141053</t>
  </si>
  <si>
    <t>Patient Insight -Dev s3 bucket issue</t>
  </si>
  <si>
    <t>IM44905083</t>
  </si>
  <si>
    <t>Mapping Errors-Producer: GMFT_IQVIA_To_Pfizer: The AWS Access Key Id you provided does not exist in our records</t>
  </si>
  <si>
    <t>IM45013808</t>
  </si>
  <si>
    <t>Patient Insights | CDW Table missing in SIT</t>
  </si>
  <si>
    <t>IM45180597</t>
  </si>
  <si>
    <t>Patient Insights | TF_MASTER_POT_FILE_LOAD failure in Production</t>
  </si>
  <si>
    <t>IM45187518</t>
  </si>
  <si>
    <t>Patient Insight - upcoming Tableau Cloud Migration and Dev Cleaning</t>
  </si>
  <si>
    <t>IM44109289</t>
  </si>
  <si>
    <t>Patient Insights - Data Issue-Request to refreash Dev database from Production database</t>
  </si>
  <si>
    <t>IM44209178</t>
  </si>
  <si>
    <t>Patient Insights | Remove Data Source | Production Environment</t>
  </si>
  <si>
    <t>IM44762108</t>
  </si>
  <si>
    <t>TABLEAU | FW: Engagement Analytics Usage Extract Refresh Failed</t>
  </si>
  <si>
    <t>IM44820974</t>
  </si>
  <si>
    <t>Patient Insights | CDW Refresh from PROD to DEV</t>
  </si>
  <si>
    <t>IM44965656</t>
  </si>
  <si>
    <t>Patient Insights | Gen AI - Production Configuration Changes (Data Ingestion)</t>
  </si>
  <si>
    <t>IM45042077</t>
  </si>
  <si>
    <t>Patient Insights | TF_PatientInsights_Master_Load failure | Production</t>
  </si>
  <si>
    <t>IM45086368</t>
  </si>
  <si>
    <t>RFC#CR2453334_prod_impl_S3 bucket creation_Primary Care Engagement Analytics FAL/PAC as part of Release 2</t>
  </si>
  <si>
    <t>GANJI, RAMESH</t>
  </si>
  <si>
    <t>IM45239589</t>
  </si>
  <si>
    <t>Patient Insights | Engagement Data Load in Production</t>
  </si>
  <si>
    <t>IM45263099</t>
  </si>
  <si>
    <t>Patient Insight | BRDG HUB Failure | 28th January 2025</t>
  </si>
  <si>
    <t>IM43954833</t>
  </si>
  <si>
    <t>Patient Insights | Invalid mapping in Dev (m_pi_cdw_rds_lnd_spp_scbu_lnd_fct_load)</t>
  </si>
  <si>
    <t>IM44121733</t>
  </si>
  <si>
    <t>Patient Insights - Access Issue</t>
  </si>
  <si>
    <t>Access</t>
  </si>
  <si>
    <t>IM44221340</t>
  </si>
  <si>
    <t>Patient Insights | Tableau dashboards data not accessible after upgrade</t>
  </si>
  <si>
    <t>IM44366841</t>
  </si>
  <si>
    <t>IM44421971</t>
  </si>
  <si>
    <t>Patient Insights | AWS S3 Bucket Key Issue | UAT</t>
  </si>
  <si>
    <t>IM44423198</t>
  </si>
  <si>
    <t>Patient Insights - Application Issue: S3 Bucket key expired in UAT.</t>
  </si>
  <si>
    <t>IM44689647</t>
  </si>
  <si>
    <t>TABLEAU | FW: Scorecard Dashboard Extract Refresh Failed</t>
  </si>
  <si>
    <t>IM44690231</t>
  </si>
  <si>
    <t>IM44690943</t>
  </si>
  <si>
    <t>IM44726697</t>
  </si>
  <si>
    <t>TABLEAU | FW: PIN_SFLK_PI_PATIENT_JOURNEY_AGG_VW Extract Refresh Failed</t>
  </si>
  <si>
    <t>IM44726724</t>
  </si>
  <si>
    <t>TABLEAU | FW: PIN_SFLK_PATIENT_SUMMARY_AGG_VW Extract Refresh Failed</t>
  </si>
  <si>
    <t>IM45044576</t>
  </si>
  <si>
    <t>Request to share the PI tableau dashboard links to integrate Patient Insights Primary Care - FAL &amp; PAC KPI dashboards to Polaris CRM</t>
  </si>
  <si>
    <t>GANAPATHY KARUPPIAH, RAHUL DINESH</t>
  </si>
  <si>
    <t>IM45222916</t>
  </si>
  <si>
    <t>Early Indicator and Sub Nacional Job execution on Production</t>
  </si>
  <si>
    <t>IM41828236</t>
  </si>
  <si>
    <t>Creating ticket to add new AD groups specific to Xeljanz Patient Experience Report</t>
  </si>
  <si>
    <t>IM44228022</t>
  </si>
  <si>
    <t>Patient Insights - Patient Point down</t>
  </si>
  <si>
    <t>IM44693859</t>
  </si>
  <si>
    <t>IM44762261</t>
  </si>
  <si>
    <t>IM45227771</t>
  </si>
  <si>
    <t>Patient Insights | Informatica Cloud Upgrade (IDMC)-R48 - Feb 2025</t>
  </si>
  <si>
    <t>IM45251523</t>
  </si>
  <si>
    <t>IM45317294</t>
  </si>
  <si>
    <t>IM45290538</t>
  </si>
  <si>
    <t>Patient Insights | Production | Master Load Failure on 6th February 2025</t>
  </si>
  <si>
    <t>IM45276635</t>
  </si>
  <si>
    <t>Patient Insights | CHAMP and ZIP SECURITY LOAD failure | Production</t>
  </si>
  <si>
    <t>IM45290548</t>
  </si>
  <si>
    <t>Patient Insights | Production | DERM Load Failure on 6th February 2025</t>
  </si>
  <si>
    <t>IM45255005</t>
  </si>
  <si>
    <t>Patient Insights | Scorecard job failure | Production</t>
  </si>
  <si>
    <t>IM45286173</t>
  </si>
  <si>
    <t>Patient Insights | Production | Issue with GBT Load</t>
  </si>
  <si>
    <t>IM45286180</t>
  </si>
  <si>
    <t>Patient Insights | Production | Issue with HBRD Load</t>
  </si>
  <si>
    <t>IM45296337</t>
  </si>
  <si>
    <t>Patient Insights | Production | TF_MASTER_HUB_PJT_LOAD Failure on 8th February 2025</t>
  </si>
  <si>
    <t>IM45300576</t>
  </si>
  <si>
    <t>Patient Insights | HBRD HUB | Failure in Production on 2/10</t>
  </si>
  <si>
    <t>IM45300662</t>
  </si>
  <si>
    <t>Patient Insights | Master Load Failure in Production on 2/11</t>
  </si>
  <si>
    <t>IM45294035</t>
  </si>
  <si>
    <t>&lt;DERM HUB&gt; -[PRODUCTION] Incremental files validation status - FAILED</t>
  </si>
  <si>
    <t>AETC, SCAUTO</t>
  </si>
  <si>
    <t>IM45303764</t>
  </si>
  <si>
    <t>IM45311677</t>
  </si>
  <si>
    <t>Patient Insights | BRDG HUB | Failure -Production</t>
  </si>
  <si>
    <t>IM45298499</t>
  </si>
  <si>
    <t>Patient Insights | Failures due to Production Maintenance Activity.</t>
  </si>
  <si>
    <t>IM45317375</t>
  </si>
  <si>
    <t>Patient Insights | Master Load and CHAMP Failure | Production</t>
  </si>
  <si>
    <t>IM44017710</t>
  </si>
  <si>
    <t>Patient Insight | Astellas data length increase for Xtandi SPP (RX_NUM)</t>
  </si>
  <si>
    <t>Impact Analysis</t>
  </si>
  <si>
    <t>IM41961623</t>
  </si>
  <si>
    <t>IICS TF TF_MASTER_DERM_FILE_LOAD got failed as We have not received DERM files for the date 13th-July-2022.</t>
  </si>
  <si>
    <t>Interface Issue</t>
  </si>
  <si>
    <t>IM42315688</t>
  </si>
  <si>
    <t>TF_PatientInsights_Master_Load - Job is running very long time than the expected time due to memory issue</t>
  </si>
  <si>
    <t>IM41955647</t>
  </si>
  <si>
    <t>IICS TF TF_MASTER_DERM_FILE_LOAD got failed as We have not received DERM files for the date 12th-July-2022.</t>
  </si>
  <si>
    <t>IM44083439</t>
  </si>
  <si>
    <t>Patient Insights | GBT | SPP On-time delivery file issue (missing data)</t>
  </si>
  <si>
    <t>IM41995784</t>
  </si>
  <si>
    <t>IICS TF TF_MASTER_DERM_FILE_LOAD got failed as We have not received DERM files for the date 9th-July-2022.</t>
  </si>
  <si>
    <t>IM42003043</t>
  </si>
  <si>
    <t>IICS TF TF_MASTER_DERM_FILE_LOAD got failed as We have not received DERM files for the date 22nd-July-2022.</t>
  </si>
  <si>
    <t>SHAJI, GENUINE</t>
  </si>
  <si>
    <t>IM42003172</t>
  </si>
  <si>
    <t>IICS TF TF_MASTER_DERM_FILE_LOAD got failed as We have not received DERM files for the date 23rd-July-2022.</t>
  </si>
  <si>
    <t>IM45120804</t>
  </si>
  <si>
    <t>Patient Insights | HBRD failure for 11/29 | Production</t>
  </si>
  <si>
    <t>IM45120828</t>
  </si>
  <si>
    <t>Patient Insights | HBRD failure for 12/02 | Production</t>
  </si>
  <si>
    <t>IM45120841</t>
  </si>
  <si>
    <t>Patient Insights | HBRD failure for 12/03 | Production</t>
  </si>
  <si>
    <t>IM45121359</t>
  </si>
  <si>
    <t>Patient Insights | HBRD failure for 12/05 | Production</t>
  </si>
  <si>
    <t>IM42698082</t>
  </si>
  <si>
    <t>BRIDGE Data load failed due to incorrect header in file (1/6)</t>
  </si>
  <si>
    <t>IM42013005</t>
  </si>
  <si>
    <t>Derm master load' job got failed as we have not received derm files yesterday (7/26).</t>
  </si>
  <si>
    <t>IM42023160</t>
  </si>
  <si>
    <t>IICS TF TF_MASTER_DERM_FILE_LOAD got failed as We have not received DERM files for the date 27th-July-2022.</t>
  </si>
  <si>
    <t>IM42023175</t>
  </si>
  <si>
    <t>IICS TF TF_MASTER_DERM_FILE_LOAD got failed as We have not received DERM files for the date 28th-July-2022.</t>
  </si>
  <si>
    <t>IM42030826</t>
  </si>
  <si>
    <t>IICS TF TF_MASTER_DERM_FILE_LOAD got failed as We have not received DERM files for the date 29th-July-2022.</t>
  </si>
  <si>
    <t>IM42030880</t>
  </si>
  <si>
    <t>DERM FIles - We have not received DERM files for the date 30th-July-2022.</t>
  </si>
  <si>
    <t>IM42284385</t>
  </si>
  <si>
    <t>TRACK DERM || DERM files not recevid for the dates 9/27 ,9/28 ,9/29</t>
  </si>
  <si>
    <t>IM42040775</t>
  </si>
  <si>
    <t>DERM FIles - We have not received DERM files for the date 02-Aug-2022.</t>
  </si>
  <si>
    <t>IM43049622</t>
  </si>
  <si>
    <t>Bridge Files 4/13 received with incorrect number of headers in Pfizer_Bridge_IQVIA_CRM_OptIns file</t>
  </si>
  <si>
    <t>IM42045646</t>
  </si>
  <si>
    <t>DERM FIles - We have not received DERM files for the date 03-Aug-2022.</t>
  </si>
  <si>
    <t>IM42052616</t>
  </si>
  <si>
    <t>DERM FIles - We have not received DERM files for the date 04-Aug-2022.</t>
  </si>
  <si>
    <t>IM42191018</t>
  </si>
  <si>
    <t>POT files received with unexpected SX_ prefix</t>
  </si>
  <si>
    <t>IM45150287</t>
  </si>
  <si>
    <t>Patient Insights | Milliman , Bhvn and DERM job failures in production</t>
  </si>
  <si>
    <t>IM42059441</t>
  </si>
  <si>
    <t>DERM FIles - We have not received DERM files for the date 05-Aug-2022.</t>
  </si>
  <si>
    <t>IM42059454</t>
  </si>
  <si>
    <t>DERM FIles - We have not received DERM files for the date 06-Aug-2022.</t>
  </si>
  <si>
    <t>IM45074376</t>
  </si>
  <si>
    <t>Patient Insights - Missing Optum SPIF data April 2024</t>
  </si>
  <si>
    <t>IM43198728</t>
  </si>
  <si>
    <t>Patient insights || LASH || POT incremental files are missing for the date 5/25</t>
  </si>
  <si>
    <t>IM42071326</t>
  </si>
  <si>
    <t>DERM FIles - We have received DERM files with unexpected file naming for the date 10-Aug-2022.</t>
  </si>
  <si>
    <t>IM43198734</t>
  </si>
  <si>
    <t>Patient insights || LASH || BRIDGE incremental files are missing for the date 5/25</t>
  </si>
  <si>
    <t>IM42074645</t>
  </si>
  <si>
    <t>DERM FIles - We have received DERM files with unexpected file naming for the date 09-Aug-2022.</t>
  </si>
  <si>
    <t>IM43503921</t>
  </si>
  <si>
    <t>Patient Insights | GBT | SPIF interface file failure 8/18 due to incorrect header</t>
  </si>
  <si>
    <t>IM43586411</t>
  </si>
  <si>
    <t>Patient Insights | GBT | SPIF interface failure on 9/8</t>
  </si>
  <si>
    <t>IM44706737</t>
  </si>
  <si>
    <t>Patient Insights | HBRD | HUB interface failure on 29/07/2024</t>
  </si>
  <si>
    <t>IM45238566</t>
  </si>
  <si>
    <t>&lt;GBT HUB&gt; -[PRODUCTION] Incremental files validation status - FAILED</t>
  </si>
  <si>
    <t>IM45238572</t>
  </si>
  <si>
    <t>MFT</t>
  </si>
  <si>
    <t>Patient Insight | Claritas file delivery (GBT HUB)</t>
  </si>
  <si>
    <t>IM42079395</t>
  </si>
  <si>
    <t>DERM FIles - We have received DERM files with unexpected file naming for the date 11-Aug-2022.</t>
  </si>
  <si>
    <t>IM44710439</t>
  </si>
  <si>
    <t>Patient Insights | HBRD | HUB interface failure on 30/07/2024</t>
  </si>
  <si>
    <t>IM43204647</t>
  </si>
  <si>
    <t>Patient insights || LASH || POT incremental files are missing for the date 5/26</t>
  </si>
  <si>
    <t>IM43204653</t>
  </si>
  <si>
    <t>Patient insights || LASH || BRIDGE incremental files are missing for the date 5/26</t>
  </si>
  <si>
    <t>IM43340731</t>
  </si>
  <si>
    <t>Patient Insights | Sonexus | DERM 7/4 incremental files missing</t>
  </si>
  <si>
    <t>IM43503904</t>
  </si>
  <si>
    <t>Patient Insights | Biohaven HUB | Files missing 8/18</t>
  </si>
  <si>
    <t>IM43964279</t>
  </si>
  <si>
    <t>Patient Insights | DERM | HUB interface failure on 12/20/2023</t>
  </si>
  <si>
    <t>IM44714085</t>
  </si>
  <si>
    <t>Patient Insights | HBRD | HUB interface failure on 31/07/2024</t>
  </si>
  <si>
    <t>IM44864606</t>
  </si>
  <si>
    <t>Patient Insights | TF_MASTER_GBT_MILLIMAN_LOAD failure</t>
  </si>
  <si>
    <t>IM45245815</t>
  </si>
  <si>
    <t>Patient Insight | IQVIA file delivery (DERM HUB)</t>
  </si>
  <si>
    <t>IM42089246</t>
  </si>
  <si>
    <t>DERM FIles - We have received DERM files with unexpected file naming for the date 12-Aug-2022.</t>
  </si>
  <si>
    <t>IM42089264</t>
  </si>
  <si>
    <t>DERM FIles - We have not received DERM files for the date 13-Aug-2022.</t>
  </si>
  <si>
    <t>IM43345676</t>
  </si>
  <si>
    <t>Patient Insights | Sonexus | DERM 7/5 incremental files missing</t>
  </si>
  <si>
    <t>IM43351166</t>
  </si>
  <si>
    <t>Patient Insights | Sonexus | DERM 7/6 incremental files missing</t>
  </si>
  <si>
    <t>IM43508307</t>
  </si>
  <si>
    <t>Patient Insights | Biohaven HUB | Files missing 8/21</t>
  </si>
  <si>
    <t>IM44130214</t>
  </si>
  <si>
    <t>Patient Insights | Derm interface load failure 2/9 and 2/10</t>
  </si>
  <si>
    <t>IM44718450</t>
  </si>
  <si>
    <t>Patient Insights | HBRD | HUB interface failure on 1/08/2024</t>
  </si>
  <si>
    <t>IM45168228</t>
  </si>
  <si>
    <t>Patient Insights | BHVN HCP Failure</t>
  </si>
  <si>
    <t>IM45246920</t>
  </si>
  <si>
    <t>IM45246932</t>
  </si>
  <si>
    <t>Patient Insight | IQVIA control file missing (DERM HUB)</t>
  </si>
  <si>
    <t>IM45091088</t>
  </si>
  <si>
    <t>Patient Insights | CMM Nov'24 file observation</t>
  </si>
  <si>
    <t>IM41965923</t>
  </si>
  <si>
    <t>IICS TF TF_MASTER_DERM_FILE_LOAD got failed even though we have received files.</t>
  </si>
  <si>
    <t>IM42094440</t>
  </si>
  <si>
    <t>DERM FIles - We have received DERM files with unexpected file naming for the date 16-Aug-2022.</t>
  </si>
  <si>
    <t>IM42332565</t>
  </si>
  <si>
    <t>Track Derm Files || Missed on 10/11 . Derm files not received for the date 20221011</t>
  </si>
  <si>
    <t>IM43356781</t>
  </si>
  <si>
    <t>Patient Insights | Sonexus | DERM 7/7 &amp; 7/8 incremental files missing</t>
  </si>
  <si>
    <t>IM43513922</t>
  </si>
  <si>
    <t>Patient Insights | Biohaven HUB | Files missing 8/22</t>
  </si>
  <si>
    <t>IM43646495</t>
  </si>
  <si>
    <t>Patient Insights | DERM | HUB interface failure on 9/26/2023</t>
  </si>
  <si>
    <t>IM43761273</t>
  </si>
  <si>
    <t>Patient Insights | GBT | SPIF interface failure on 10/28/2023</t>
  </si>
  <si>
    <t>IM44506029</t>
  </si>
  <si>
    <t>Patient Insights | DERM | HUB interface failure on 01/06/2024</t>
  </si>
  <si>
    <t>IM45181910</t>
  </si>
  <si>
    <t>Patient Insights | HBRD failure for 12/30 | Production</t>
  </si>
  <si>
    <t>IM42099244</t>
  </si>
  <si>
    <t>DERM FIles - We have received DERM files with unexpected file naming for the date 17-Aug-2022.</t>
  </si>
  <si>
    <t>IM42101315</t>
  </si>
  <si>
    <t>DERM master load TF got failed as the folder DERM_MERGED_FILES is not existed in S3 bucket</t>
  </si>
  <si>
    <t>IM42227566</t>
  </si>
  <si>
    <t>POT Files || we have received wrong pot files for the date 16-sep-2022</t>
  </si>
  <si>
    <t>IM42339166</t>
  </si>
  <si>
    <t>Track Derm Files || Missed on 10/12 . Derm files not received for the date 20221012</t>
  </si>
  <si>
    <t>IM43513838</t>
  </si>
  <si>
    <t>Patient Insights | POT | Files missing 8/22</t>
  </si>
  <si>
    <t>IM43513866</t>
  </si>
  <si>
    <t>Patient Insights | BRIDGE | Files missing 8/22</t>
  </si>
  <si>
    <t>IM43517690</t>
  </si>
  <si>
    <t>Patient Insights | Biohaven HUB | Interface failure 8/23</t>
  </si>
  <si>
    <t>IM43542113</t>
  </si>
  <si>
    <t>Patient Insight | GBT HUB | Missing files 8/30</t>
  </si>
  <si>
    <t>IM43612356</t>
  </si>
  <si>
    <t>Patient Insights | GBT | SPIF interface failure on 9/16/2023</t>
  </si>
  <si>
    <t>IM43636836</t>
  </si>
  <si>
    <t>Patient Insights | DERM | HUB interface failure on 9/23/2023</t>
  </si>
  <si>
    <t>IM43637173</t>
  </si>
  <si>
    <t>Patient Insights | GBT | SPIF interface | Files missing for 9/23</t>
  </si>
  <si>
    <t>IM43684351</t>
  </si>
  <si>
    <t>Patient Insights | DERM | HUB interface failure on 10/07/2023</t>
  </si>
  <si>
    <t>IM44552204</t>
  </si>
  <si>
    <t>Patient Insights | DERM | HUB interface failure on 15/06/2024</t>
  </si>
  <si>
    <t>IM44561130</t>
  </si>
  <si>
    <t>Patient Insights | DERM | HUB interface failure on 18/06/2024</t>
  </si>
  <si>
    <t>IM44641132</t>
  </si>
  <si>
    <t>Patient Insights | NEW BHVN IC RPT file ingestion in PROD | 7/12 file missing</t>
  </si>
  <si>
    <t>IM44673498</t>
  </si>
  <si>
    <t>Patient Insights | HBRD | HUB interface failure on 19/07/2024</t>
  </si>
  <si>
    <t>IM45061416</t>
  </si>
  <si>
    <t>IM45107993</t>
  </si>
  <si>
    <t>&lt;BHVN HUB&gt; -[PRODUCTION] Incremental files validation status - FAILED</t>
  </si>
  <si>
    <t>IM42105414</t>
  </si>
  <si>
    <t>DERM FIles - We have received DERM files with unexpected file naming for the date 18-Aug-2022</t>
  </si>
  <si>
    <t>IM42342002</t>
  </si>
  <si>
    <t>Track Derm Files || Missed on 10/13 . Derm files not received for the date 20221013</t>
  </si>
  <si>
    <t>IM42473128</t>
  </si>
  <si>
    <t>Derm Files || We have not received incremental derm files of 11/11 &amp; 11/12</t>
  </si>
  <si>
    <t>IM43195133</t>
  </si>
  <si>
    <t>Patient insights || SONEXUS || DERM Incremental Files for the date 5/24 were not received.</t>
  </si>
  <si>
    <t>IM43517670</t>
  </si>
  <si>
    <t>Patient Insights | POT | Files missing 8/23</t>
  </si>
  <si>
    <t>IM43517678</t>
  </si>
  <si>
    <t>Patient Insights | BRIDGE | Files missing 8/23</t>
  </si>
  <si>
    <t>IM43538390</t>
  </si>
  <si>
    <t>Patient Insights | Biohaven HUB | Files missing 8/28</t>
  </si>
  <si>
    <t>IM43546622</t>
  </si>
  <si>
    <t>Patient Insight | GBT HUB | Files 8/31 incorrect header</t>
  </si>
  <si>
    <t>IM44140947</t>
  </si>
  <si>
    <t>Patient Insights | Derm interface load failure 2/13 and 2/14</t>
  </si>
  <si>
    <t>IM45112040</t>
  </si>
  <si>
    <t>IM45303675</t>
  </si>
  <si>
    <t>Patient Insight | Claritas control file missing (BHVN HUB)</t>
  </si>
  <si>
    <t>IM45303723</t>
  </si>
  <si>
    <t>Patient Insight | Claritas control file missing (BHVN HCP)</t>
  </si>
  <si>
    <t>IM42071593</t>
  </si>
  <si>
    <t>IM42111845</t>
  </si>
  <si>
    <t>DERM FIles - We have received DERM files with unexpected file naming for the date 19-Aug-2022</t>
  </si>
  <si>
    <t>IM42238261</t>
  </si>
  <si>
    <t>POT Files || we have received wrong pot files for the date 19-sep-2022. Creating this ticket to follow up with respective team to get files as required.</t>
  </si>
  <si>
    <t>IM42239749</t>
  </si>
  <si>
    <t>POT Files || we have received wrong pot files for the date 20-sep-2022</t>
  </si>
  <si>
    <t>IM42284300</t>
  </si>
  <si>
    <t>Track POT || Pot files not received for the date 9/29</t>
  </si>
  <si>
    <t>IM42351459</t>
  </si>
  <si>
    <t>Track Derm Files || Missed on 10/14 &amp; 10/15. Derm files not received for the date 20221014 and 20221015</t>
  </si>
  <si>
    <t>IM42479405</t>
  </si>
  <si>
    <t>Derm Files || We have not received incremental derm files of 11/15</t>
  </si>
  <si>
    <t>IM43522134</t>
  </si>
  <si>
    <t>Patient Insights | Biohaven HUB | Interface failure 8/24</t>
  </si>
  <si>
    <t>IM43538168</t>
  </si>
  <si>
    <t>Patient Insight | GBT HUB | Missing files 8/29</t>
  </si>
  <si>
    <t>IM43538204</t>
  </si>
  <si>
    <t>Patient Insight | GBT HUB | Missing files 8/28</t>
  </si>
  <si>
    <t>IM43538635</t>
  </si>
  <si>
    <t>Patient Insights | GBT SPIF | 8/18 file load failed due to Duplicacy</t>
  </si>
  <si>
    <t>IM43554619</t>
  </si>
  <si>
    <t>Patient Insight | GBT HUB | Files 9/1 incorrect header</t>
  </si>
  <si>
    <t>IM43704631</t>
  </si>
  <si>
    <t>Patient Insight Production | BHVN HUB&gt; - Incremental files - FAILED for date 10//12/2023</t>
  </si>
  <si>
    <t>IM43849869</t>
  </si>
  <si>
    <t>Patient Insights | GBT | HUB interface failure on 11/21/2023</t>
  </si>
  <si>
    <t>IM43968153</t>
  </si>
  <si>
    <t>Patient Insights | DERM | HUB interface failure on 12/21/2023</t>
  </si>
  <si>
    <t>IM44144516</t>
  </si>
  <si>
    <t>Patient Insights | Derm interface load failure 2/15</t>
  </si>
  <si>
    <t>IM44229849</t>
  </si>
  <si>
    <t>Patient Insight | Not received the Pillpack Bridge Dispense File for date 3/8</t>
  </si>
  <si>
    <t>IM44476329</t>
  </si>
  <si>
    <t>Patient Insights | GBT | HUB interface failure on 22/05/2024</t>
  </si>
  <si>
    <t>IM45115874</t>
  </si>
  <si>
    <t>IM45265995</t>
  </si>
  <si>
    <t>IM45265997</t>
  </si>
  <si>
    <t>Patient Insight | Claritas control file missing (GBT HUB)</t>
  </si>
  <si>
    <t>IM41933317</t>
  </si>
  <si>
    <t>We have not POT received files and control file(received with error) for the date 05-July-2022</t>
  </si>
  <si>
    <t>IM42117327</t>
  </si>
  <si>
    <t>DERM FIles - We have received DERM files with unexpected file naming for the date 20-Aug-2022</t>
  </si>
  <si>
    <t>IM42174914</t>
  </si>
  <si>
    <t>POT and DERM files daily files data are not getting ingested in to DB even though we are receiving files daily on basis.</t>
  </si>
  <si>
    <t>IM42190482</t>
  </si>
  <si>
    <t>Derm files received with invalid header for the date 08-sep-2022</t>
  </si>
  <si>
    <t>IM42245864</t>
  </si>
  <si>
    <t>POT Files || we have received wrong pot files for the date 21-sep-2022</t>
  </si>
  <si>
    <t>IM42291214</t>
  </si>
  <si>
    <t>TRACK POT || Not received pot files for the date 9/30. Validations failed</t>
  </si>
  <si>
    <t>IM42577306</t>
  </si>
  <si>
    <t>Derm incremental files are not received for the date 12/7</t>
  </si>
  <si>
    <t>IM42641309</t>
  </si>
  <si>
    <t>DERM Files - || Missed Incremental files for the date 12/24</t>
  </si>
  <si>
    <t>IM42657426</t>
  </si>
  <si>
    <t>DERM Files || DERM incremental files not received for the date 12/31/2022</t>
  </si>
  <si>
    <t>IM42683083</t>
  </si>
  <si>
    <t>Patient Insight | Missing POT and BRIDGE files 1/6</t>
  </si>
  <si>
    <t>IM43546582</t>
  </si>
  <si>
    <t>Patient Insights | Biohaven HUB | Interface failure 8/30</t>
  </si>
  <si>
    <t>IM43558381</t>
  </si>
  <si>
    <t>Patient Insights | Biohaven HUB | Interface failure 9/4</t>
  </si>
  <si>
    <t>IM43558405</t>
  </si>
  <si>
    <t>Patient Insight | GBT HUB | Interface failure 9/4</t>
  </si>
  <si>
    <t>IM43600660</t>
  </si>
  <si>
    <t>Patient Insights | Biohaven HUB | Interface failure 9/13</t>
  </si>
  <si>
    <t>IM43625721</t>
  </si>
  <si>
    <t>Patient Insights | GBT | HUB interface failure on 9/20/2023</t>
  </si>
  <si>
    <t>IM43684246</t>
  </si>
  <si>
    <t>Patient Insights | GBT | SPIF interface failure on 10/07/2023</t>
  </si>
  <si>
    <t>IM43730238</t>
  </si>
  <si>
    <t>Patient Insights | BHVN | HUB interface failure on 10/19/2023</t>
  </si>
  <si>
    <t>IM43737256</t>
  </si>
  <si>
    <t>Patient Insights | GBT | SPIF interface failure on 10/21/2023</t>
  </si>
  <si>
    <t>IM43802314</t>
  </si>
  <si>
    <t>Patient Insights | GBT | HUB interface failure on 11/08/2023</t>
  </si>
  <si>
    <t>IM43853727</t>
  </si>
  <si>
    <t>Patient Insights | GBT | HUB interface failure on 11/22/2023</t>
  </si>
  <si>
    <t>IM43998269</t>
  </si>
  <si>
    <t>DERM HUB&gt; - Incremental files validation status - FAILED for Jan 4th 2024</t>
  </si>
  <si>
    <t>IM44118651</t>
  </si>
  <si>
    <t>Patient Insights | GBT | HUB interface failure on 02/07/2024</t>
  </si>
  <si>
    <t>IM44165518</t>
  </si>
  <si>
    <t>Patient Insights | TF_MASTER_DERM_FILE_LOAD failure (2/21) | Production Environment</t>
  </si>
  <si>
    <t>IM44308853</t>
  </si>
  <si>
    <t>Patient Insights | BHVN | HCP interface failure on 04/04/2024 | Files Empty from Data Vendors</t>
  </si>
  <si>
    <t>IM44541668</t>
  </si>
  <si>
    <t>Patient Insights | HBRD | HUB interface failure on 06/12/2024</t>
  </si>
  <si>
    <t>IM44574490</t>
  </si>
  <si>
    <t>Patient Insights | DERM | HUB interface failure on 22/06/2024</t>
  </si>
  <si>
    <t>IM44652938</t>
  </si>
  <si>
    <t>Patient Insights | HBRD | HUB interface failure on 17/07/2024</t>
  </si>
  <si>
    <t>IM44704697</t>
  </si>
  <si>
    <t>Patient Insights | HBRD Job failure on 26/7</t>
  </si>
  <si>
    <t>IM44779443</t>
  </si>
  <si>
    <t>Patient Insights | DERM | HUB interface failure on 21/08/2024</t>
  </si>
  <si>
    <t>IM45269333</t>
  </si>
  <si>
    <t>IM45269334</t>
  </si>
  <si>
    <t>IM45278261</t>
  </si>
  <si>
    <t>IM45278264</t>
  </si>
  <si>
    <t>Patient Insight | Claritas file delivery (BHVN HUB)</t>
  </si>
  <si>
    <t>IM45278574</t>
  </si>
  <si>
    <t>IM45278579</t>
  </si>
  <si>
    <t>IM45287172</t>
  </si>
  <si>
    <t>Ngenla Target List Upload to Table</t>
  </si>
  <si>
    <t>IM42037203</t>
  </si>
  <si>
    <t>DERM FIles - We have not received DERM files for the date 01-Aug-2022.</t>
  </si>
  <si>
    <t>IM42122529</t>
  </si>
  <si>
    <t>DERM FIles - We have not received DERM files for the date 23-Aug-2022</t>
  </si>
  <si>
    <t>IM42193977</t>
  </si>
  <si>
    <t>Derm files received with invalid header for the date 09-Sep-2022</t>
  </si>
  <si>
    <t>IM42533347</t>
  </si>
  <si>
    <t>POT files || Incremental pot files for the date 11/25 not received</t>
  </si>
  <si>
    <t>IM42533362</t>
  </si>
  <si>
    <t>Bridge files || Incremental bridge files for the date 11/25 not received</t>
  </si>
  <si>
    <t>IM42612206</t>
  </si>
  <si>
    <t>DERM Files || Not received incremental derm files for the date 12/15</t>
  </si>
  <si>
    <t>IM42686490</t>
  </si>
  <si>
    <t>Patient Insights | Missing interface files for POT and BRIDGE 1/9</t>
  </si>
  <si>
    <t>IM42727856</t>
  </si>
  <si>
    <t>POT Files || Not received POT files for the date 1/19</t>
  </si>
  <si>
    <t>IM42753581</t>
  </si>
  <si>
    <t>DERM Files || Derm incremental files missed for the date 1/26</t>
  </si>
  <si>
    <t>IM43101285</t>
  </si>
  <si>
    <t>Patient insights | LASH | 4/27 POT Incrementasl Files are missing</t>
  </si>
  <si>
    <t>IM43554586</t>
  </si>
  <si>
    <t>Patient Insights | Biohaven HUB | Interface failure 8/31</t>
  </si>
  <si>
    <t>IM43554605</t>
  </si>
  <si>
    <t>Patient Insights | Biohaven HUB | Interface failure 9/1</t>
  </si>
  <si>
    <t>IM43563376</t>
  </si>
  <si>
    <t>Patient Insight | GBT HUB | Interface failure 9/5</t>
  </si>
  <si>
    <t>IM43586372</t>
  </si>
  <si>
    <t>Patient Insight | GBT HUB | Interface failure 9/8</t>
  </si>
  <si>
    <t>IM43605703</t>
  </si>
  <si>
    <t>Patient Insights | Biohaven HUB | Interface failure 9/14</t>
  </si>
  <si>
    <t>IM43630019</t>
  </si>
  <si>
    <t>Patient Insights | GBT | HUB interface failure on 9/21/2023</t>
  </si>
  <si>
    <t>IM43708824</t>
  </si>
  <si>
    <t>Patient Insight production | GBT SPIF - file missing for date 10/14</t>
  </si>
  <si>
    <t>IM43796913</t>
  </si>
  <si>
    <t>Patient Insights | BHVN | HUB interface failure on 11/07/2023</t>
  </si>
  <si>
    <t>IM43805991</t>
  </si>
  <si>
    <t>Patient Insights | GBT | HUB interface failure on 11/09/2023</t>
  </si>
  <si>
    <t>IM43856922</t>
  </si>
  <si>
    <t>Patient Insights | GBT | HUB interface failure on 11/23/2023</t>
  </si>
  <si>
    <t>IM43861525</t>
  </si>
  <si>
    <t>Patient Insights | DERM | HUB interface failure on 11/25/2023</t>
  </si>
  <si>
    <t>IM43993638</t>
  </si>
  <si>
    <t>Patient Insights | DERM | HUB interface failure on 1/2/2024</t>
  </si>
  <si>
    <t>IM44048951</t>
  </si>
  <si>
    <t>DERM HUB&gt; - Incremental files validation status - FAILED as on 18th Jan 2024</t>
  </si>
  <si>
    <t>IM44261977</t>
  </si>
  <si>
    <t>Patient Insights | DERM | HUB interface failure on 21/03/2024</t>
  </si>
  <si>
    <t>IM44300073</t>
  </si>
  <si>
    <t>Patient Insights | GBT | HUB interface failure on 04/02/2023</t>
  </si>
  <si>
    <t>IM44309152</t>
  </si>
  <si>
    <t>Patient Insights | BHVN | Files Empty from Data Vendors</t>
  </si>
  <si>
    <t>IM44479812</t>
  </si>
  <si>
    <t>Patient Insights | BHVN | HUB interface failure on 23/05/2024</t>
  </si>
  <si>
    <t>IM44479837</t>
  </si>
  <si>
    <t>Patient Insights | BHVN | HCP interface failure on 23/05/2024</t>
  </si>
  <si>
    <t>IM44479852</t>
  </si>
  <si>
    <t>Patient Insights | HBRD | HUB interface failure on 23/05/2024</t>
  </si>
  <si>
    <t>IM44484890</t>
  </si>
  <si>
    <t>Patient Insights | BHVN | HUB interface failure on 24/05/2024</t>
  </si>
  <si>
    <t>IM44484902</t>
  </si>
  <si>
    <t>Patient Insights | BHVN | HCP interface failure on 24/05/2024</t>
  </si>
  <si>
    <t>IM44506042</t>
  </si>
  <si>
    <t>Patient Insights | DERM | HUB interface failure on 02/06/2024</t>
  </si>
  <si>
    <t>IM44592101</t>
  </si>
  <si>
    <t>Patient Insights | BHVN | HUB interface failure on 27/06/2024</t>
  </si>
  <si>
    <t>IM44674141</t>
  </si>
  <si>
    <t>Patient Insights | DERM | HUB interface failure on 20/07/2024</t>
  </si>
  <si>
    <t>IM44784466</t>
  </si>
  <si>
    <t>"Patient Insights | Milliman Payer file missing 8/15</t>
  </si>
  <si>
    <t>IM44832577</t>
  </si>
  <si>
    <t>IM44849936</t>
  </si>
  <si>
    <t>IM44874629</t>
  </si>
  <si>
    <t>&lt;POT HUB&gt; -[PRODUCTION] Incremental files validation status - FAILED</t>
  </si>
  <si>
    <t>IM44906296</t>
  </si>
  <si>
    <t>Patient Insights | Bridge | Interface failure 10/1</t>
  </si>
  <si>
    <t>IM44906309</t>
  </si>
  <si>
    <t>Patient Insights | POT | Interface failure 10/1</t>
  </si>
  <si>
    <t>IM44909937</t>
  </si>
  <si>
    <t>&lt;BRIDGE HUB&gt; -[PRODUCTION] Incremental files validation status - FAILED</t>
  </si>
  <si>
    <t>IM45041940</t>
  </si>
  <si>
    <t>Patient Insights | DERM | HUB failure on 8/11 and 9/11</t>
  </si>
  <si>
    <t>IM45074599</t>
  </si>
  <si>
    <t>IM45074632</t>
  </si>
  <si>
    <t>&lt;BHVN HCP&gt; -[PRODUCTION] Incremental files validation status - FAILED</t>
  </si>
  <si>
    <t>IM45082933</t>
  </si>
  <si>
    <t>IM45093342</t>
  </si>
  <si>
    <t>IM45243327</t>
  </si>
  <si>
    <t>Patient Insights | DERM Interface Failure</t>
  </si>
  <si>
    <t>IM45272323</t>
  </si>
  <si>
    <t>IM45272330</t>
  </si>
  <si>
    <t>IM45282484</t>
  </si>
  <si>
    <t>IM42127311</t>
  </si>
  <si>
    <t>DERM FIles - We have not received DERM files for the date 24-Aug-2022</t>
  </si>
  <si>
    <t>IM42157982</t>
  </si>
  <si>
    <t>DERM files processing in PROD has some issue and emails are not being generated.</t>
  </si>
  <si>
    <t>IM42190375</t>
  </si>
  <si>
    <t>After RFC #CR2188014 &amp; CR2186671 Deployment --Derm Job got failed -- Got Mail 2 times</t>
  </si>
  <si>
    <t>IM42193972</t>
  </si>
  <si>
    <t>We have not received POT files and control file for the date 09-Sep-2022</t>
  </si>
  <si>
    <t>IM42202340</t>
  </si>
  <si>
    <t>Derm files received with invalid header for the date 10-Sep-2022</t>
  </si>
  <si>
    <t>IM42238206</t>
  </si>
  <si>
    <t>POT Files for the date 9/16 have received wrong file format control file</t>
  </si>
  <si>
    <t>IM42396907</t>
  </si>
  <si>
    <t>TRACK POT || POT files not received for the dates 10/25 and 10/26</t>
  </si>
  <si>
    <t>IM42537761</t>
  </si>
  <si>
    <t>POT files || Incremental pot files for the date 11/28 not received</t>
  </si>
  <si>
    <t>IM42537766</t>
  </si>
  <si>
    <t>Bridge files || Incremental bridge files for the date 11/28 not received</t>
  </si>
  <si>
    <t>IM42566628</t>
  </si>
  <si>
    <t>POT Incremental Files not received for the date 12/05</t>
  </si>
  <si>
    <t>IM42577325</t>
  </si>
  <si>
    <t>POT incremental files are not received for the date 12/7</t>
  </si>
  <si>
    <t>IM42577328</t>
  </si>
  <si>
    <t>Bridge incremental files are not received for the date 12/7</t>
  </si>
  <si>
    <t>IM42589474</t>
  </si>
  <si>
    <t>Derm incremental files are not received for the date 12/9 &amp; 12/10</t>
  </si>
  <si>
    <t>IM42633017</t>
  </si>
  <si>
    <t>DERM Files || Incremental files missing for the date 12/21</t>
  </si>
  <si>
    <t>IM42691846</t>
  </si>
  <si>
    <t>Patient Insight | Job got failed in production for DERM,BRIDGE and POT</t>
  </si>
  <si>
    <t>IM42692819</t>
  </si>
  <si>
    <t>Patient Insights | Missing interface files for POT, DERM and BRIDGE 1/10</t>
  </si>
  <si>
    <t>IM42736991</t>
  </si>
  <si>
    <t>POT Files || Not received POT files for the date 1/20</t>
  </si>
  <si>
    <t>IM42814992</t>
  </si>
  <si>
    <t>DERM Incremental files missed for the date 2/10</t>
  </si>
  <si>
    <t>IM42989972</t>
  </si>
  <si>
    <t>DERM 3/28 - Missing interface files</t>
  </si>
  <si>
    <t>IM43060502</t>
  </si>
  <si>
    <t>DERM FILES || Derm incremental Files are missing for 4/15</t>
  </si>
  <si>
    <t>IM43096464</t>
  </si>
  <si>
    <t>POT Track || We have not received POT files for the date 4/26</t>
  </si>
  <si>
    <t>IM43096470</t>
  </si>
  <si>
    <t>Bridge Track || We have not received Bridge files for the date 4/26</t>
  </si>
  <si>
    <t>IM43542108</t>
  </si>
  <si>
    <t>Patient Insights | Biohaven HUB | Interface failure 8/25</t>
  </si>
  <si>
    <t>IM43616920</t>
  </si>
  <si>
    <t>GBT-HUB | 9/18 wrong control files</t>
  </si>
  <si>
    <t>IM43641376</t>
  </si>
  <si>
    <t>Patient Insights | GBT | HUB interface failure on 9/25/2023</t>
  </si>
  <si>
    <t>IM43737156</t>
  </si>
  <si>
    <t>Patient Insights | GBT | HUB interface failure on 10/20/2023</t>
  </si>
  <si>
    <t>IM43737388</t>
  </si>
  <si>
    <t>Patient Insights | POT | HUB interface failure on 10/20/2023</t>
  </si>
  <si>
    <t>IM43737437</t>
  </si>
  <si>
    <t>Patient Insights | BRIDGE | HUB interface failure on 10/20/2023</t>
  </si>
  <si>
    <t>IM43761166</t>
  </si>
  <si>
    <t>Patient Insights | GBT | HUB interface failure on 10/27/2023</t>
  </si>
  <si>
    <t>IM43792295</t>
  </si>
  <si>
    <t>Patient Insights | GBT | HUB interface failure on 11/06/2023</t>
  </si>
  <si>
    <t>IM43796874</t>
  </si>
  <si>
    <t>Patient Insights | GBT | HUB interface failure on 11/07/2023</t>
  </si>
  <si>
    <t>IM43802239</t>
  </si>
  <si>
    <t>Patient Insights | BHVN | HUB interface failure on 11/08/2023</t>
  </si>
  <si>
    <t>IM43812477</t>
  </si>
  <si>
    <t>Patient Insights | GBT| SPIF interface failure on 10/11/2023</t>
  </si>
  <si>
    <t>IM43826790</t>
  </si>
  <si>
    <t>Patient Insights | GBT | HUB interface failure on 11/15/2023</t>
  </si>
  <si>
    <t>IM43828015</t>
  </si>
  <si>
    <t>Patient Insights | Interface failure on 11/14/2023</t>
  </si>
  <si>
    <t>IM43862618</t>
  </si>
  <si>
    <t>Patient Insights | GBT | HUB interface failure on 11/24/2023</t>
  </si>
  <si>
    <t>IM43866706</t>
  </si>
  <si>
    <t>Patient Insights | Interface Failure on 11/27/2023 | POT, DERM and BRDG</t>
  </si>
  <si>
    <t>IM43888890</t>
  </si>
  <si>
    <t>Patient Insights | GBT | SPIF interface failure on 12/02/2023</t>
  </si>
  <si>
    <t>IM43979094</t>
  </si>
  <si>
    <t>Patient Insights | BRIDGE | HUB interface failure on 12/27/2023</t>
  </si>
  <si>
    <t>IM43979100</t>
  </si>
  <si>
    <t>Patient Insights | POT | HUB interface failure on 12/27/2023</t>
  </si>
  <si>
    <t>IM44007895</t>
  </si>
  <si>
    <t>Patient Insights | BHVN | HUB interface failure on 01/05/2024</t>
  </si>
  <si>
    <t>IM44007925</t>
  </si>
  <si>
    <t>Patient Insights | BHVN | HCP interface failure on 01/05/2024</t>
  </si>
  <si>
    <t>IM44082697</t>
  </si>
  <si>
    <t>Patient Insights | BHVN | HUB interface failure on 01/29/2024</t>
  </si>
  <si>
    <t>IM44082703</t>
  </si>
  <si>
    <t>Patient Insights | BHVN | HCP interface failure on 01/29/2024</t>
  </si>
  <si>
    <t>IM44118646</t>
  </si>
  <si>
    <t>Patient Insights | BRIDGE | HUB interface failure on 02/07/2024</t>
  </si>
  <si>
    <t>IM44226330</t>
  </si>
  <si>
    <t>Patient Insights | BHVN HUB | Interface failure for files on 3/11</t>
  </si>
  <si>
    <t>IM44244909</t>
  </si>
  <si>
    <t>Patient Insight | Not received the Pillpack Bridge Dispense File for date 3/15</t>
  </si>
  <si>
    <t>IM44348319</t>
  </si>
  <si>
    <t>Patient Insight | DERM HUB | Interface failure 4/17</t>
  </si>
  <si>
    <t>IM44368413</t>
  </si>
  <si>
    <t>Patient Insights | BHVN | HCP interface failure on 04/22/2024</t>
  </si>
  <si>
    <t>IM44421701</t>
  </si>
  <si>
    <t>Patient Insights | IQVIA interface failure on 05/06/2024</t>
  </si>
  <si>
    <t>IM44440728</t>
  </si>
  <si>
    <t>Patient Insights | POT | HUB interface failure on 05/10/2024</t>
  </si>
  <si>
    <t>IM44440735</t>
  </si>
  <si>
    <t>Patient Insights | BRDG | HUB interface failure on 05/10/2024</t>
  </si>
  <si>
    <t>IM44487939</t>
  </si>
  <si>
    <t>Patient Insights | BHVN | HCP interface failure on 28/05/2024</t>
  </si>
  <si>
    <t>IM44491961</t>
  </si>
  <si>
    <t>Patient Insights | BHVN | HUB interface failure on 28/05/2024</t>
  </si>
  <si>
    <t>IM44491973</t>
  </si>
  <si>
    <t>IM44673517</t>
  </si>
  <si>
    <t>Patient Insights | DERM | HUB interface failure on 19/07/2024</t>
  </si>
  <si>
    <t>IM44673525</t>
  </si>
  <si>
    <t>Patient Insights | POT | HUB interface failure on 19/07/2024</t>
  </si>
  <si>
    <t>IM44673537</t>
  </si>
  <si>
    <t>Patient Insights | BRIDGE | HUB interface failure on 19/07/2024</t>
  </si>
  <si>
    <t>IM44723023</t>
  </si>
  <si>
    <t>Patient Insights | BHVN | HUB interface failure on 2/08/2024</t>
  </si>
  <si>
    <t>IM44723040</t>
  </si>
  <si>
    <t>Patient Insights | BHVN | HCP interface failure on 2/08/2024</t>
  </si>
  <si>
    <t>IM44751376</t>
  </si>
  <si>
    <t>Patient Insights | HBRD | HUB interface failure on 12/08/2024</t>
  </si>
  <si>
    <t>IM44786117</t>
  </si>
  <si>
    <t>IM44808379</t>
  </si>
  <si>
    <t>IM44808505</t>
  </si>
  <si>
    <t>IM44831076</t>
  </si>
  <si>
    <t>IM44853080</t>
  </si>
  <si>
    <t>IM44853361</t>
  </si>
  <si>
    <t>IM44910027</t>
  </si>
  <si>
    <t>IM44910095</t>
  </si>
  <si>
    <t>IM44945050</t>
  </si>
  <si>
    <t>IM44982442</t>
  </si>
  <si>
    <t>IM44989994</t>
  </si>
  <si>
    <t>IM44990053</t>
  </si>
  <si>
    <t>IM44995440</t>
  </si>
  <si>
    <t>IM44999523</t>
  </si>
  <si>
    <t>IM45003305</t>
  </si>
  <si>
    <t>IM45006445</t>
  </si>
  <si>
    <t>IM44978455</t>
  </si>
  <si>
    <t>IM44986396</t>
  </si>
  <si>
    <t>IM45052531</t>
  </si>
  <si>
    <t>IM45086177</t>
  </si>
  <si>
    <t>Patient Insights | HBRD HUB | Interface failure 11/22</t>
  </si>
  <si>
    <t>IM45090314</t>
  </si>
  <si>
    <t>Patient Insights | HBRD HUB | Interface failure 11/25</t>
  </si>
  <si>
    <t>IM45096999</t>
  </si>
  <si>
    <t>IM45185205</t>
  </si>
  <si>
    <t>IM45185206</t>
  </si>
  <si>
    <t>IM45245812</t>
  </si>
  <si>
    <t>IM45246366</t>
  </si>
  <si>
    <t>Patient Insights | POT| Interface Failure</t>
  </si>
  <si>
    <t>IM45286224</t>
  </si>
  <si>
    <t>IM45303667</t>
  </si>
  <si>
    <t>IM45303717</t>
  </si>
  <si>
    <t>IM45350126</t>
  </si>
  <si>
    <t>Patient Insight | IQVIA control file missing (POT HUB)</t>
  </si>
  <si>
    <t>IM42131892</t>
  </si>
  <si>
    <t>DERM FIles - We have received DERM files with unexpected file naming for the date 25-Aug-2022</t>
  </si>
  <si>
    <t>IM42309022</t>
  </si>
  <si>
    <t>Track POT || Pot files not received for the date (10-3, 10-4 &amp; 10-5)</t>
  </si>
  <si>
    <t>IM42458102</t>
  </si>
  <si>
    <t>Track POT || POT files not received for the date 10-Nov-2022</t>
  </si>
  <si>
    <t>IM43641462</t>
  </si>
  <si>
    <t>Patient Insights | GBT | HUB interface failure on 9/22/2023</t>
  </si>
  <si>
    <t>IM43646429</t>
  </si>
  <si>
    <t>Patient Insights | GBT | HUB interface failure on 9/26/2023</t>
  </si>
  <si>
    <t>IM43720957</t>
  </si>
  <si>
    <t>Patient Insights | BHVN | HUB interface failure on 10/17/2023</t>
  </si>
  <si>
    <t>IM43866621</t>
  </si>
  <si>
    <t>Patient Insights | GBT | HUB interface failure on 11/27/2023</t>
  </si>
  <si>
    <t>IM43875748</t>
  </si>
  <si>
    <t>Patient Insights | GBT| HUB interface failure on 11/29/2023</t>
  </si>
  <si>
    <t>IM43880164</t>
  </si>
  <si>
    <t>Patient Insights | GBT | HUB interface failure on 11/30/2023</t>
  </si>
  <si>
    <t>IM43898860</t>
  </si>
  <si>
    <t>Patient Insights | GBT| HUB interface failure on 12/05/2023</t>
  </si>
  <si>
    <t>IM44049026</t>
  </si>
  <si>
    <t>BRIDGE HUB&gt; - Incremental files validation status - FAILED for files 18th Jan 2024 | control file missing</t>
  </si>
  <si>
    <t>IM44168385</t>
  </si>
  <si>
    <t>Patient Insights | TF_MASTER_DERM_FILE_LOAD as on 22/2| Production Environment</t>
  </si>
  <si>
    <t>IM44187533</t>
  </si>
  <si>
    <t>Patient Insights | BHVN IC_RPT | Interface failure 2/23</t>
  </si>
  <si>
    <t>IM44561047</t>
  </si>
  <si>
    <t>Patient Insights | HBRD | HUB interface failure on 18/06/2024</t>
  </si>
  <si>
    <t>IM44678512</t>
  </si>
  <si>
    <t>Patient Insights | BHVN | HUB interface failure on 22/07/2024</t>
  </si>
  <si>
    <t>IM44687964</t>
  </si>
  <si>
    <t>Patient Insights | DERM | HUB interface failure on 24 /07/2024</t>
  </si>
  <si>
    <t>IM44782443</t>
  </si>
  <si>
    <t>IM44822767</t>
  </si>
  <si>
    <t>IM44826808</t>
  </si>
  <si>
    <t>IM44837521</t>
  </si>
  <si>
    <t>IM44841660</t>
  </si>
  <si>
    <t>IM44845649</t>
  </si>
  <si>
    <t>IM44849598</t>
  </si>
  <si>
    <t>IM45016941</t>
  </si>
  <si>
    <t>IM45351180</t>
  </si>
  <si>
    <t>DURGAA02</t>
  </si>
  <si>
    <t>Patient Insights | POT | HUB interface failure on 02/25/2025</t>
  </si>
  <si>
    <t>DURGAM, AKHIL</t>
  </si>
  <si>
    <t>IM45315511</t>
  </si>
  <si>
    <t>IM45350118</t>
  </si>
  <si>
    <t>IM43481972</t>
  </si>
  <si>
    <t>Please provide list of all the Business Users for the usage dashboard security group optimization purpose</t>
  </si>
  <si>
    <t>Report</t>
  </si>
  <si>
    <t>User Groups</t>
  </si>
  <si>
    <t>SHAILENDRA CHAMOLA, POOJA</t>
  </si>
  <si>
    <t>IM41789678</t>
  </si>
  <si>
    <t>PBR leave behind decks-Additional SAS access-Ramesh Thangavel</t>
  </si>
  <si>
    <t>IM43996027</t>
  </si>
  <si>
    <t>Software Update</t>
  </si>
  <si>
    <t>Patient Point</t>
  </si>
  <si>
    <t>IM41822590</t>
  </si>
  <si>
    <t>Upcoming - IICS Upgrade - July 2022 Major Release ( Patient Insight Application )</t>
  </si>
  <si>
    <t>IM41508331</t>
  </si>
  <si>
    <t>Upcoming - IICS Upgrade - R39 - April 2022 Release</t>
  </si>
  <si>
    <t>IM42696861</t>
  </si>
  <si>
    <t>MORES14</t>
  </si>
  <si>
    <t>Passport Home page arrow links do not appear</t>
  </si>
  <si>
    <t>User Access</t>
  </si>
  <si>
    <t>ESPENSEN, MAUREEN KAY</t>
  </si>
  <si>
    <t>IM44329326</t>
  </si>
  <si>
    <t>Patient Experience Report | Access issue</t>
  </si>
  <si>
    <t>THOMPSON, CHRIS J</t>
  </si>
  <si>
    <t>IM42352521</t>
  </si>
  <si>
    <t>User not able to see data for Patient Insight dashboards</t>
  </si>
  <si>
    <t>PAVITWAR, PRIYANKA DNYANESHWARRAO</t>
  </si>
  <si>
    <t>IM45346589</t>
  </si>
  <si>
    <t>FRM dashboard access - Steven.Wilcox@pfizer.com</t>
  </si>
  <si>
    <t>IM42907887</t>
  </si>
  <si>
    <t>Patient insights access request for IICS, Tableau</t>
  </si>
  <si>
    <t>All</t>
  </si>
  <si>
    <t>IM42459217</t>
  </si>
  <si>
    <t>I am not able to login the Web-App</t>
  </si>
  <si>
    <t>PONUGUPATI, RAVINDRA</t>
  </si>
  <si>
    <t>IM42820445</t>
  </si>
  <si>
    <t>Patient insights access request for IICS, Tableau and Snowflake for Shridi and Rahul</t>
  </si>
  <si>
    <t>IM42868097</t>
  </si>
  <si>
    <t>Vyndamax patient experience report user permission issue</t>
  </si>
  <si>
    <t>CARPENTER, MATTHEW J</t>
  </si>
  <si>
    <t>IM43259740</t>
  </si>
  <si>
    <t>CHAMP Security Table RLS Update</t>
  </si>
  <si>
    <t>KHAN, ASMA</t>
  </si>
  <si>
    <t>IM44535591</t>
  </si>
  <si>
    <t>Patient Insights | Access isssue for Damien</t>
  </si>
  <si>
    <t>QUINN, DAMIEN P</t>
  </si>
  <si>
    <t>IM41795401</t>
  </si>
  <si>
    <t>Need to add new Passport user on the client side named Ramesh Thangavel (email: ramesh.thangavel@pfizer.com , NTID: THANGR11).</t>
  </si>
  <si>
    <t>IM44251846</t>
  </si>
  <si>
    <t>Patient Insights | Passport access request for Jill Dura</t>
  </si>
  <si>
    <t>IM41995842</t>
  </si>
  <si>
    <t>Need to provide access for champ and passport to the requested users</t>
  </si>
  <si>
    <t>IM42010104</t>
  </si>
  <si>
    <t>IM44038015</t>
  </si>
  <si>
    <t>Provide Access to Patient Insights Applications</t>
  </si>
  <si>
    <t>IM44343989</t>
  </si>
  <si>
    <t>Access to PI IICS and S3 Buckets</t>
  </si>
  <si>
    <t>IM45112154</t>
  </si>
  <si>
    <t>Patiient Inisghts | Provide PASS Site Access for Specialty Care Executive Summary dashboard users</t>
  </si>
  <si>
    <t>IM45155316</t>
  </si>
  <si>
    <t>DEPROVISIONING</t>
  </si>
  <si>
    <t>Disable Patient Insights Account DEFILC01 for DeFilippis, Cristina</t>
  </si>
  <si>
    <t>DEFILIPPIS, CRISTINA</t>
  </si>
  <si>
    <t>IM41730222</t>
  </si>
  <si>
    <t>passport home page link broken</t>
  </si>
  <si>
    <t>IM41905030</t>
  </si>
  <si>
    <t>To provide access to Nacharaju, Preetham to the security file in order to get him Passport Tableau dashboard data access and sync it across env.</t>
  </si>
  <si>
    <t>IM43842552</t>
  </si>
  <si>
    <t>HUB Scorecard Report UAT Deployment</t>
  </si>
  <si>
    <t>IM44107888</t>
  </si>
  <si>
    <t>Grant Access to Patient Insights Applications</t>
  </si>
  <si>
    <t>ANANTHAKRISHNAN, MAHADEVAN</t>
  </si>
  <si>
    <t>IM45158435</t>
  </si>
  <si>
    <t>Disable Patient Insights Account GRUBBC01 for Grubbs, Chantel Regina</t>
  </si>
  <si>
    <t>GRUBBS, CHANTEL REGINA</t>
  </si>
  <si>
    <t>IM41626397</t>
  </si>
  <si>
    <t>Disable GitHub MARM Organization Account SEKARS02 for Sekar, Sujatha</t>
  </si>
  <si>
    <t>GitHub Access</t>
  </si>
  <si>
    <t>SEKAR, SUJATHA</t>
  </si>
  <si>
    <t>IM42333842</t>
  </si>
  <si>
    <t>Patient Point - unable to connect to loaclhost3000</t>
  </si>
  <si>
    <t>IM43590239</t>
  </si>
  <si>
    <t>Disable Patient Insights Account SADINV01 for Sadineni, Venkata Vamsikrishna</t>
  </si>
  <si>
    <t>SADINENI, VENKATA VAMSIKRISHNA</t>
  </si>
  <si>
    <t>IM44115796</t>
  </si>
  <si>
    <t>Patient Insights | Tableau access</t>
  </si>
  <si>
    <t>IM44727551</t>
  </si>
  <si>
    <t>Patient Insights - Requesting to add My NTID to the security groups associated to Tableau Dashboards</t>
  </si>
  <si>
    <t>Add</t>
  </si>
  <si>
    <t>CHINNAPURAM, NIKHITHA</t>
  </si>
  <si>
    <t>IM45183785</t>
  </si>
  <si>
    <t>Disable Patient Insights Account NAGARS40 for Nagaraju, Sunil Kumar</t>
  </si>
  <si>
    <t>NAGARAJU, SUNIL KUMAR</t>
  </si>
  <si>
    <t>IM45231564</t>
  </si>
  <si>
    <t>Disable Patient Insights Account BEGUMR06 for Begum, Rubina</t>
  </si>
  <si>
    <t>BEGUM, RUBINA</t>
  </si>
  <si>
    <t>IM45306889</t>
  </si>
  <si>
    <t>Disable Patient Insights Account GOLDSG02 for Goldsmith, George</t>
  </si>
  <si>
    <t>IM41815019</t>
  </si>
  <si>
    <t>patient insights support team - portal access</t>
  </si>
  <si>
    <t>IM41815232</t>
  </si>
  <si>
    <t>access patient point - error</t>
  </si>
  <si>
    <t>IM41820957</t>
  </si>
  <si>
    <t>http://patientinsightsdm-stg.pfizer.com/</t>
  </si>
  <si>
    <t>IM41820966</t>
  </si>
  <si>
    <t>IM42176219</t>
  </si>
  <si>
    <t>IM42199371</t>
  </si>
  <si>
    <t>IM42323621</t>
  </si>
  <si>
    <t>http://patientinsightsdm-dev.pfizer.com/ - error message</t>
  </si>
  <si>
    <t>IM42564775</t>
  </si>
  <si>
    <t>Patient Point - Access Issue</t>
  </si>
  <si>
    <t>IM42969439</t>
  </si>
  <si>
    <t>Disable GitHub MARM Organization Account KATIPA for Katipally, Akhil Kumar</t>
  </si>
  <si>
    <t>KATIPALLY, AKHIL KUMAR</t>
  </si>
  <si>
    <t>IM44504617</t>
  </si>
  <si>
    <t>Disable Patient Insights Account NADDAA for Nadda, Ankur</t>
  </si>
  <si>
    <t>NADDA, ANKUR</t>
  </si>
  <si>
    <t>IM44960870</t>
  </si>
  <si>
    <t>Access Request</t>
  </si>
  <si>
    <t>V, PRIYADARSHINI</t>
  </si>
  <si>
    <t>IM44927033</t>
  </si>
  <si>
    <t>Disable Patient Insights Account DILOLS for DiLollo, Steven Bertrand</t>
  </si>
  <si>
    <t>Revoke Access</t>
  </si>
  <si>
    <t>DILOLLO, STEVEN BERTRAND</t>
  </si>
  <si>
    <t>IM44948354</t>
  </si>
  <si>
    <t>Patient Insights - Request: Xeljanz &amp; Velsipity | Passport / Patient Insights |Alexandra Broadus</t>
  </si>
  <si>
    <t>IM45332214</t>
  </si>
  <si>
    <t>PASS link for CHAMP is not working</t>
  </si>
  <si>
    <t>IM42880199</t>
  </si>
  <si>
    <t>Issue in Vyndamax persistency curve</t>
  </si>
  <si>
    <t>User Interface</t>
  </si>
  <si>
    <t>IM42240842</t>
  </si>
  <si>
    <t>Patient Point | Data Management Output</t>
  </si>
  <si>
    <t>IM43819180</t>
  </si>
  <si>
    <t>Patient Insights | Passport SPP Report Internal (Patient Data Report for Lorbrena)</t>
  </si>
  <si>
    <t>IM43574699</t>
  </si>
  <si>
    <t>Patient Insights - Passport SPP Patient Data Report not working</t>
  </si>
  <si>
    <t>IM44836640</t>
  </si>
  <si>
    <t>PatientPoint - Contract - KPI Form error</t>
  </si>
  <si>
    <t>IM43249632</t>
  </si>
  <si>
    <t>Patient Insights - Fulfillment rate chart not showing correctly</t>
  </si>
  <si>
    <t>IM43249837</t>
  </si>
  <si>
    <t>Patient Insights - Adherence metrics not calculated as percentages</t>
  </si>
  <si>
    <t>IM43764247</t>
  </si>
  <si>
    <t>Patient Insights - Patient Point is very slow</t>
  </si>
  <si>
    <t>IM44415408</t>
  </si>
  <si>
    <t>Patient Experience - Patient Cohort Chart - Incorrect value</t>
  </si>
  <si>
    <t>IM41909427</t>
  </si>
  <si>
    <t>CHAMP Data Management Table Filter Issue</t>
  </si>
  <si>
    <t>IM42365008</t>
  </si>
  <si>
    <t>Patient Insights - Percentage not displayed in Enhanced Service view</t>
  </si>
  <si>
    <t>IM42761547</t>
  </si>
  <si>
    <t>Brand Analytics | Account view incorrect quarterly graph</t>
  </si>
  <si>
    <t>IM41935471</t>
  </si>
  <si>
    <t>CHAMP: Unable to delete invoices</t>
  </si>
  <si>
    <t>IM42772653</t>
  </si>
  <si>
    <t>Vyndamax report for Saum Misra is loading redacted version of the report</t>
  </si>
  <si>
    <t>IM44850476</t>
  </si>
  <si>
    <t>Patient Insights | FAL Territory Level and Region/National View</t>
  </si>
  <si>
    <t>IM42768464</t>
  </si>
  <si>
    <t>Axis is incorrect in Passport External dashboard Efficiency View.</t>
  </si>
  <si>
    <t>IM44015949</t>
  </si>
  <si>
    <t>Patient Insights - Passport SPP Adherence Bucket chart for Done rates not working for Braftovi and Braftovi/Mektovi</t>
  </si>
  <si>
    <t>IM43064211</t>
  </si>
  <si>
    <t>Patient Insights - Export SPIF codes does not work</t>
  </si>
  <si>
    <t>IM43714627</t>
  </si>
  <si>
    <t>MASSA, MARC C</t>
  </si>
  <si>
    <t>IM43991823</t>
  </si>
  <si>
    <t>Patient Insights - Passport Tableau dashboard performance issue</t>
  </si>
  <si>
    <t>IM44162788</t>
  </si>
  <si>
    <t>Patient insights | Incorrect link for HUB Scorecard in Passport Home</t>
  </si>
  <si>
    <t>IM43667932</t>
  </si>
  <si>
    <t>Patient Insights - CHAMP New SPP Validation tab data issue</t>
  </si>
  <si>
    <t>IM44133900</t>
  </si>
  <si>
    <t>Patient Insights | Passport SPP External | Data Quality issue</t>
  </si>
  <si>
    <t>IM42061967</t>
  </si>
  <si>
    <t>SCORECARD</t>
  </si>
  <si>
    <t>IM42061070</t>
  </si>
  <si>
    <t>IM43196350</t>
  </si>
  <si>
    <t>IM44089900</t>
  </si>
  <si>
    <t>Patient Insights - Brand Analytics dashboard not working</t>
  </si>
  <si>
    <t>IM44117630</t>
  </si>
  <si>
    <t>Patient Point | Data Management | Issue when editing Product Dimension table</t>
  </si>
  <si>
    <t>IM42932065</t>
  </si>
  <si>
    <t>Patient Point | Data Management exception table showing blank</t>
  </si>
  <si>
    <t>IM43133791</t>
  </si>
  <si>
    <t>Patient Insights - CHAMP down</t>
  </si>
  <si>
    <t>Application Down</t>
  </si>
  <si>
    <t>IM43220441</t>
  </si>
  <si>
    <t>The most recent week in the Vyndamax patient experience report is 4/28/2023. But, We should have data till the week ending of 5/19/2023.</t>
  </si>
  <si>
    <t>IM43441056</t>
  </si>
  <si>
    <t>Patient Insights - Cannot enter an invoice on Patient Point</t>
  </si>
  <si>
    <t>IM43748453</t>
  </si>
  <si>
    <t>Patient Insights - CHAMP dashboard error</t>
  </si>
  <si>
    <t>IM43133830</t>
  </si>
  <si>
    <t>Patient Insights - Passport down</t>
  </si>
  <si>
    <t>IM43166875</t>
  </si>
  <si>
    <t>Patient Insights - Patient Point is not accessible</t>
  </si>
  <si>
    <t>IM44131444</t>
  </si>
  <si>
    <t>Patient Insights | Transfer time visualization in Passport SPP Internal Efficiency tab not showing "no data" message for certain filter combinations</t>
  </si>
  <si>
    <t>IM43822059</t>
  </si>
  <si>
    <t>Unable to access invoice or other tabs in patient point</t>
  </si>
  <si>
    <t>IM45006092</t>
  </si>
  <si>
    <t>Patient Insights - Application Issue - PASSPORT SPP Internal Efficiency tab</t>
  </si>
  <si>
    <t>IM45006145</t>
  </si>
  <si>
    <t>Patient Insights - Application Issue - SPP Internal dashboard info button</t>
  </si>
  <si>
    <t>IM44948338</t>
  </si>
  <si>
    <t>Patient Insights - Patient Experience: Velsipity Conversion Analysis graph issue</t>
  </si>
  <si>
    <t>IM45006082</t>
  </si>
  <si>
    <t>Patient Insights - Application Issue - PASSPORT Homepage arrows</t>
  </si>
  <si>
    <t>IM45399784</t>
  </si>
  <si>
    <t>Patient Insights OSOT R2 issue</t>
  </si>
  <si>
    <t>IM45399734</t>
  </si>
  <si>
    <t>IM45408355</t>
  </si>
  <si>
    <t>GARCIA, PEDRO</t>
  </si>
  <si>
    <t>IM45408315</t>
  </si>
  <si>
    <t>Vyndamax Passport Dashboard Down</t>
  </si>
  <si>
    <t>IM45403031</t>
  </si>
  <si>
    <t>interface issue</t>
  </si>
  <si>
    <t>IM45403030</t>
  </si>
  <si>
    <t>IM45366273</t>
  </si>
  <si>
    <t>Passport : Error External accounts -Passport SPP Reports External</t>
  </si>
  <si>
    <t>IM44376205</t>
  </si>
  <si>
    <t>Export of study details</t>
  </si>
  <si>
    <t>JOHN BRITTO, JOEL MELVIN ARULSWAMY</t>
  </si>
  <si>
    <t>IM45362450</t>
  </si>
  <si>
    <t>Manual Upload of FRM file in tables in UAT &amp; PROD</t>
  </si>
  <si>
    <t>IM45255965</t>
  </si>
  <si>
    <t>Patient Experience Dashboard is not having the data from backend</t>
  </si>
  <si>
    <t>IM45365413</t>
  </si>
  <si>
    <t>GERO, JOHN-PETER</t>
  </si>
  <si>
    <t>IM45365377</t>
  </si>
  <si>
    <t>GERO, DANIELLE LEIGH</t>
  </si>
  <si>
    <t>IM45365788</t>
  </si>
  <si>
    <t>IM45365784</t>
  </si>
  <si>
    <t>IM45447567</t>
  </si>
  <si>
    <t>Work in progress</t>
  </si>
  <si>
    <t>IM45436273</t>
  </si>
  <si>
    <t>Patient Insights: Hub Scorecard data not loaded</t>
  </si>
  <si>
    <t>IM45426547</t>
  </si>
  <si>
    <t>UNASSIGNED</t>
  </si>
  <si>
    <t>RM - TABLEAU</t>
  </si>
  <si>
    <t>Patient Insight | Data Upload | UAT Environment</t>
  </si>
  <si>
    <t>IM45417764</t>
  </si>
  <si>
    <t>Adding HCP and Pharmacy submission and approval rate in the tool tip of engagement analytics dashboard</t>
  </si>
  <si>
    <t>IM45372987</t>
  </si>
  <si>
    <t>IM45529964</t>
  </si>
  <si>
    <t>Patient Insights | Patient Point UAT is down</t>
  </si>
  <si>
    <t>BABU, SHRIDI</t>
  </si>
  <si>
    <t>IM45528616</t>
  </si>
  <si>
    <t>Pending Customer</t>
  </si>
  <si>
    <t>Patient Insights | CMM | Data Anomaly - Pre November 2024</t>
  </si>
  <si>
    <t>HORANSKY, BENJAMIN</t>
  </si>
  <si>
    <t>IM45523801</t>
  </si>
  <si>
    <t>Patient Insights | Journey view access issue of Michael Shin</t>
  </si>
  <si>
    <t>IM45522580</t>
  </si>
  <si>
    <t>Patient Insights - lock out with snowflake</t>
  </si>
  <si>
    <t>IM45515159</t>
  </si>
  <si>
    <t>IM45494091</t>
  </si>
  <si>
    <t>Patient Insights| Patient Point Web App server down in DEV Environment</t>
  </si>
  <si>
    <t>IM45478720</t>
  </si>
  <si>
    <t>URL</t>
  </si>
  <si>
    <t>IM45475978</t>
  </si>
  <si>
    <t>PATIENT INSIGHTS / CHAMP</t>
  </si>
  <si>
    <t>Data Extraction</t>
  </si>
  <si>
    <t>STEPHENS, TAMEKA</t>
  </si>
  <si>
    <t>IM45470933</t>
  </si>
  <si>
    <t>SPP Internal - Patient Data Report - no data presented</t>
  </si>
  <si>
    <t>IM45457451</t>
  </si>
  <si>
    <t>Patient Journey Dashboard Velsipity TaT Appear to Be High</t>
  </si>
  <si>
    <t>MUCOLLARI, ERIK</t>
  </si>
  <si>
    <t>IM45457423</t>
  </si>
  <si>
    <t>IM45452287</t>
  </si>
  <si>
    <t>Dependabot alerts for the week of Mar 25 - Apr 1</t>
  </si>
  <si>
    <t>IM45629167</t>
  </si>
  <si>
    <t>Patient Insights | TF_ZIP_SECURITY_LOAD | Job Failure - Production</t>
  </si>
  <si>
    <t>IM45596621</t>
  </si>
  <si>
    <t>Patient Insight | Hub Scorecard Not Showing Data</t>
  </si>
  <si>
    <t>IM45594263</t>
  </si>
  <si>
    <t>Access Requests</t>
  </si>
  <si>
    <t>IM45593410</t>
  </si>
  <si>
    <t>Patient Insights - Data Issue - Vyndamax HUB Data Missing for Reporting</t>
  </si>
  <si>
    <t>IM45577821</t>
  </si>
  <si>
    <t>IM45590557</t>
  </si>
  <si>
    <t>Patient Insights | Timestamp Clarification | Production Environment</t>
  </si>
  <si>
    <t>IM45580453</t>
  </si>
  <si>
    <t>Prescriber New Writers Missing in Production for Velsipity</t>
  </si>
  <si>
    <t>IM45553456</t>
  </si>
  <si>
    <t>IM45576837</t>
  </si>
  <si>
    <t>Patient Insights - Data Issue - Velsipity HUB Data Missing in Reporting</t>
  </si>
  <si>
    <t>IM45553304</t>
  </si>
  <si>
    <t>IM45541465</t>
  </si>
  <si>
    <t>IM45567472</t>
  </si>
  <si>
    <t>Patient Insights | CHAMP Dashboard Refresh Issue | Production Environment</t>
  </si>
  <si>
    <t>IM45571715</t>
  </si>
  <si>
    <t>Patient Insights|OSOT May'25 Release | UAT deployment.</t>
  </si>
  <si>
    <t>Deployment</t>
  </si>
  <si>
    <t>IM45564689</t>
  </si>
  <si>
    <t>IM45592617</t>
  </si>
  <si>
    <t>Patient Insights | HBRD | HUB interface failure on 20/05/2025</t>
  </si>
  <si>
    <t>IM45557205</t>
  </si>
  <si>
    <t>Patient Insights | New Prescriber Writer Issue</t>
  </si>
  <si>
    <t>RUCKER, ANN ELIZABETH</t>
  </si>
  <si>
    <t>IM45567597</t>
  </si>
  <si>
    <t>Patient Insight | Time Zone Clarification | PASS Tableau Dashboards</t>
  </si>
  <si>
    <t>IM45567379</t>
  </si>
  <si>
    <t>IM45561333</t>
  </si>
  <si>
    <t>loss access passport - Brian Denton</t>
  </si>
  <si>
    <t>DENTON, BRIAN C</t>
  </si>
  <si>
    <t>IM45541458</t>
  </si>
  <si>
    <t>IM45547767</t>
  </si>
  <si>
    <t>Sflk_Natv_MarmPntInsightDB_CDW connection role issue in UAT</t>
  </si>
  <si>
    <t>IM45705584</t>
  </si>
  <si>
    <t>Disable Patient Insights Account SHADEC01 for Shade, Christopher</t>
  </si>
  <si>
    <t>SHADE, CHRISTOPHER</t>
  </si>
  <si>
    <t>IM45705701</t>
  </si>
  <si>
    <t>Disable Patient Insights Account NESSELK for Nessel, Kenneth R</t>
  </si>
  <si>
    <t>NESSEL, KENNETH R</t>
  </si>
  <si>
    <t>IM45705473</t>
  </si>
  <si>
    <t>Disable Patient Insights Account SHERREM for Sherretta, Mark</t>
  </si>
  <si>
    <t>SHERRETTA, MARK</t>
  </si>
  <si>
    <t>IM45726360</t>
  </si>
  <si>
    <t>Disable Patient Insights Account HEWELE for Hewel, Evan Anderson</t>
  </si>
  <si>
    <t>HEWEL, EVAN ANDERSON</t>
  </si>
  <si>
    <t>IM45719488</t>
  </si>
  <si>
    <t>Resolved</t>
  </si>
  <si>
    <t>Disable Patient Insights Account CHOWDR12 for Chowdhury, Rajarshi</t>
  </si>
  <si>
    <t>CHOWDHURY, RAJARSHI</t>
  </si>
  <si>
    <t>IM45630859</t>
  </si>
  <si>
    <t>IM45630863</t>
  </si>
  <si>
    <t>IM45637328</t>
  </si>
  <si>
    <t>Pending Vendor</t>
  </si>
  <si>
    <t>More Data in CHAMP than in Raw data</t>
  </si>
  <si>
    <t>IM45638606</t>
  </si>
  <si>
    <t>SPP quantities missing Xejianz XR</t>
  </si>
  <si>
    <t>IM45648331</t>
  </si>
  <si>
    <t>Pending Pfizer</t>
  </si>
  <si>
    <t>Patient Insights | HBRD | HUB interface failure on 06/06/2025</t>
  </si>
  <si>
    <t>IM45663953</t>
  </si>
  <si>
    <t>Patient Insights | Walgreens Data Cost Per Month</t>
  </si>
  <si>
    <t>IM45664641</t>
  </si>
  <si>
    <t>RAUTA20</t>
  </si>
  <si>
    <t>Enhanced service discontinuation call program</t>
  </si>
  <si>
    <t>IM45668473</t>
  </si>
  <si>
    <t>Patient Insights | Passport job failures for the date 6/16</t>
  </si>
  <si>
    <t>IM45671298</t>
  </si>
  <si>
    <t>Patient Insights | HBRD | Files for the date 06/16/2025 are missing</t>
  </si>
  <si>
    <t>IM45675317</t>
  </si>
  <si>
    <t>Patient Insights | HBRD | Files for the date 06/17/2025 are missing</t>
  </si>
  <si>
    <t>IM45709972</t>
  </si>
  <si>
    <t>Inquiry Manager Issue</t>
  </si>
  <si>
    <t>IM45715416</t>
  </si>
  <si>
    <t>Patient Insights | Discrepancy - Persistency Logic | IM45715416</t>
  </si>
  <si>
    <t>IM45715944</t>
  </si>
  <si>
    <t>IM45715951</t>
  </si>
  <si>
    <t>IM45730198</t>
  </si>
  <si>
    <t>Patient Insights | D0 Layer - Master Load Failure | UAT Environment</t>
  </si>
  <si>
    <t>IM45059933</t>
  </si>
  <si>
    <t>Patient Insights - CHAMP Walgreens SPIF mapping issue</t>
  </si>
  <si>
    <t>IM45063760</t>
  </si>
  <si>
    <t>Patient Insights | Change in Business Record ID for patient copay</t>
  </si>
  <si>
    <t>SINGH, SUNIDHI</t>
  </si>
  <si>
    <t>IM45078592</t>
  </si>
  <si>
    <t>Patient Insights - CHAMP not updated</t>
  </si>
  <si>
    <t>IM45681025</t>
  </si>
  <si>
    <t>PASSPORT L3</t>
  </si>
  <si>
    <t>TF_FRM_PATIENT_DATA_FCT_LOAD failed in PROD</t>
  </si>
  <si>
    <t>RAUT, ATHARVA UNMESH</t>
  </si>
  <si>
    <t>Requested By</t>
  </si>
  <si>
    <t>RF3622712</t>
  </si>
  <si>
    <t>GMFT reconfiguration required in DEV S3</t>
  </si>
  <si>
    <t>RF3658439</t>
  </si>
  <si>
    <t>Request: Passport Leave Behind Deck extraction Q1 2022</t>
  </si>
  <si>
    <t>Leave Behind Deck</t>
  </si>
  <si>
    <t>RF3780202</t>
  </si>
  <si>
    <t>SM Data Quality Discrepancy Report  [Change Mgmt General]: GBL-C4 MARM PATIENT INSIGHTS SUPPORT</t>
  </si>
  <si>
    <t>Audit</t>
  </si>
  <si>
    <t>Service Manager RFC</t>
  </si>
  <si>
    <t>DIGITAL CONFIGURATION MGMT, CI DATA QUALITY</t>
  </si>
  <si>
    <t>RF3818389</t>
  </si>
  <si>
    <t>Vyndamax Patient Experience Report | Access permission for specific views</t>
  </si>
  <si>
    <t>Information/How-To</t>
  </si>
  <si>
    <t>RF3833207</t>
  </si>
  <si>
    <t>Leave Behind deck extract Q2 2022</t>
  </si>
  <si>
    <t>RF3847340</t>
  </si>
  <si>
    <t>Access to Vyndamax patient experience report</t>
  </si>
  <si>
    <t>RF3868923</t>
  </si>
  <si>
    <t>Request - Need to add create new  security AD- Groups for patient insights</t>
  </si>
  <si>
    <t>Security Group</t>
  </si>
  <si>
    <t>RF3879799</t>
  </si>
  <si>
    <t>Patient Point - Add two new services</t>
  </si>
  <si>
    <t>RF3891413</t>
  </si>
  <si>
    <t>Request to  provide access for Patient Point</t>
  </si>
  <si>
    <t>RF3892187</t>
  </si>
  <si>
    <t>RM Fulfillment Ticket: Patient Insights - 20220901020530402</t>
  </si>
  <si>
    <t>RF3892781</t>
  </si>
  <si>
    <t>CHAMP Access updates</t>
  </si>
  <si>
    <t>Update permissions</t>
  </si>
  <si>
    <t>RF3893669</t>
  </si>
  <si>
    <t>Patient Insights - Remove Access</t>
  </si>
  <si>
    <t>Remove</t>
  </si>
  <si>
    <t>RF3897752</t>
  </si>
  <si>
    <t>Request - To refresh the CDW data from production server to UAT &amp; DEV server.</t>
  </si>
  <si>
    <t>VARMA, POOJA RAJMAL</t>
  </si>
  <si>
    <t>RF3899347</t>
  </si>
  <si>
    <t>Request-- Provide dev env score card access dashboard to lal,sanjana</t>
  </si>
  <si>
    <t>LAL, SANJANA</t>
  </si>
  <si>
    <t>RF3903071</t>
  </si>
  <si>
    <t>Patient Insights - Enhancement Request</t>
  </si>
  <si>
    <t>RF3903916</t>
  </si>
  <si>
    <t>Passport | Wrong Labeling in - Accredo/Xeljanz - Discontinued Patients</t>
  </si>
  <si>
    <t>RF3903926</t>
  </si>
  <si>
    <t>Passport | Centerwell account updates required</t>
  </si>
  <si>
    <t>RF3911553</t>
  </si>
  <si>
    <t>Upcoming - IICS Upgrade - October 2022 Major Release</t>
  </si>
  <si>
    <t>IICS Upgrade</t>
  </si>
  <si>
    <t>RF3914577</t>
  </si>
  <si>
    <t>RF3935930</t>
  </si>
  <si>
    <t>Patient Insights - Leave Behind Extract</t>
  </si>
  <si>
    <t>RF3937460</t>
  </si>
  <si>
    <t>Request||Passport Access || Project team requested requested access for passport dashboard and data</t>
  </si>
  <si>
    <t>SUNKI, RAJ KUMAR</t>
  </si>
  <si>
    <t>RF3939060</t>
  </si>
  <si>
    <t>RF3939100</t>
  </si>
  <si>
    <t>RF3940825</t>
  </si>
  <si>
    <t>Passport | Export the list of new patient IDs for Vyndamax (Jan 2022)</t>
  </si>
  <si>
    <t>Data Extract</t>
  </si>
  <si>
    <t>RF3946394</t>
  </si>
  <si>
    <t>CHAMP Budget and Patient Point Product Questions</t>
  </si>
  <si>
    <t>RF3958862</t>
  </si>
  <si>
    <t>New Dashboard</t>
  </si>
  <si>
    <t>RF3959185</t>
  </si>
  <si>
    <t>RF3967442</t>
  </si>
  <si>
    <t>Patient Insights - How to combine two contracts in Patient Point</t>
  </si>
  <si>
    <t>RF3972009</t>
  </si>
  <si>
    <t>Request || Provide patient insight Passport COE  access for sheri</t>
  </si>
  <si>
    <t>HENDERSON, SHERI G</t>
  </si>
  <si>
    <t>RF3992134</t>
  </si>
  <si>
    <t>Request || Leave behind extraction for Q3-2022</t>
  </si>
  <si>
    <t>RF3997188</t>
  </si>
  <si>
    <t>RM Fulfillment Ticket: Patient Insights - 20221027091212702</t>
  </si>
  <si>
    <t>BURHANS, WILLIAM W</t>
  </si>
  <si>
    <t>RF4001605</t>
  </si>
  <si>
    <t>AMER Tableau server upgrade</t>
  </si>
  <si>
    <t>RF4007508</t>
  </si>
  <si>
    <t>Request||Patient insight dashboard access for Wang, Eric</t>
  </si>
  <si>
    <t>RF4034836</t>
  </si>
  <si>
    <t>Request ||please provision me access to CHAMP frontend and backend.</t>
  </si>
  <si>
    <t>RF4035922</t>
  </si>
  <si>
    <t>Patient Point - Add new Brand and Service</t>
  </si>
  <si>
    <t>RF4036419</t>
  </si>
  <si>
    <t>Patient Point - Updated Account name Excelera to Shields</t>
  </si>
  <si>
    <t>RF4044668</t>
  </si>
  <si>
    <t>Patient Insights - Enhancement Request - Update Passport enhanced services mapping</t>
  </si>
  <si>
    <t>RF4052305</t>
  </si>
  <si>
    <t>Request || % New Patients for SPP &amp; N/w avg in Enhanced services view should be changed.</t>
  </si>
  <si>
    <t>RF4053602</t>
  </si>
  <si>
    <t>Patient Insights - Update Patient Point with 2023 budget</t>
  </si>
  <si>
    <t>RF4053926</t>
  </si>
  <si>
    <t>RM Fulfillment Ticket: Patient Insights - 20221122134258339</t>
  </si>
  <si>
    <t>RF4069498</t>
  </si>
  <si>
    <t>Patient Insights | User security updates</t>
  </si>
  <si>
    <t>RF4071491</t>
  </si>
  <si>
    <t>Patient Insights | Provide access to Dev Snowflake tables</t>
  </si>
  <si>
    <t>RF4072887</t>
  </si>
  <si>
    <t>RF4095477</t>
  </si>
  <si>
    <t>Patient Insights - Create new services in Patient Point</t>
  </si>
  <si>
    <t>RF4106941</t>
  </si>
  <si>
    <t>Patient Insights | Setup IICS Backup process</t>
  </si>
  <si>
    <t>IICS Backup</t>
  </si>
  <si>
    <t>RF4112719</t>
  </si>
  <si>
    <t>Leave Behind deck extraction Q4 2022</t>
  </si>
  <si>
    <t>RF4132139</t>
  </si>
  <si>
    <t>Intervention Method and Reason Field Lengths update in SPP Fact</t>
  </si>
  <si>
    <t>RF4140562</t>
  </si>
  <si>
    <t>Patient Insights - Add ritlecitinib to CHAMP dashboard</t>
  </si>
  <si>
    <t>RF4142909</t>
  </si>
  <si>
    <t>Patient Insights - Add Unsuccessful calls in CHAMP</t>
  </si>
  <si>
    <t>RF4144801</t>
  </si>
  <si>
    <t>Patient Insights - Update date format in Invoices</t>
  </si>
  <si>
    <t>RF4147216</t>
  </si>
  <si>
    <t>Patient Insights - Add new products in Patient Point</t>
  </si>
  <si>
    <t>RF4149183</t>
  </si>
  <si>
    <t>Patient Point | Update quality check logic</t>
  </si>
  <si>
    <t>RF4149867</t>
  </si>
  <si>
    <t>Passport | Automate intervention mapping</t>
  </si>
  <si>
    <t>RF4159048</t>
  </si>
  <si>
    <t>RM Fulfillment Ticket: Patient Insights - 20230130164729369</t>
  </si>
  <si>
    <t>RF4161071</t>
  </si>
  <si>
    <t>Impact Analysis | Changing Date of Outreach Cal in oncology SPP to VCHAR</t>
  </si>
  <si>
    <t>RF4161294</t>
  </si>
  <si>
    <t>Patient Insights - Add brands to CHAMP</t>
  </si>
  <si>
    <t>RF4169149</t>
  </si>
  <si>
    <t>Patient Insights - Add new service for CHAMP</t>
  </si>
  <si>
    <t>RF4177430</t>
  </si>
  <si>
    <t>RM Fulfillment Ticket: Patient Insights - 20230210114151855</t>
  </si>
  <si>
    <t>RF4177622</t>
  </si>
  <si>
    <t>RM Fulfillment Ticket: Patient Insights - 20230213111228596</t>
  </si>
  <si>
    <t>STROOCK, JENICA L</t>
  </si>
  <si>
    <t>RF4185066</t>
  </si>
  <si>
    <t>Patient Insights - How to update ownership of security group</t>
  </si>
  <si>
    <t>RF4204434</t>
  </si>
  <si>
    <t>Patient Insights | Tableau server upgrade</t>
  </si>
  <si>
    <t>RF4224099</t>
  </si>
  <si>
    <t>Patient Insights | Provide access for Tony Lin in Xeljanz Patient Experience report</t>
  </si>
  <si>
    <t>LIN, TONY</t>
  </si>
  <si>
    <t>RF4227162</t>
  </si>
  <si>
    <t>Patient Insights | Security group access update</t>
  </si>
  <si>
    <t>RF4228567</t>
  </si>
  <si>
    <t>Patient Insights - Extract CHAMP data with error code - Unmapped SPIF</t>
  </si>
  <si>
    <t>Snowflake Database</t>
  </si>
  <si>
    <t>RF4230751</t>
  </si>
  <si>
    <t>Patient Insights - Mapping of fields/code for Enhanced Services</t>
  </si>
  <si>
    <t>RF4233492</t>
  </si>
  <si>
    <t>Upcoming - IICS Upgrade R42 - April 2023 Major Release</t>
  </si>
  <si>
    <t>RF4239756</t>
  </si>
  <si>
    <t>Amba Dashboard | Minor changes to graph and default filter</t>
  </si>
  <si>
    <t>RF4253195</t>
  </si>
  <si>
    <t>Patient Insights - Investigate Negative Time to Fill metrics on Patient Experience dashboards</t>
  </si>
  <si>
    <t>RF4253547</t>
  </si>
  <si>
    <t>Patient Insights - Enhancement Request - New feed into CHAMP</t>
  </si>
  <si>
    <t>RF4257917</t>
  </si>
  <si>
    <t>RF4259836</t>
  </si>
  <si>
    <t>Patient Insights | Production User Access review</t>
  </si>
  <si>
    <t>Access Review</t>
  </si>
  <si>
    <t>RF4261489</t>
  </si>
  <si>
    <t>Request to provide  all required access to Ganji Ramesh to provide his support to patient insights</t>
  </si>
  <si>
    <t>RF4267213</t>
  </si>
  <si>
    <t>Request Update to CI: PATIENT INSIGHTS PLATFORM (BIOPHARMA) - CHAMP - 1.0 - AMER - PRODUCTION</t>
  </si>
  <si>
    <t>RF4267214</t>
  </si>
  <si>
    <t>Request Update to CI: PATIENT INSIGHTS PLATFORM (BIOPHARMA) - PASSPORT - 1.0 - AMER - PRODUCTION</t>
  </si>
  <si>
    <t>RF4267215</t>
  </si>
  <si>
    <t>Request Update to CI: PATIENT INSIGHTS PLATFORM (BIOPHARMA) - PRECISION - 1.0 - AMER - PRODUCTION</t>
  </si>
  <si>
    <t>RF4275313</t>
  </si>
  <si>
    <t>SM Data Quality Discrepancy Report  [CI General]: GBL-C4 MARM PATIENT INSIGHTS SUPPORT</t>
  </si>
  <si>
    <t>RF4276983</t>
  </si>
  <si>
    <t>Passport | Provide access to Elixir data</t>
  </si>
  <si>
    <t>ROACHE, MARIE T</t>
  </si>
  <si>
    <t>RF4277915</t>
  </si>
  <si>
    <t>Data level security || Ankur and Vamsi</t>
  </si>
  <si>
    <t>RF4285170</t>
  </si>
  <si>
    <t>RM Fulfillment Ticket: Patient Insights - 20230404114734138</t>
  </si>
  <si>
    <t>PROCK, MARCELLA MARIE</t>
  </si>
  <si>
    <t>RF4285171</t>
  </si>
  <si>
    <t>RM Fulfillment Ticket: Patient Insights - 20230404114702136</t>
  </si>
  <si>
    <t>THOMPSON, BRIAN J</t>
  </si>
  <si>
    <t>RF4287296</t>
  </si>
  <si>
    <t>Patient Insights - HUB Portfolio default filter update</t>
  </si>
  <si>
    <t>RF4294960</t>
  </si>
  <si>
    <t>Patient Insights - Enhancement Request - CHAMP</t>
  </si>
  <si>
    <t>RF4296716</t>
  </si>
  <si>
    <t>Request || please provide tableau dashboard in Patient Insight application for Amutha, Pooja &amp; Ajay</t>
  </si>
  <si>
    <t>ALAGARSAMY, AMUTHA</t>
  </si>
  <si>
    <t>RF4319625</t>
  </si>
  <si>
    <t>Impact Analysis | CCDM data updates</t>
  </si>
  <si>
    <t>CDW data</t>
  </si>
  <si>
    <t>RF4327342</t>
  </si>
  <si>
    <t>Patient Insights | List of data that we consume from CDW</t>
  </si>
  <si>
    <t>RF4332575</t>
  </si>
  <si>
    <t>CHAMP | Data extract required</t>
  </si>
  <si>
    <t>SPIF extract</t>
  </si>
  <si>
    <t>RF4336277</t>
  </si>
  <si>
    <t>Patient Insights - Office 365 update (v2302) - Testing required</t>
  </si>
  <si>
    <t>O365</t>
  </si>
  <si>
    <t>RF4338180</t>
  </si>
  <si>
    <t>RF4340216</t>
  </si>
  <si>
    <t>Request|| Review and validate the logic for patients who are showing as HUB  patients in passport dashboards.</t>
  </si>
  <si>
    <t>RF4345721</t>
  </si>
  <si>
    <t>Patient Insights - Data Quality dashboard issue</t>
  </si>
  <si>
    <t>RF4349987</t>
  </si>
  <si>
    <t>Patient Insights - Create new service</t>
  </si>
  <si>
    <t>RF4350700</t>
  </si>
  <si>
    <t>RF4361592</t>
  </si>
  <si>
    <t>Patient Insights | Verify active products for On-Time Data deliverables</t>
  </si>
  <si>
    <t>RF4361601</t>
  </si>
  <si>
    <t>Patient Insights | Data Quality dashboard changes</t>
  </si>
  <si>
    <t>RF4363389</t>
  </si>
  <si>
    <t>RF4375165</t>
  </si>
  <si>
    <t>SM Data Quality Discrepancy Report: RFCs abandoned, never promoted for Approval/Implementation</t>
  </si>
  <si>
    <t>RF4378327</t>
  </si>
  <si>
    <t>Request || please provide access to DEV and UAT tableau dashboard in Patient Insight application for Swapna</t>
  </si>
  <si>
    <t>RF4378337</t>
  </si>
  <si>
    <t>Request || Passport Security , Marie will need access to Bioplus in addition to what she has access to now.  Brian will need Onco360 added.</t>
  </si>
  <si>
    <t>RF4385039</t>
  </si>
  <si>
    <t>Patient Insights - Update code in GitHub repository</t>
  </si>
  <si>
    <t>GitHub</t>
  </si>
  <si>
    <t>RF4385746</t>
  </si>
  <si>
    <t>RM Fulfillment Ticket: Patient Insights - 20230605195635521</t>
  </si>
  <si>
    <t>MESAROS, ROBERT</t>
  </si>
  <si>
    <t>RF4386208</t>
  </si>
  <si>
    <t>Patient Insights - Data Extract CHAMP</t>
  </si>
  <si>
    <t>RF4389174</t>
  </si>
  <si>
    <t>RM Fulfillment Ticket: Patient Insights - 20230612110605211</t>
  </si>
  <si>
    <t>RF4389175</t>
  </si>
  <si>
    <t>RM Fulfillment Ticket: Patient Insights - 20230612110350196</t>
  </si>
  <si>
    <t>RF4389176</t>
  </si>
  <si>
    <t>RM Fulfillment Ticket: Patient Insights - 20230612110527205</t>
  </si>
  <si>
    <t>RF4389177</t>
  </si>
  <si>
    <t>RM Fulfillment Ticket: Patient Insights - 20230612110456202</t>
  </si>
  <si>
    <t>RF4393593</t>
  </si>
  <si>
    <t>Upcoming - IICS Upgrade R43 - July 2023 Major Release</t>
  </si>
  <si>
    <t>RF4397659</t>
  </si>
  <si>
    <t>Request access to PI Tableau Dashboards - Passport SPP and Champ in DEV, UAT</t>
  </si>
  <si>
    <t>DEY, SABYASACHI</t>
  </si>
  <si>
    <t>RF4407380</t>
  </si>
  <si>
    <t>Request|| From the RF4386208 data extract, Need to identify whey there are negative values for invoiced units and why few records don't have any invoiced units/numbers.</t>
  </si>
  <si>
    <t>RF4409653</t>
  </si>
  <si>
    <t>Patient Insights - Add new product IVIG (Patient Point &amp; CHAMP)</t>
  </si>
  <si>
    <t>RF4413989</t>
  </si>
  <si>
    <t>Patient Insights | Usage dashboard enhancement</t>
  </si>
  <si>
    <t>RF4416076</t>
  </si>
  <si>
    <t>Patient Insights | Provide access to CHAMP for new dev team members</t>
  </si>
  <si>
    <t>SHAH, TANAY PANKAJ</t>
  </si>
  <si>
    <t>RF4416624</t>
  </si>
  <si>
    <t>RM Fulfillment Ticket: Patient Insights - 20230622114007675</t>
  </si>
  <si>
    <t>RF4416625</t>
  </si>
  <si>
    <t>RM Fulfillment Ticket: Patient Insights - 20230622113906668</t>
  </si>
  <si>
    <t>MALIK, TARUN</t>
  </si>
  <si>
    <t>RF4416626</t>
  </si>
  <si>
    <t>RM Fulfillment Ticket: Patient Insights - 20230622114046678</t>
  </si>
  <si>
    <t>VAIBHAV, VIBHANSHU</t>
  </si>
  <si>
    <t>RF4427605</t>
  </si>
  <si>
    <t>Patient Insights | Vyndamax Patient Experience Report enhancement</t>
  </si>
  <si>
    <t>RF4435294</t>
  </si>
  <si>
    <t>Tableau -- Patient Insights access request</t>
  </si>
  <si>
    <t>BHATTACHARJEE, ANIRBAN</t>
  </si>
  <si>
    <t>RF4438649</t>
  </si>
  <si>
    <t>Patient Insights | Provide access to tableau and snowflake in DEV and UAT for new dev team member</t>
  </si>
  <si>
    <t>RF4446141</t>
  </si>
  <si>
    <t>SM Data Quality Discrepancy Report | RFC not approved for a month</t>
  </si>
  <si>
    <t>RF4458887</t>
  </si>
  <si>
    <t>Request access to PatientPoint in DEV and UAT for mentioned users</t>
  </si>
  <si>
    <t>MOHAMED, RIYAZ</t>
  </si>
  <si>
    <t>RF4462007</t>
  </si>
  <si>
    <t>RM Fulfillment Ticket: Patient Insights - 20230717031048193</t>
  </si>
  <si>
    <t>SHARMA, LOVELESH</t>
  </si>
  <si>
    <t>RF4465281</t>
  </si>
  <si>
    <t>Patient Insights | CHAMP | Mass update Service Category from "signature services" to "DON services"</t>
  </si>
  <si>
    <t>RF4468179</t>
  </si>
  <si>
    <t>Request access to Champ dashboard in DEV, UAT, PROD</t>
  </si>
  <si>
    <t>KONA, PAVAN KUMAR DEVAKI NANDANA</t>
  </si>
  <si>
    <t>RF4474092</t>
  </si>
  <si>
    <t>Patient Insights | Leave Behind deck extraction Q2 2023</t>
  </si>
  <si>
    <t>RF4477221</t>
  </si>
  <si>
    <t>Patient Insights | Tableau server upgrade v.2023.1.3</t>
  </si>
  <si>
    <t>RF4481657</t>
  </si>
  <si>
    <t>RM Fulfillment Ticket: Patient Insights - 20230803112154539</t>
  </si>
  <si>
    <t>RF4483550</t>
  </si>
  <si>
    <t>Patient Insights | SONEXUS | How to fetch Prior Authorizations cases</t>
  </si>
  <si>
    <t>Data Question</t>
  </si>
  <si>
    <t>TALWAR, SAHIL</t>
  </si>
  <si>
    <t>RF4483559</t>
  </si>
  <si>
    <t>Patient Insights | LASH | How to find Triaged to HUB vs Triaged to SPP for Ibrance and Somavert</t>
  </si>
  <si>
    <t>RF4486579</t>
  </si>
  <si>
    <t>RM Fulfillment Ticket: Patient Insights - 20230804030255122</t>
  </si>
  <si>
    <t>RF4487127</t>
  </si>
  <si>
    <t>Patient Insights | SONEXUS | Question related to Triage file (DERM)</t>
  </si>
  <si>
    <t>RF4490241</t>
  </si>
  <si>
    <t>Patient Insights - Check SPIF count for Optum-Ibrance November 2022</t>
  </si>
  <si>
    <t>RF4490862</t>
  </si>
  <si>
    <t>Patient Insights | Data Extract CHAMP</t>
  </si>
  <si>
    <t>RF4491096</t>
  </si>
  <si>
    <t>Patient Insight|| CDW || where can we see the patient data when patients are transferred with the Patient Status Reason Code is DC12 or DC13.</t>
  </si>
  <si>
    <t>RF4492723</t>
  </si>
  <si>
    <t>Patient Insights - Account changes (CVS Specialty &amp; OptioNet)</t>
  </si>
  <si>
    <t>RF4493307</t>
  </si>
  <si>
    <t>MYSORE SUDENDRAN, SUNILKUMAR</t>
  </si>
  <si>
    <t>RF4495210</t>
  </si>
  <si>
    <t>RM Fulfillment Ticket: Patient Insights - 20230810081613989</t>
  </si>
  <si>
    <t>RF4499932</t>
  </si>
  <si>
    <t>Request access to Patient Insights tableau dashboards, GitHub respositories and IICS in DEV, UAT, PROD</t>
  </si>
  <si>
    <t>RF4502450</t>
  </si>
  <si>
    <t>Patient Insights | New support member onboarding</t>
  </si>
  <si>
    <t>RF4507505</t>
  </si>
  <si>
    <t>Patient Insights | Remove access for Vishnu</t>
  </si>
  <si>
    <t>RF4516974</t>
  </si>
  <si>
    <t>Request || Patient Insights | Unix access</t>
  </si>
  <si>
    <t>Unix</t>
  </si>
  <si>
    <t>RF4517313</t>
  </si>
  <si>
    <t>Patient Insights | Update IICS Snowflake Connection for CDW source</t>
  </si>
  <si>
    <t>RF4517550</t>
  </si>
  <si>
    <t>Patient Insights | Update Start time of IICS job "TF_MASTER_BHVN_LOAD"</t>
  </si>
  <si>
    <t>IICS Job schedule</t>
  </si>
  <si>
    <t>RF4521033</t>
  </si>
  <si>
    <t>Patient Insights - CHAMP - Creation of new accounts</t>
  </si>
  <si>
    <t>RF4528650</t>
  </si>
  <si>
    <t>Patient Insights - Add new service</t>
  </si>
  <si>
    <t>RF4530227</t>
  </si>
  <si>
    <t>Update Brand - Business Unit backend XREF table</t>
  </si>
  <si>
    <t>RF4531160</t>
  </si>
  <si>
    <t>SM Data Quality Discrepancy Report: RFC CR2303241 Open more than 30 days</t>
  </si>
  <si>
    <t>RF4532101</t>
  </si>
  <si>
    <t>Request access to all dashboards in PatientInsights UAT and PROD</t>
  </si>
  <si>
    <t>RF4539718</t>
  </si>
  <si>
    <t>Patient Insights - Question for NAD access to Patient Point</t>
  </si>
  <si>
    <t>RF4543246</t>
  </si>
  <si>
    <t>Patient Insights | Update scheduled job for TF_MASTER_GBT_SPIF_FILE_LOAD</t>
  </si>
  <si>
    <t>Job Schedule update</t>
  </si>
  <si>
    <t>RF4543343</t>
  </si>
  <si>
    <t>Request || Provide data level access to Project team members for Passport and CHAMP</t>
  </si>
  <si>
    <t>RF4543385</t>
  </si>
  <si>
    <t>Patient Insights | User access to Tableau dashboards</t>
  </si>
  <si>
    <t>RF4543966</t>
  </si>
  <si>
    <t>Request || QA team Access - Patient Insights</t>
  </si>
  <si>
    <t>RF4544463</t>
  </si>
  <si>
    <t>Patient Insights - CHAMP data extract for Caremark Somavert 2022</t>
  </si>
  <si>
    <t>RF4544854</t>
  </si>
  <si>
    <t>Patient Insights - CHAMP - Question related to 2024 Budget</t>
  </si>
  <si>
    <t>RF4545439</t>
  </si>
  <si>
    <t>CHAMP Tableau Data Level Security Request</t>
  </si>
  <si>
    <t>CHAO, OLIVIA</t>
  </si>
  <si>
    <t>RF4548817</t>
  </si>
  <si>
    <t>Patient Insights | CHAMP | Automate Budget generation</t>
  </si>
  <si>
    <t>RF4549025</t>
  </si>
  <si>
    <t>Upcoming - IICS Upgrade R44 - October 2023 Major Release</t>
  </si>
  <si>
    <t>RF4551807</t>
  </si>
  <si>
    <t>Patient Insights - Add new Product in CHAMP</t>
  </si>
  <si>
    <t>RF4553261</t>
  </si>
  <si>
    <t>RM Fulfillment Ticket: Patient Insights - 20230914035221384</t>
  </si>
  <si>
    <t>LINTON, MICHAEL DAVID</t>
  </si>
  <si>
    <t>RF4556145</t>
  </si>
  <si>
    <t>Patient Insights - CHAMP User security settings update</t>
  </si>
  <si>
    <t>RF4558036</t>
  </si>
  <si>
    <t>Patient Insights | New security group for Cibinqo Brand creation</t>
  </si>
  <si>
    <t>RF4562480</t>
  </si>
  <si>
    <t>Patient Insights | Data extract for Caremark Xeljanz, Somavert and Vyndaqel</t>
  </si>
  <si>
    <t>RF4562908</t>
  </si>
  <si>
    <t>Patient Insights | SONEXUS | Missing Information data questions</t>
  </si>
  <si>
    <t>RF4562963</t>
  </si>
  <si>
    <t>Patient Insights | LASH | Missing Information data questions</t>
  </si>
  <si>
    <t>RF4563789</t>
  </si>
  <si>
    <t>Patient Insights - Documentation for CHAMP and Patient Point</t>
  </si>
  <si>
    <t>User Guide</t>
  </si>
  <si>
    <t>RF4568748</t>
  </si>
  <si>
    <t>RF4574305</t>
  </si>
  <si>
    <t>Impact Analysis | Change of Snowflake Warehouse</t>
  </si>
  <si>
    <t>RF4575428</t>
  </si>
  <si>
    <t>RM Fulfillment Ticket: Patient Insights - 20230925024148704</t>
  </si>
  <si>
    <t>HOFFNER, COREY</t>
  </si>
  <si>
    <t>RF4577152</t>
  </si>
  <si>
    <t>Patient Insights Report - Requesting Row Level Security Access</t>
  </si>
  <si>
    <t>THIRUMURUGAN, BHARATH RAJ</t>
  </si>
  <si>
    <t>RF4581087</t>
  </si>
  <si>
    <t>Accord: Access Certification for Pfizer Applications Q4-2023: Patient Insights: Access removal</t>
  </si>
  <si>
    <t>WTI-ACCESS REAUTHORIZATION, GIS</t>
  </si>
  <si>
    <t>RF4582730</t>
  </si>
  <si>
    <t>Patient Insights | Ad-hoc Leave Behind deck execution</t>
  </si>
  <si>
    <t>RF4582749</t>
  </si>
  <si>
    <t>CHAMP Data Access</t>
  </si>
  <si>
    <t>RAHALEY, BAKER</t>
  </si>
  <si>
    <t>RF4590091</t>
  </si>
  <si>
    <t>Patient Insights - CHAMP not yet refreshed</t>
  </si>
  <si>
    <t>RF4590357</t>
  </si>
  <si>
    <t>Patient Insights - CHAMP product rename</t>
  </si>
  <si>
    <t>RF4597422</t>
  </si>
  <si>
    <t>Patient Insights | Ad-hoc Leave Behind deck execution | Master Input File Validation</t>
  </si>
  <si>
    <t>RF4599260</t>
  </si>
  <si>
    <t>Patient Insights CHAMP - Request for data level access</t>
  </si>
  <si>
    <t>RF4599304</t>
  </si>
  <si>
    <t>Patient Insights - Request access for IICS, Snowflake, Patient Point and Tableau for the below mentioned resources across all three environments (DEV/STG/PROD)</t>
  </si>
  <si>
    <t>RF4600467</t>
  </si>
  <si>
    <t>Patient Insights - New Service creation</t>
  </si>
  <si>
    <t>RF4600825</t>
  </si>
  <si>
    <t>Patient Inisghts Passport Access for Brian</t>
  </si>
  <si>
    <t>RF4606171</t>
  </si>
  <si>
    <t>RF4608723</t>
  </si>
  <si>
    <t>DIONNE, LACHLAN STUYVESANT</t>
  </si>
  <si>
    <t>RF4616869</t>
  </si>
  <si>
    <t>Request for Patient point in Stage for the user</t>
  </si>
  <si>
    <t>RF4618498</t>
  </si>
  <si>
    <t>RF4628004</t>
  </si>
  <si>
    <t>Request to provide Row level access to the below mentioned user for SPP Tableau reports: (DEV, UAT, PROD)</t>
  </si>
  <si>
    <t>HERRIMAN, RILEY</t>
  </si>
  <si>
    <t>RF4629095</t>
  </si>
  <si>
    <t>Patient Insights - Enhancement Request (Better comparison between Account Types)</t>
  </si>
  <si>
    <t>RF4629100</t>
  </si>
  <si>
    <t>Patient Insights - Enhancement Request (One and Done new detail view)</t>
  </si>
  <si>
    <t>RF4631750</t>
  </si>
  <si>
    <t>Patient Insights | Leave Behind deck extraction for Q3 2023</t>
  </si>
  <si>
    <t>RF4634399</t>
  </si>
  <si>
    <t>RM Fulfillment Ticket: Patient Insights - 20231101120818441</t>
  </si>
  <si>
    <t>SACHDEVA-HERBST, SIMRAT</t>
  </si>
  <si>
    <t>RF4648377</t>
  </si>
  <si>
    <t>Patient Insights | Provide access to new support member</t>
  </si>
  <si>
    <t>RF4656247</t>
  </si>
  <si>
    <t>Patient Insights | Patient Data Report link update</t>
  </si>
  <si>
    <t>RF4657882</t>
  </si>
  <si>
    <t>Patient Point | Create SOP document</t>
  </si>
  <si>
    <t>RF4657927</t>
  </si>
  <si>
    <t>CHAMP | Need help to update Optum SPIF mapping</t>
  </si>
  <si>
    <t>RF4661670</t>
  </si>
  <si>
    <t>RM Fulfillment Ticket: Patient Insights - 20231117070508813</t>
  </si>
  <si>
    <t>PIERCE, ALLISON</t>
  </si>
  <si>
    <t>RF4663113</t>
  </si>
  <si>
    <t>Patient Insights - Intervention XREF Remapping</t>
  </si>
  <si>
    <t>RF4665515</t>
  </si>
  <si>
    <t>Patient Point | Update the data quality check logic</t>
  </si>
  <si>
    <t>RF4667239</t>
  </si>
  <si>
    <t>Request IICS, Snowflake and Tableau access in UAT and PROD</t>
  </si>
  <si>
    <t>THAKRE, PARIKSHIT</t>
  </si>
  <si>
    <t>RF4668203</t>
  </si>
  <si>
    <t>Tableau -- Access issue</t>
  </si>
  <si>
    <t>MARISETTI, MOUNIKA DEVI</t>
  </si>
  <si>
    <t>RF4669500</t>
  </si>
  <si>
    <t>Patient Insights | Disable all scheduled IICS jobs on Dev/UAT</t>
  </si>
  <si>
    <t>RF4673232</t>
  </si>
  <si>
    <t>Patient Insights - CHAMP Refresh schedule</t>
  </si>
  <si>
    <t>RF4676200</t>
  </si>
  <si>
    <t>Patient Insights | Leave Behind deck enhancement</t>
  </si>
  <si>
    <t>RF4678865</t>
  </si>
  <si>
    <t>CHAMP - SPIF mapping for Oncology Brand</t>
  </si>
  <si>
    <t>RF4679123</t>
  </si>
  <si>
    <t>CHAMP - Invoice number needed in Error Validation Tab</t>
  </si>
  <si>
    <t>RF4680282</t>
  </si>
  <si>
    <t>Patient Insights - Update GBT SPIF  data load schedule</t>
  </si>
  <si>
    <t>RF4690832</t>
  </si>
  <si>
    <t>Patient Insights | Sonexus | Observations on SONEXUS - CIBINQO data</t>
  </si>
  <si>
    <t>RF4693523</t>
  </si>
  <si>
    <t>Patient Insights - CHAMP 2024 Budget update</t>
  </si>
  <si>
    <t>RF4696268</t>
  </si>
  <si>
    <t>RF4697037</t>
  </si>
  <si>
    <t>Patient Insights | Inlyta - Discontinuation Reason Codes (OAD) data extract</t>
  </si>
  <si>
    <t>RF4699578</t>
  </si>
  <si>
    <t>Patient Insights | Ad-hoc interface load SOP document creation</t>
  </si>
  <si>
    <t>RF4701109</t>
  </si>
  <si>
    <t>Patient Insights | Passport SPP Enhanced Services New Patient Enrollment visualization</t>
  </si>
  <si>
    <t>RF4702941</t>
  </si>
  <si>
    <t>Patient Insights | PI Platform Access request</t>
  </si>
  <si>
    <t>KORAH, DAVID CHERIAMADOM</t>
  </si>
  <si>
    <t>RF4703088</t>
  </si>
  <si>
    <t>RM Fulfillment Ticket: Patient Insights - 20231208122138721</t>
  </si>
  <si>
    <t>RF4703598</t>
  </si>
  <si>
    <t>Patient Insights | User access data issue on Passport SPP</t>
  </si>
  <si>
    <t>LEIBOW, MICHELLE RENEE</t>
  </si>
  <si>
    <t>RF4704366</t>
  </si>
  <si>
    <t>Patient Insights | Impact Analysis | Astellas data length increase for Xtandi SPP</t>
  </si>
  <si>
    <t>RF4712884</t>
  </si>
  <si>
    <t>RF4716218</t>
  </si>
  <si>
    <t>Patient Insights | Update application runbook document</t>
  </si>
  <si>
    <t>RF4716995</t>
  </si>
  <si>
    <t>Patient Insights | Impact Analysis | CDW SPP SCBU new fields</t>
  </si>
  <si>
    <t>RF4718866</t>
  </si>
  <si>
    <t>Patient Insights | Impact Analysis | Decommission TF_S2_load</t>
  </si>
  <si>
    <t>RF4722825</t>
  </si>
  <si>
    <t>Patient Insights - Change brand name Etrasimod to Velsipity</t>
  </si>
  <si>
    <t>RF4723416</t>
  </si>
  <si>
    <t>RF4725067</t>
  </si>
  <si>
    <t>PENGX35</t>
  </si>
  <si>
    <t>CHAMP | Create an alert for "bad" SPIF data</t>
  </si>
  <si>
    <t>RF4730840</t>
  </si>
  <si>
    <t>Patient Insights | Revoke access for Ramesh Thangavel</t>
  </si>
  <si>
    <t>RF4731952</t>
  </si>
  <si>
    <t>RM Fulfillment Ticket: Patient Insights - 20231214091752975</t>
  </si>
  <si>
    <t>RF4732098</t>
  </si>
  <si>
    <t>RM Fulfillment Ticket: Patient Insights - 20231214091649974</t>
  </si>
  <si>
    <t>GARG, VIDHI</t>
  </si>
  <si>
    <t>RF4735873</t>
  </si>
  <si>
    <t>Patient Insights | Update Intervention Service Type Reference tables</t>
  </si>
  <si>
    <t>RF4740613</t>
  </si>
  <si>
    <t>Patient Insights | LASH | Fills data observation for POT &amp; BRIDGE</t>
  </si>
  <si>
    <t>RF4748116</t>
  </si>
  <si>
    <t>Patient Insights | SONEXUS | DERM data observation</t>
  </si>
  <si>
    <t>RF4749974</t>
  </si>
  <si>
    <t>Patient Insights | LASH | Test new NDCs in data feed</t>
  </si>
  <si>
    <t>New Data</t>
  </si>
  <si>
    <t>RF4757936</t>
  </si>
  <si>
    <t>Patient Insights | Need Tableau access</t>
  </si>
  <si>
    <t>ARCOT, REDDY CHINMAYAA</t>
  </si>
  <si>
    <t>RF4767125</t>
  </si>
  <si>
    <t>Patient Insights | Update Form Strength Brand reference table</t>
  </si>
  <si>
    <t>RF4767622</t>
  </si>
  <si>
    <t>Patient Insights | Leave Behind deck extraction for Q4 2023</t>
  </si>
  <si>
    <t>RF4767654</t>
  </si>
  <si>
    <t>Access To Patient Insights Platform</t>
  </si>
  <si>
    <t>AMBATI, RADHAKRISHNA MURTHY</t>
  </si>
  <si>
    <t>RF4768878</t>
  </si>
  <si>
    <t>RM Fulfillment Ticket: Patient Insights - 20240123134058141</t>
  </si>
  <si>
    <t>RICHES, TROY</t>
  </si>
  <si>
    <t>RF4773064</t>
  </si>
  <si>
    <t>RM Fulfillment Ticket: Patient Insights - 20240125041212391</t>
  </si>
  <si>
    <t>FICKERT, DEBRA ANN</t>
  </si>
  <si>
    <t>RF4774370</t>
  </si>
  <si>
    <t>Patient Insights | Tableau server upgrade v.2023.1.8</t>
  </si>
  <si>
    <t>RF4777487</t>
  </si>
  <si>
    <t>RM Fulfillment Ticket: Patient Insights - 20240125041007383</t>
  </si>
  <si>
    <t>RF4777701</t>
  </si>
  <si>
    <t>RM Fulfillment Ticket: Patient Insights - 20240125041428402</t>
  </si>
  <si>
    <t>RF4779505</t>
  </si>
  <si>
    <t>CHAMP | CenterWell Vynda Q1 Raw Data</t>
  </si>
  <si>
    <t>RF4780301</t>
  </si>
  <si>
    <t>Patient Insights | DERM | Impact analysis for data length update</t>
  </si>
  <si>
    <t>DERM</t>
  </si>
  <si>
    <t>RF4781570</t>
  </si>
  <si>
    <t>Request Access To Patient Insights Platform</t>
  </si>
  <si>
    <t>PRAKASH, B BHANU</t>
  </si>
  <si>
    <t>RF4782463</t>
  </si>
  <si>
    <t>RM Fulfillment Ticket: Patient Insights - 20240125041257395</t>
  </si>
  <si>
    <t>RF4785795</t>
  </si>
  <si>
    <t>Patient Insights | Provide the Account Type mapping by Brand</t>
  </si>
  <si>
    <t>RF4785800</t>
  </si>
  <si>
    <t>Patient Insights | Passport SPP | Efficiency tab question</t>
  </si>
  <si>
    <t>RF4785805</t>
  </si>
  <si>
    <t>Patient Insights | Passport SPP | Fill Rate NULL with Time to First Ship</t>
  </si>
  <si>
    <t>RF4786085</t>
  </si>
  <si>
    <t>Patient Insights - CHAMP - No data available for Litfulo</t>
  </si>
  <si>
    <t>RF4786087</t>
  </si>
  <si>
    <t>Patient Insights - Elixir - Cibinqo Data availability</t>
  </si>
  <si>
    <t>RF4791304</t>
  </si>
  <si>
    <t>Patient Insights | CHAMP | Data extract for Ardon-Xeljanz</t>
  </si>
  <si>
    <t>RF4793051</t>
  </si>
  <si>
    <t>Patient Insights - Patient Point - Add service</t>
  </si>
  <si>
    <t>RF4794883</t>
  </si>
  <si>
    <t>Patient Insights | LASH | PAC Opt in data question</t>
  </si>
  <si>
    <t>RF4798751</t>
  </si>
  <si>
    <t>Patient Insights - CHAMP - 3 call attempts question</t>
  </si>
  <si>
    <t>RF4802400</t>
  </si>
  <si>
    <t>Patient Insights | IICS Taskflow schedule</t>
  </si>
  <si>
    <t>RF4804147</t>
  </si>
  <si>
    <t>RM Fulfillment Ticket: Patient Insights - 20240126031704503</t>
  </si>
  <si>
    <t>RF4804148</t>
  </si>
  <si>
    <t>RM Fulfillment Ticket: Patient Insights - 20240125041351400</t>
  </si>
  <si>
    <t>RF4806265</t>
  </si>
  <si>
    <t>Patient Insights - Data extract for Meijer-Xeljanz (Q3 2023)</t>
  </si>
  <si>
    <t>RF4810360</t>
  </si>
  <si>
    <t>RF4812751</t>
  </si>
  <si>
    <t>Patient Insights - Impact Analysis | Hub Portfolio dashboard</t>
  </si>
  <si>
    <t>RF4816814</t>
  </si>
  <si>
    <t>Patient Insights | Access to Patient Insight Application</t>
  </si>
  <si>
    <t>RF4819550</t>
  </si>
  <si>
    <t>Patient Insights | Review and update all SOPs</t>
  </si>
  <si>
    <t>RF4821543</t>
  </si>
  <si>
    <t>RF4823163</t>
  </si>
  <si>
    <t>Patient Insights | Snowflake unused tables</t>
  </si>
  <si>
    <t>RF4827276</t>
  </si>
  <si>
    <t>Patient Insights - CHAMP - SPIF Data extract Ardon/Xeljanz</t>
  </si>
  <si>
    <t>RF4829074</t>
  </si>
  <si>
    <t>RF4832571</t>
  </si>
  <si>
    <t>Upcoming - IICS Upgrade R45 - April 2024 Major Release</t>
  </si>
  <si>
    <t>RF4834670</t>
  </si>
  <si>
    <t>Patient Insights - CHAMP  Add new services in champ and patient point</t>
  </si>
  <si>
    <t>RF4835411</t>
  </si>
  <si>
    <t>Patient Insights | Patient Experience Report enhancement (Litfulo &amp; Velsipity)</t>
  </si>
  <si>
    <t>RF4835427</t>
  </si>
  <si>
    <t>Patient Insights | Cencora | Multiple Program tagged for a Vyndamax patient</t>
  </si>
  <si>
    <t>RF4847906</t>
  </si>
  <si>
    <t>Patient Insights | Snowflake access the Trade data</t>
  </si>
  <si>
    <t>RF4847908</t>
  </si>
  <si>
    <t>RF4848452</t>
  </si>
  <si>
    <t>Patient Insights - Change SPP Acentrus to Loopback for all platforms</t>
  </si>
  <si>
    <t>RF4855964</t>
  </si>
  <si>
    <t>Patient Insights - CHAMP data refresh schedule</t>
  </si>
  <si>
    <t>RF4856454</t>
  </si>
  <si>
    <t>Patient Insights | Data anomaly observed in multiple data sources</t>
  </si>
  <si>
    <t>RF4857485</t>
  </si>
  <si>
    <t>Patient Insights -CHAMP is not picking up  CVS vyndaqel intervention data</t>
  </si>
  <si>
    <t>RF4857498</t>
  </si>
  <si>
    <t>Patient Insights -CHAMP access to SPIF table on Patient point RF4857498</t>
  </si>
  <si>
    <t>RF4859797</t>
  </si>
  <si>
    <t>Patient Insights -PASSPORT-add Velsipity to Passport</t>
  </si>
  <si>
    <t>RF4863464</t>
  </si>
  <si>
    <t>Patient Insights | Snowflake access the Trade data | Raj and Jerry</t>
  </si>
  <si>
    <t>RF4866099</t>
  </si>
  <si>
    <t>Patient Insights | Sonexus | Derm BV Outcome - Covered with Exception Volume</t>
  </si>
  <si>
    <t>RF4867867</t>
  </si>
  <si>
    <t>Request -  PatientInsights -  Provide Brand level access (Litfulo, Cibinqo, Xeljanz) in Patient Experience Report</t>
  </si>
  <si>
    <t>RF4880428</t>
  </si>
  <si>
    <t>Patient Insights | Xeljanz Patient Experience Report Persistency tab question</t>
  </si>
  <si>
    <t>RF4888919</t>
  </si>
  <si>
    <t>Patient Insights | Update NEW_PTNT_IND to NULL in PUB_SPP_FCT</t>
  </si>
  <si>
    <t>RF4888931</t>
  </si>
  <si>
    <t>Patient Insights | Dashboard access validation and streamline user access request</t>
  </si>
  <si>
    <t>RF4889292</t>
  </si>
  <si>
    <t>Patient Insights | Onboard new support member</t>
  </si>
  <si>
    <t>KAINTHIMALI, SHAILAJA</t>
  </si>
  <si>
    <t>RF4889822</t>
  </si>
  <si>
    <t>Patient Insights | Create new FRM security groups</t>
  </si>
  <si>
    <t>RF4891095</t>
  </si>
  <si>
    <t>Patient Insights | Update ES Intervention Service Type xref table</t>
  </si>
  <si>
    <t>RF4897923</t>
  </si>
  <si>
    <t>Request || Provide IICS access in DEV, UAT and PROD for Prakash B and Ambati, Radhakrishna</t>
  </si>
  <si>
    <t>RF4907374</t>
  </si>
  <si>
    <t>Patient Insights | Leave Behind deck extraction Q1 2024</t>
  </si>
  <si>
    <t>RF4910865</t>
  </si>
  <si>
    <t>Patient Insights - CHAMP - New service creation</t>
  </si>
  <si>
    <t>RF4911366</t>
  </si>
  <si>
    <t>Request - Grant access to snowflake and Tableau in DEV and UAT</t>
  </si>
  <si>
    <t>KUMAR, AMRITESH</t>
  </si>
  <si>
    <t>RF4911371</t>
  </si>
  <si>
    <t>Request - Grant RW access to the mentioned users to the patient point</t>
  </si>
  <si>
    <t>RF4917213</t>
  </si>
  <si>
    <t>Patient Insights | User access addition and removal request</t>
  </si>
  <si>
    <t>RF4918909</t>
  </si>
  <si>
    <t>Patient Insights | Patient Experience FRM Oncology user access</t>
  </si>
  <si>
    <t>TONKINSON, MICHAEL E</t>
  </si>
  <si>
    <t>RF4923654</t>
  </si>
  <si>
    <t>Patient Insight |Request || Fix GitHub vulnerabilities</t>
  </si>
  <si>
    <t>RF4929566</t>
  </si>
  <si>
    <t>Request || Provide access to patient point</t>
  </si>
  <si>
    <t>RF4929571</t>
  </si>
  <si>
    <t>Request || To provide access to Patient Experience Report</t>
  </si>
  <si>
    <t>RF4933123</t>
  </si>
  <si>
    <t>RF4935816</t>
  </si>
  <si>
    <t>Accord: Access Certification for Pfizer Applications Q2-2024: Patient Insights: Access removal</t>
  </si>
  <si>
    <t>COOLONG, DARLENE</t>
  </si>
  <si>
    <t>RF4935817</t>
  </si>
  <si>
    <t>RF4949287</t>
  </si>
  <si>
    <t>Pfizer Encompass Security Group creation</t>
  </si>
  <si>
    <t>RF4950293</t>
  </si>
  <si>
    <t>Patient Insights - Information - Trigger the PatientInsights Master Taskflow in UAT environment.</t>
  </si>
  <si>
    <t>Ad-hoc Job</t>
  </si>
  <si>
    <t>RF4954701</t>
  </si>
  <si>
    <t>Patient Insights - Information-Trigger the Taskflow in UAT environment.</t>
  </si>
  <si>
    <t>RF4959051</t>
  </si>
  <si>
    <t>SALUJA, SIDDHARTH</t>
  </si>
  <si>
    <t>RF4959052</t>
  </si>
  <si>
    <t>RF4959920</t>
  </si>
  <si>
    <t>Patient Insights | Update Reference tables</t>
  </si>
  <si>
    <t>RF4961784</t>
  </si>
  <si>
    <t>RF4961785</t>
  </si>
  <si>
    <t>RF4961786</t>
  </si>
  <si>
    <t>RF4961787</t>
  </si>
  <si>
    <t>RF4962458</t>
  </si>
  <si>
    <t>Access request for Patient Insight Application | Punya Gundanna</t>
  </si>
  <si>
    <t>RF4963051</t>
  </si>
  <si>
    <t>Patient Insights - Information/Execution of Taskflow in UAT environment</t>
  </si>
  <si>
    <t>RF4963084</t>
  </si>
  <si>
    <t>RF4966690</t>
  </si>
  <si>
    <t>Patient Insights - Check for unknown drugs for Xeljanz Welcome Calls 2023</t>
  </si>
  <si>
    <t>RF4967038</t>
  </si>
  <si>
    <t>ENGEL, PAUL A</t>
  </si>
  <si>
    <t>RF4967632</t>
  </si>
  <si>
    <t>Patient Insights | Create CAPS Velsipity security group</t>
  </si>
  <si>
    <t>RF4972924</t>
  </si>
  <si>
    <t>RF4980670</t>
  </si>
  <si>
    <t>Patient Insights | Multiple Patients tagged for same Case (cross walk file enhancement)</t>
  </si>
  <si>
    <t>RF4982682</t>
  </si>
  <si>
    <t>Patient Insight - Create new “CommPerfALX” user groups for elena.bell@pfizer.com and shuai.zhang4@pfizer.com</t>
  </si>
  <si>
    <t>RF4982687</t>
  </si>
  <si>
    <t>Patient Insight -Access for Patient Experience dashboard</t>
  </si>
  <si>
    <t>RF4982745</t>
  </si>
  <si>
    <t>user group creation of CommPerfALX</t>
  </si>
  <si>
    <t>RF4986006</t>
  </si>
  <si>
    <t>RF4991259</t>
  </si>
  <si>
    <t>RF4991840</t>
  </si>
  <si>
    <t>Patient Insights | SP Required fields extract</t>
  </si>
  <si>
    <t>RF4993760</t>
  </si>
  <si>
    <t>Queries related to ZAVZPRET data.</t>
  </si>
  <si>
    <t>BISHOYI, JYOTHI</t>
  </si>
  <si>
    <t>RF4998906</t>
  </si>
  <si>
    <t>Patient Insights | Access to Velsipity Patient Experience dashboard</t>
  </si>
  <si>
    <t>WATSON, HILARY R</t>
  </si>
  <si>
    <t>RF5001182</t>
  </si>
  <si>
    <t>Patient Insights | Access to Patient Experience dashboard | Michelle</t>
  </si>
  <si>
    <t>RF5001235</t>
  </si>
  <si>
    <t>Patient Insights | Requesting Access to Patient Experience Report</t>
  </si>
  <si>
    <t>HICKMAN, RAMONA D</t>
  </si>
  <si>
    <t>RF5002221</t>
  </si>
  <si>
    <t>Patient Insights - SPIF data extract CVS Vynda 2023</t>
  </si>
  <si>
    <t>RF5006800</t>
  </si>
  <si>
    <t>Patient Insights - CVS/Xeljanz May-December 2022 extract</t>
  </si>
  <si>
    <t>RF5006931</t>
  </si>
  <si>
    <t>RF5006961</t>
  </si>
  <si>
    <t>RF5014410</t>
  </si>
  <si>
    <t>RF5018723</t>
  </si>
  <si>
    <t>Patient Insights | Update Grace Period for Oxbryta</t>
  </si>
  <si>
    <t>RF5021940</t>
  </si>
  <si>
    <t>RF5023510</t>
  </si>
  <si>
    <t>Updating IICS taskflow's start properties - allowed groups (PCA_RWX) in UAT environment</t>
  </si>
  <si>
    <t>RF5026098</t>
  </si>
  <si>
    <t>Upcoming - IICS Upgrade R46 - July 2024 Major Release</t>
  </si>
  <si>
    <t>RF5026319</t>
  </si>
  <si>
    <t>Patient Insights - CHAMP - SPIF data extract for Meijer/Xeljanz Q4 2023</t>
  </si>
  <si>
    <t>RF5031902</t>
  </si>
  <si>
    <t>Patient Experience Report | User access request</t>
  </si>
  <si>
    <t>RF5031974</t>
  </si>
  <si>
    <t>Patient Point application access for user in Dev environment</t>
  </si>
  <si>
    <t>RF5036095</t>
  </si>
  <si>
    <t>Patient Insights - Optum SPIF data missing</t>
  </si>
  <si>
    <t>RF5037636</t>
  </si>
  <si>
    <t>Patient Insights - Add Genotropin into CHAMP and Patient Point</t>
  </si>
  <si>
    <t>RF5037808</t>
  </si>
  <si>
    <t>Patient Insights | New support Tableau dev access request</t>
  </si>
  <si>
    <t>RF5045288</t>
  </si>
  <si>
    <t>Patient Insights | Review Business security groups</t>
  </si>
  <si>
    <t>RF5048460</t>
  </si>
  <si>
    <t>Request for new colleague umapriyadarsini.chandrasekaran@pfizer.com</t>
  </si>
  <si>
    <t>RF5057823</t>
  </si>
  <si>
    <t>Patient Insights | Transition to OAuth/Key Pair Authentication instead of Local Password</t>
  </si>
  <si>
    <t>RF5059312</t>
  </si>
  <si>
    <t>Patient Insights | Impact Analysis | column SDI_PROX_RX_NUM from non-ONC SPP</t>
  </si>
  <si>
    <t>MANICKAM, SIVAM</t>
  </si>
  <si>
    <t>RF5061223</t>
  </si>
  <si>
    <t>Patient Insights | Oncology LT user access request</t>
  </si>
  <si>
    <t>RF5062191</t>
  </si>
  <si>
    <t>Patient Insights | GHSI new users access request</t>
  </si>
  <si>
    <t>RF5074591</t>
  </si>
  <si>
    <t>Patient Insights | Leave Behind deck extraction Q2 2024</t>
  </si>
  <si>
    <t>RF5076663</t>
  </si>
  <si>
    <t>Patient Insights - CHAMP - Add new product, service and program</t>
  </si>
  <si>
    <t>RF5078146</t>
  </si>
  <si>
    <t>Patient Insights | User access to Patient Experience Report (Oxbryta/Vyndamax)</t>
  </si>
  <si>
    <t>MACRALL, REA L</t>
  </si>
  <si>
    <t>RF5078169</t>
  </si>
  <si>
    <t>Patient Insights | Patient Experience user access request</t>
  </si>
  <si>
    <t>RF5078818</t>
  </si>
  <si>
    <t>Patient Insights | User access to Patient Experience Report (I&amp;I and Rare Disease)</t>
  </si>
  <si>
    <t>MAYMAN, GEMMA LOUISE</t>
  </si>
  <si>
    <t>RF5079290</t>
  </si>
  <si>
    <t>Patient Insights | User access to Snowflake database</t>
  </si>
  <si>
    <t>RF5079746</t>
  </si>
  <si>
    <t>Patient Insights - CHAMP SPIF data extract</t>
  </si>
  <si>
    <t>RF5080410</t>
  </si>
  <si>
    <t>Patient Insights | Enhanced Service dashboard mapping</t>
  </si>
  <si>
    <t>RF5081579</t>
  </si>
  <si>
    <t>Patient Insights - CHAMP invoice issue</t>
  </si>
  <si>
    <t>RF5082519</t>
  </si>
  <si>
    <t>Patient Insights | Hub Scorecard | Hide PAP data for specific users/groups</t>
  </si>
  <si>
    <t>RF5082528</t>
  </si>
  <si>
    <t>Patient Insights | Change refresh schedule for Patient Experience</t>
  </si>
  <si>
    <t>RF5095379</t>
  </si>
  <si>
    <t>Patient Experience Report | Update visualization of Fill Rate and TTF</t>
  </si>
  <si>
    <t>RF5097226</t>
  </si>
  <si>
    <t>RF5097378</t>
  </si>
  <si>
    <t>RF5102389</t>
  </si>
  <si>
    <t>[L1:OPS] PatientInsights | CDW Refresh from Prod to DEV and STG [L1-OPS]</t>
  </si>
  <si>
    <t>RF5104995</t>
  </si>
  <si>
    <t>Patient Insights | Intervention Service Type mapping review</t>
  </si>
  <si>
    <t>RF5111071</t>
  </si>
  <si>
    <t>RM Fulfillment Ticket: Patient Insights - 20240813170036309</t>
  </si>
  <si>
    <t>RF5439801</t>
  </si>
  <si>
    <t>PATIENTINSIGHTS-PROD-P&amp;ALEGAL - New dashboard request</t>
  </si>
  <si>
    <t>RF5112494</t>
  </si>
  <si>
    <t>Patient Insights - Enhancement Request - Patient Journey TAT update</t>
  </si>
  <si>
    <t>RF5114035</t>
  </si>
  <si>
    <t>Patient Insights - Add new services in CHAMP/Patient Point</t>
  </si>
  <si>
    <t>RF5114692</t>
  </si>
  <si>
    <t>Patient Insights | Patient Experience &amp; Hub Scorecard questions</t>
  </si>
  <si>
    <t>RF5116312</t>
  </si>
  <si>
    <t>Patient Insights | Authorized for therapy update date - to ingest latest data for Velsipity brand activity</t>
  </si>
  <si>
    <t>RF5124006</t>
  </si>
  <si>
    <t>Patient Insights | Insert data into XREF table - SPP v 867</t>
  </si>
  <si>
    <t>RF5132117</t>
  </si>
  <si>
    <t>PI Hub Scorecard - Vyndalink Interim Care case/subcase type mapping</t>
  </si>
  <si>
    <t>RF5133885</t>
  </si>
  <si>
    <t>Patient Insights - Hub Scorecard - Interim Care Program mapping</t>
  </si>
  <si>
    <t>RF5134821</t>
  </si>
  <si>
    <t>Patient Point - Notification question when updating contract or services</t>
  </si>
  <si>
    <t>RF5136257</t>
  </si>
  <si>
    <t>Patient Insights - Add new SPP</t>
  </si>
  <si>
    <t>RF5139954</t>
  </si>
  <si>
    <t>RM Fulfillment Ticket: Patient Insights - 20240827224946838</t>
  </si>
  <si>
    <t>RF5139955</t>
  </si>
  <si>
    <t>RM Fulfillment Ticket: Patient Insights - 20240827224811836</t>
  </si>
  <si>
    <t>WATKINS, NATALIE MARY</t>
  </si>
  <si>
    <t>RF5139956</t>
  </si>
  <si>
    <t>RM Fulfillment Ticket: Patient Insights - 20240827224328833</t>
  </si>
  <si>
    <t>BROADUS, ALEXANDRA LAMBERT</t>
  </si>
  <si>
    <t>RF5142600</t>
  </si>
  <si>
    <t>RM Fulfillment Ticket: Patient Insights - 20240828151321690</t>
  </si>
  <si>
    <t>RF5142601</t>
  </si>
  <si>
    <t>RM Fulfillment Ticket: Patient Insights - 20240828151517694</t>
  </si>
  <si>
    <t>RF5142602</t>
  </si>
  <si>
    <t>RM Fulfillment Ticket: Patient Insights - 20240828151415691</t>
  </si>
  <si>
    <t>RF5142603</t>
  </si>
  <si>
    <t>RM Fulfillment Ticket: Patient Insights - 20240828150954683</t>
  </si>
  <si>
    <t>RF5142745</t>
  </si>
  <si>
    <t>Patient Point | Enhancement | Setup notification mechanism when SPIF or KPI mapping required</t>
  </si>
  <si>
    <t>RF5149880</t>
  </si>
  <si>
    <t>Patient Insights | New Oxbryta Business Analytics group</t>
  </si>
  <si>
    <t>RF5155564</t>
  </si>
  <si>
    <t>RM Fulfillment Ticket: Patient Insights - 20240910111315305</t>
  </si>
  <si>
    <t>JANI, ALKA</t>
  </si>
  <si>
    <t>RF5157217</t>
  </si>
  <si>
    <t>RM Fulfillment Ticket: Patient Insights - 20240909132655307</t>
  </si>
  <si>
    <t>SONGA, DOMINIQUE</t>
  </si>
  <si>
    <t>RF5157218</t>
  </si>
  <si>
    <t>RM Fulfillment Ticket: Patient Insights - 20240909132517303</t>
  </si>
  <si>
    <t>SINGH, SAUMYA</t>
  </si>
  <si>
    <t>RF5157425</t>
  </si>
  <si>
    <t>RM Fulfillment Ticket: Patient Insights - 20240911024955980</t>
  </si>
  <si>
    <t>MONROE, NICHOLE</t>
  </si>
  <si>
    <t>RF5158208</t>
  </si>
  <si>
    <t>RM Fulfillment Ticket: Patient Insights - 20240911131538509</t>
  </si>
  <si>
    <t>RF5159033</t>
  </si>
  <si>
    <t>Patient Insights | New PAC Users</t>
  </si>
  <si>
    <t>RF5161404</t>
  </si>
  <si>
    <t>Patient Insights | SPP v867 new user group access</t>
  </si>
  <si>
    <t>RF5163703</t>
  </si>
  <si>
    <t>RM Fulfillment Ticket: Patient Insights - 20240909095306366</t>
  </si>
  <si>
    <t>FOSTER, NIESHA N</t>
  </si>
  <si>
    <t>RF5163858</t>
  </si>
  <si>
    <t>RM Fulfillment Ticket: Patient Insights - 20240913140823892</t>
  </si>
  <si>
    <t>LAW, TODD D</t>
  </si>
  <si>
    <t>RF5165081</t>
  </si>
  <si>
    <t>RF5165966</t>
  </si>
  <si>
    <t>Patient Experience | New Velsipity FRM group</t>
  </si>
  <si>
    <t>RF5168634</t>
  </si>
  <si>
    <t>Upcoming - IICS Upgrade R44 - October 2024 Major Release</t>
  </si>
  <si>
    <t>RF5169008</t>
  </si>
  <si>
    <t>Patient Insights | Informatica Cloud Upgrade - October 2024 Major Release - R47</t>
  </si>
  <si>
    <t>RF5170766</t>
  </si>
  <si>
    <t>Patient Insights | Update User Group access permissions</t>
  </si>
  <si>
    <t>RF5171727</t>
  </si>
  <si>
    <t>Patient Insights - Question related to Contract 1178</t>
  </si>
  <si>
    <t>RF5173104</t>
  </si>
  <si>
    <t>Patient Insights | Strategy and Consulting User group creation</t>
  </si>
  <si>
    <t>RF5179675</t>
  </si>
  <si>
    <t>PatientInsights |  Please add Andrea to the Patient Insight Prod Hub – Oncology user group</t>
  </si>
  <si>
    <t>RF5182483</t>
  </si>
  <si>
    <t>Patient Insights | RM Fulfillment Ticket: Patient Insights - 20240925110122320</t>
  </si>
  <si>
    <t>GITTERMAN, ABRAHAM</t>
  </si>
  <si>
    <t>RF5182740</t>
  </si>
  <si>
    <t>PatientInsights | RM Fulfillment Ticket: Patient Insights - 20240925100434986</t>
  </si>
  <si>
    <t>RF5187504</t>
  </si>
  <si>
    <t>Patient Insights | RM Fulfillment Ticket: Patient Insights - 20240927145952409</t>
  </si>
  <si>
    <t>RF5191015</t>
  </si>
  <si>
    <t>Patient Experience | Provide access to user to Specialty Care FRM dashboard</t>
  </si>
  <si>
    <t>RF5191088</t>
  </si>
  <si>
    <t>Patient Insights | Validate existing business users access</t>
  </si>
  <si>
    <t>RF5191144</t>
  </si>
  <si>
    <t>Patient Insights | August Data Point for PA CMM Status in KPI Engagement Report</t>
  </si>
  <si>
    <t>MIRANDA, CAITLIN REBECCA</t>
  </si>
  <si>
    <t>RF5193562</t>
  </si>
  <si>
    <t>Patient Insights | User Access to Engagement Analytics dashboard</t>
  </si>
  <si>
    <t>FOWLER, LAURENCE</t>
  </si>
  <si>
    <t>RF5198218</t>
  </si>
  <si>
    <t>Patient Insights | ICS server upgrade from RHEL 7 to RHEL 9</t>
  </si>
  <si>
    <t>RF5203043</t>
  </si>
  <si>
    <t>Patient Insights | Target List INI October List Update</t>
  </si>
  <si>
    <t>RF5204626</t>
  </si>
  <si>
    <t>Accord: Access Certification for Pfizer Applications Q4-2024: Patient Insights: Access removal</t>
  </si>
  <si>
    <t>VALESE, DANIEL J</t>
  </si>
  <si>
    <t>RF5204627</t>
  </si>
  <si>
    <t>RF5211264</t>
  </si>
  <si>
    <t>RF5212961</t>
  </si>
  <si>
    <t>Patient Insights - Optum Q1 2024 SPIF data extract</t>
  </si>
  <si>
    <t>RF5214508</t>
  </si>
  <si>
    <t>RF5216434</t>
  </si>
  <si>
    <t>RF5222864</t>
  </si>
  <si>
    <t>Patient Insights - Optum Q2 2024 SPIF data extract</t>
  </si>
  <si>
    <t>RF5223683</t>
  </si>
  <si>
    <t>RF5224486</t>
  </si>
  <si>
    <t>PatientInsights | Request to Passport and CHAMP dashboards for the new NAD user</t>
  </si>
  <si>
    <t>BREIDENBACH, TERESA</t>
  </si>
  <si>
    <t>RF5225477</t>
  </si>
  <si>
    <t>Patient Insights | Q3 2024 Leave Behind deck extraction</t>
  </si>
  <si>
    <t>RF5226442</t>
  </si>
  <si>
    <t>HAMPL, LUISE VERA ISABEL</t>
  </si>
  <si>
    <t>RF5229734</t>
  </si>
  <si>
    <t>Patient Insights | Tricare exclusion logic update</t>
  </si>
  <si>
    <t>RF5235959</t>
  </si>
  <si>
    <t>RF5239679</t>
  </si>
  <si>
    <t>Patient Insights - Optum Q3 2024 SPIF Extract</t>
  </si>
  <si>
    <t>RF5242851</t>
  </si>
  <si>
    <t>Patient Insights - Optum SPIF mapping for Adherence Call</t>
  </si>
  <si>
    <t>RF5253550</t>
  </si>
  <si>
    <t>Patient Insights | Request Access ticket - Kshitiz</t>
  </si>
  <si>
    <t>SINHA, KSHITIZ</t>
  </si>
  <si>
    <t>RF5254693</t>
  </si>
  <si>
    <t>Patient Insights | User access addition</t>
  </si>
  <si>
    <t>RF5256886</t>
  </si>
  <si>
    <t>RM Fulfillment Ticket: Patient Insights - 20241107154250767</t>
  </si>
  <si>
    <t>HULL, MICHAEL ROBERT</t>
  </si>
  <si>
    <t>RF5257332</t>
  </si>
  <si>
    <t>Patient Insights | Vyndamax Target List Manual Upload to Stage and Dev</t>
  </si>
  <si>
    <t>RF5259075</t>
  </si>
  <si>
    <t>CONFIGURATION MANAGEMENT</t>
  </si>
  <si>
    <t>RF5260440</t>
  </si>
  <si>
    <t>RM Fulfillment Ticket: Patient Insights - 20241111025632846</t>
  </si>
  <si>
    <t>RF5260442</t>
  </si>
  <si>
    <t>RM Fulfillment Ticket: Patient Insights - 20241111025539841</t>
  </si>
  <si>
    <t>RF5260443</t>
  </si>
  <si>
    <t>RM Fulfillment Ticket: Patient Insights - 20241111025720850</t>
  </si>
  <si>
    <t>RF5260254</t>
  </si>
  <si>
    <t>RM Fulfillment Ticket: Patient Insights - 20241111025950857</t>
  </si>
  <si>
    <t>RF5261823</t>
  </si>
  <si>
    <t>Patient Insights | Create new group "MASPA DTR"</t>
  </si>
  <si>
    <t>RF5266697</t>
  </si>
  <si>
    <t>Patient Insights | Vyndamax Target List Manual Table Creation</t>
  </si>
  <si>
    <t>RF5270185</t>
  </si>
  <si>
    <t>Patient Insights - User activity statistics</t>
  </si>
  <si>
    <t>RF5272763</t>
  </si>
  <si>
    <t>Patient Insights - Number of dashboard views</t>
  </si>
  <si>
    <t>RF5260253</t>
  </si>
  <si>
    <t>RM Fulfillment Ticket: Patient Insights - 20241111030044858</t>
  </si>
  <si>
    <t>RF5278190</t>
  </si>
  <si>
    <t>Patient Insights | AMBA data extract</t>
  </si>
  <si>
    <t>RF5281223</t>
  </si>
  <si>
    <t>Patient Insights - Onco360 SPIF extract</t>
  </si>
  <si>
    <t>RF5260437</t>
  </si>
  <si>
    <t>RM Fulfillment Ticket: Patient Insights - 20241111025850855</t>
  </si>
  <si>
    <t>RF5286148</t>
  </si>
  <si>
    <t>Patient Insights - Walgreens/Ibrance SPIF welcome calls extract</t>
  </si>
  <si>
    <t>RF5260441</t>
  </si>
  <si>
    <t>RM Fulfillment Ticket: Patient Insights - 20241111025806853</t>
  </si>
  <si>
    <t>RF5291306</t>
  </si>
  <si>
    <t>RF5292971</t>
  </si>
  <si>
    <t>Patient Insights - PASS Site License | Access request</t>
  </si>
  <si>
    <t>RF5296239</t>
  </si>
  <si>
    <t>Patient Insights - Information/How-To</t>
  </si>
  <si>
    <t>RF5304165</t>
  </si>
  <si>
    <t>Patient Insights - Onco360 SPIF extract Q1,Q2,Q3 2024</t>
  </si>
  <si>
    <t>RF5306838</t>
  </si>
  <si>
    <t>Patient Insights - Revoke Access for Kostas</t>
  </si>
  <si>
    <t>RF5307788</t>
  </si>
  <si>
    <t>Patient Insights - Patient Insights access to new joiner in DevSecOps team</t>
  </si>
  <si>
    <t>GAFFOR, ABDUL RAHMAN</t>
  </si>
  <si>
    <t>RF5307380</t>
  </si>
  <si>
    <t>Patient Insights -  data extract for Senderra for 2Q and 3Q</t>
  </si>
  <si>
    <t>RF5307382</t>
  </si>
  <si>
    <t>Patient Insights - SPIF raw data extract for Lumicera for 2Q and 3Q.</t>
  </si>
  <si>
    <t>RF5456139</t>
  </si>
  <si>
    <t>Patient Insights | Dual RFC created to deploy Polaris customer engagement data into a table for Prod.</t>
  </si>
  <si>
    <t>RF5310776</t>
  </si>
  <si>
    <t>PatientInsight access - atharva.raut@pfizer.com</t>
  </si>
  <si>
    <t>RF5312509</t>
  </si>
  <si>
    <t>RM &amp; Patient Service CMDB CI Remediation | GBL-C4 MARM PATIENT INSIGHTS SUPPORT</t>
  </si>
  <si>
    <t>SEETHARAMAN, SRIDHAR</t>
  </si>
  <si>
    <t>RF5311856</t>
  </si>
  <si>
    <t>Patient Insights - we need to request PSSP everymonth for that vyndamax engagement data</t>
  </si>
  <si>
    <t>RF5301619</t>
  </si>
  <si>
    <t>RM Fulfillment Ticket: Patient Insights - 20241205133629226</t>
  </si>
  <si>
    <t>RF5308951</t>
  </si>
  <si>
    <t>RM Fulfillment Ticket: Patient Insights - 20241211102644161</t>
  </si>
  <si>
    <t>RF5308950</t>
  </si>
  <si>
    <t>RM Fulfillment Ticket: Patient Insights - 20241211102332144</t>
  </si>
  <si>
    <t>RF5308952</t>
  </si>
  <si>
    <t>RM Fulfillment Ticket: Patient Insights - 20241211102507150</t>
  </si>
  <si>
    <t>RF5307767</t>
  </si>
  <si>
    <t>Patient Insights -  Pedro Garcia (pedro.garcia@pfizer.com) to the PATIENTINSIGHTS-PROD-SAS-OPS</t>
  </si>
  <si>
    <t>RF5350211</t>
  </si>
  <si>
    <t>Request-Diaz-Lacayo, Freddy</t>
  </si>
  <si>
    <t>DIAZ-LACAYO, FREDDY</t>
  </si>
  <si>
    <t>RF5335226</t>
  </si>
  <si>
    <t>Patient Insights - Revoke Access for Ramesh Ganji from patient insights account</t>
  </si>
  <si>
    <t>RF5339489</t>
  </si>
  <si>
    <t>assign Patient Insight access to Shailesh.More@pfizer.com</t>
  </si>
  <si>
    <t>RF5340856</t>
  </si>
  <si>
    <t>RF5340954</t>
  </si>
  <si>
    <t>Patient Insights | Retire RHEL 7 servers</t>
  </si>
  <si>
    <t>RF5468097</t>
  </si>
  <si>
    <t>POLARIS</t>
  </si>
  <si>
    <t>Patient Insights | Data Refresh | UAT Environment</t>
  </si>
  <si>
    <t>RF5342686</t>
  </si>
  <si>
    <t>Patient Insights | Access to Patient Experience: Velsipity addition for Damien</t>
  </si>
  <si>
    <t>RF5342962</t>
  </si>
  <si>
    <t>Patient Insights |  Field switch for the  Primary Care FAL dashboard chart</t>
  </si>
  <si>
    <t>RF5346409</t>
  </si>
  <si>
    <t>Patient Insights -Year Drop Down Filter Update</t>
  </si>
  <si>
    <t>RF5345094</t>
  </si>
  <si>
    <t>Patient Insights | Update KB Article</t>
  </si>
  <si>
    <t>RF5355369</t>
  </si>
  <si>
    <t>Patient Insight | Delete Duplicate Record</t>
  </si>
  <si>
    <t>RF5357462</t>
  </si>
  <si>
    <t>Patient Insights | Access to Hub scorecard dashboard</t>
  </si>
  <si>
    <t>RF5462635</t>
  </si>
  <si>
    <t>Patient Insights | Urgent Access request-CVS-Lance Reno</t>
  </si>
  <si>
    <t>RF5358012</t>
  </si>
  <si>
    <t>Patient Insight | Data Upload in UAT</t>
  </si>
  <si>
    <t>RF5358024</t>
  </si>
  <si>
    <t>Patient Insight | CDW Refresh from PROD to DEV and SIT</t>
  </si>
  <si>
    <t>RF5357470</t>
  </si>
  <si>
    <t>Patient Insights | OPSA Field Access Analytics Access request</t>
  </si>
  <si>
    <t>RF5358131</t>
  </si>
  <si>
    <t>Patient Insight | Dual RFC Creation for deploying Sonexus Field addition changes for Patient and Dispense file .</t>
  </si>
  <si>
    <t>RF5358521</t>
  </si>
  <si>
    <t>Patient Insight | Data Upload in Production</t>
  </si>
  <si>
    <t>RF5362609</t>
  </si>
  <si>
    <t>Patient Insights | Manual Data Upload UAT &amp; PROD</t>
  </si>
  <si>
    <t>RF5362746</t>
  </si>
  <si>
    <t>Patient Insight | Dual RFC Creation for OSOT Deployment in UAT/PROD</t>
  </si>
  <si>
    <t>RF5363533</t>
  </si>
  <si>
    <t>Patient Insight | Vyndamax Engagement Data</t>
  </si>
  <si>
    <t>RF5359622</t>
  </si>
  <si>
    <t>Patient Insights | Alex Broadus - Access to OSOT dashboard</t>
  </si>
  <si>
    <t>RF5364857</t>
  </si>
  <si>
    <t>Patient Insights | Brendan McCahon  - Access to OSOT dashboard</t>
  </si>
  <si>
    <t>RF5368157</t>
  </si>
  <si>
    <t>RF5369929</t>
  </si>
  <si>
    <t>Patient Insight | Dual RFC Creation for Veeva data integration into FRM dashboard</t>
  </si>
  <si>
    <t>RF5373132</t>
  </si>
  <si>
    <t>Patient Insight access for balaji.krishnamoorthy@pfizer.com</t>
  </si>
  <si>
    <t>RF5373505</t>
  </si>
  <si>
    <t>Patient Insights | GenAI testing</t>
  </si>
  <si>
    <t>RF5362356</t>
  </si>
  <si>
    <t>Patient Insight | OSOT Deployment - UAT Environment</t>
  </si>
  <si>
    <t>RF5373676</t>
  </si>
  <si>
    <t>Patient Insight | Dual RFC Creation for Deployment of Ngenla Target List Using BRE</t>
  </si>
  <si>
    <t>RF5447431</t>
  </si>
  <si>
    <t>RM Fulfillment Ticket: Patient Insights - 20250311094719428</t>
  </si>
  <si>
    <t>RF5375819</t>
  </si>
  <si>
    <t>Patient Insights | Tableau server upgrade - DEV</t>
  </si>
  <si>
    <t>RF5380055</t>
  </si>
  <si>
    <t>Patient Insights | Dominique Songa - OSOT Dashboard Access</t>
  </si>
  <si>
    <t>RF5353536</t>
  </si>
  <si>
    <t>Request for Bernadette.Townson@pfizer.com</t>
  </si>
  <si>
    <t>VALLONE, BERNADETTE M</t>
  </si>
  <si>
    <t>RF5357490</t>
  </si>
  <si>
    <t>Patient Insights | Patient Insights User Access request: Joseph Barone</t>
  </si>
  <si>
    <t>RF5379032</t>
  </si>
  <si>
    <t>RF5397950</t>
  </si>
  <si>
    <t>Patient Insights | Daijin Kim  - OSOT Dashboard Access</t>
  </si>
  <si>
    <t>RF5392361</t>
  </si>
  <si>
    <t>Patient Insight | RFC for OSOT and FRM Deployment -UAT/PROD</t>
  </si>
  <si>
    <t>RF5396393</t>
  </si>
  <si>
    <t>RF5465991</t>
  </si>
  <si>
    <t>Patient Insights - OSOT Deployment</t>
  </si>
  <si>
    <t>RF5444915</t>
  </si>
  <si>
    <t>RM Fulfillment Ticket: Patient Insights - 20250307131059672</t>
  </si>
  <si>
    <t>WAGNER, REBECCA</t>
  </si>
  <si>
    <t>RF5465198</t>
  </si>
  <si>
    <t>Patient Insights | Dual Rfc to deploy changes related to new web application with OSOT KPI Review | UAT deployment</t>
  </si>
  <si>
    <t>RF5404791</t>
  </si>
  <si>
    <t>RF5455492</t>
  </si>
  <si>
    <t>Patient Insights | New brand request for Kristen Verderber.</t>
  </si>
  <si>
    <t>RF5405961</t>
  </si>
  <si>
    <t>Patient Insights | Michael Shin | Passport and OPSA dashboards request</t>
  </si>
  <si>
    <t>RF5112393</t>
  </si>
  <si>
    <t>Patient Insights - Enhancement Request - SPP Cohort</t>
  </si>
  <si>
    <t>RF5453320</t>
  </si>
  <si>
    <t>Patient Insights New User request: Arooba Alam Marks</t>
  </si>
  <si>
    <t>RF5450650</t>
  </si>
  <si>
    <t>RM Fulfillment Ticket: Patient Insights - 20250312155441414</t>
  </si>
  <si>
    <t>RF5432508</t>
  </si>
  <si>
    <t>Access Request to CDW DB</t>
  </si>
  <si>
    <t>RF5415271</t>
  </si>
  <si>
    <t>Patient Insights | Tableau server upgrade - UAT</t>
  </si>
  <si>
    <t>RF5444468</t>
  </si>
  <si>
    <t>Patient Insights | Dual RFC to deploy Polaris customer engagement data into a table both UAT and Prod.</t>
  </si>
  <si>
    <t>RF5449386</t>
  </si>
  <si>
    <t>Patient Insights | Dual RFC Created | To deploy changes related to Genotropin Data load in Prod environment</t>
  </si>
  <si>
    <t>RF5374347</t>
  </si>
  <si>
    <t>Patient Insight | Leave Behind Deck Extract - Q4</t>
  </si>
  <si>
    <t>RF5434705</t>
  </si>
  <si>
    <t>Patient Insights | CDW table refresh to DEV and UAT</t>
  </si>
  <si>
    <t>RF5435827</t>
  </si>
  <si>
    <t>Patient Insights user access: Brian Goodman</t>
  </si>
  <si>
    <t>RF5453321</t>
  </si>
  <si>
    <t>RF5435623</t>
  </si>
  <si>
    <t>Patient Insights | Dual RFC to deploy changes related to Vyndamax brand using BRE in the UAT / Prod environment.</t>
  </si>
  <si>
    <t>RF5439830</t>
  </si>
  <si>
    <t>Patient Insights | Patient Experience Dashboard issue</t>
  </si>
  <si>
    <t>RF5447432</t>
  </si>
  <si>
    <t>RM Fulfillment Ticket: Patient Insights - 20250311094835432</t>
  </si>
  <si>
    <t>RF5450951</t>
  </si>
  <si>
    <t>Patient Insight | access to the I&amp;I FRM Dashboard-Ann Elizabeth</t>
  </si>
  <si>
    <t>RF5445611</t>
  </si>
  <si>
    <t>Request snowflake patient insight for Lokesh.ND@pfizer.com</t>
  </si>
  <si>
    <t>RF5398167</t>
  </si>
  <si>
    <t>RF5402372</t>
  </si>
  <si>
    <t>Patient Insights - RFC CR2483098</t>
  </si>
  <si>
    <t>RF5404889</t>
  </si>
  <si>
    <t>RF5408573</t>
  </si>
  <si>
    <t>Patient Insights | Daijin Kim access request #2</t>
  </si>
  <si>
    <t>RF5424900</t>
  </si>
  <si>
    <t>Patient Insights | Tableau access for Ashish, Kaushik and Janani</t>
  </si>
  <si>
    <t>RF5427598</t>
  </si>
  <si>
    <t>Patient Insights | Dual RFC to deploy changes related to Genotropin Data load in UAT/Prod environment</t>
  </si>
  <si>
    <t>RF5429398</t>
  </si>
  <si>
    <t>Patient Insights | Dual RFC for OSOT Release 2 - UAT</t>
  </si>
  <si>
    <t>RF5444914</t>
  </si>
  <si>
    <t>RM Fulfillment Ticket: Patient Insights - 20250305144922331</t>
  </si>
  <si>
    <t>RF5431700</t>
  </si>
  <si>
    <t>Patient Insights | CDW Data Refresh | Production to Development &amp; QA Environment</t>
  </si>
  <si>
    <t>RF5431979</t>
  </si>
  <si>
    <t>Patient Insights | Dual RFC to deploy changes related to FRM in SIT/UAT environment</t>
  </si>
  <si>
    <t>RF5420076</t>
  </si>
  <si>
    <t>Patient Insights | Dual RFC for Target List Bug Fix - PROD</t>
  </si>
  <si>
    <t>RF5449505</t>
  </si>
  <si>
    <t>Patient Insights | Dual RFC to deploy changes related to FRM in PROD environment</t>
  </si>
  <si>
    <t>RF5420068</t>
  </si>
  <si>
    <t>Patient Insights | Dual RFC for Target List Bug Fix - UAT</t>
  </si>
  <si>
    <t>RF5451116</t>
  </si>
  <si>
    <t>Patient Insights | Dual RFC to deploy changes related to Vyndamax brand using BRE in the Prod environment.</t>
  </si>
  <si>
    <t>RF5428707</t>
  </si>
  <si>
    <t>Request - Velsipity data access</t>
  </si>
  <si>
    <t>RF5414531</t>
  </si>
  <si>
    <t>Patient Insights user access: Mavis Huang</t>
  </si>
  <si>
    <t>RF5452459</t>
  </si>
  <si>
    <t>RF5357965</t>
  </si>
  <si>
    <t>Patient Insights |  Informatica Cloud Upgrade (IDMC)-R48 - Feb 2025</t>
  </si>
  <si>
    <t>RF5418292</t>
  </si>
  <si>
    <t>RF5421925</t>
  </si>
  <si>
    <t>RF5457746</t>
  </si>
  <si>
    <t>Patient Insights | Revoke access to Michael Hull for SPP Internal and External.</t>
  </si>
  <si>
    <t>RF5458164</t>
  </si>
  <si>
    <t>Patient Insights |  Access Request for Nishali and Ravi</t>
  </si>
  <si>
    <t>RF5458186</t>
  </si>
  <si>
    <t>Patient Insights |  Access Request for Tanisha and Kaushik</t>
  </si>
  <si>
    <t>RF5460207</t>
  </si>
  <si>
    <t>Patient Insights | Access to the Brand Analytics for Daijin Kim .</t>
  </si>
  <si>
    <t>RF5460990</t>
  </si>
  <si>
    <t>Patient Insights | Dual RFC creation to deploy Seagen data integration for SIT deployment .</t>
  </si>
  <si>
    <t>RF5411505</t>
  </si>
  <si>
    <t>Patient Insights | Provide Patient Insights access to new joiners in DevSecOps team</t>
  </si>
  <si>
    <t>RF5408589</t>
  </si>
  <si>
    <t>Patient Insights | Matt Leonard access</t>
  </si>
  <si>
    <t>RF5464159</t>
  </si>
  <si>
    <t>RF5465190</t>
  </si>
  <si>
    <t>Patient Insights | Dual Rfc to deploy SPIF notification mechanism changes to Patient point | UAT deployment</t>
  </si>
  <si>
    <t>RF5465987</t>
  </si>
  <si>
    <t>Patient Insights - FRM Release 3</t>
  </si>
  <si>
    <t>RF5428010</t>
  </si>
  <si>
    <t>RM Fulfillment Ticket: Patient Insights - 20250227085401152</t>
  </si>
  <si>
    <t>RF5467883</t>
  </si>
  <si>
    <t>Patient Insights | Tableau PASS dashboard testing.</t>
  </si>
  <si>
    <t>RF5414010</t>
  </si>
  <si>
    <t>Request - Tableau access for balaji.krishnamoorthy@pfizer.com</t>
  </si>
  <si>
    <t>RF5467775</t>
  </si>
  <si>
    <t>Patient Insights | OSOT dashboard access: Arooba Marks</t>
  </si>
  <si>
    <t>RF5342662</t>
  </si>
  <si>
    <t>Patient Insights | Access to RD Dashboard</t>
  </si>
  <si>
    <t>RF5470635</t>
  </si>
  <si>
    <t>Patient Insights | FRM Dashboard access - Jennifer Macauley</t>
  </si>
  <si>
    <t>RF5400038</t>
  </si>
  <si>
    <t>Patient Insights | Durgam, Akhil access to Patient Insights platform.</t>
  </si>
  <si>
    <t>RF5467780</t>
  </si>
  <si>
    <t>Patient Insights | SPP Internal Dashboard Issue - Alex Broadus</t>
  </si>
  <si>
    <t>RF5309366</t>
  </si>
  <si>
    <t>PatientInsight-populate the user list</t>
  </si>
  <si>
    <t>RF5468667</t>
  </si>
  <si>
    <t>Patient Insights - SPIF data extract for BioPlus</t>
  </si>
  <si>
    <t>RF5475249</t>
  </si>
  <si>
    <t>Patient Insights | Dual RFC creation to Automate CE report in UAT</t>
  </si>
  <si>
    <t>RF5458135</t>
  </si>
  <si>
    <t>Patient Insights |  Informatica Cloud Upgrade -R49 - April 2025</t>
  </si>
  <si>
    <t>RF5477334</t>
  </si>
  <si>
    <t>Patient Insights | Dual RFC creation to deploy Seagen data integration for PROD deployment .</t>
  </si>
  <si>
    <t>RF5483777</t>
  </si>
  <si>
    <t xml:space="preserve"> Transfer Time CVS</t>
  </si>
  <si>
    <t>RF5484947</t>
  </si>
  <si>
    <t>Patient Insights |  looks like Caremark data for Lorbrena at least is not being captured by the dashboard:</t>
  </si>
  <si>
    <t>RF5486497</t>
  </si>
  <si>
    <t>Patient Insights | user access request: PATIENTINSIGHTS-PROD-ONCOLOGYBRAND</t>
  </si>
  <si>
    <t>RF5486929</t>
  </si>
  <si>
    <t>Patient Insights | Python upgrade 3.8 to 3.11</t>
  </si>
  <si>
    <t>RF5487714</t>
  </si>
  <si>
    <t>Patient Insights -new service category of "Enhanced Service - Pharmacy Communications"</t>
  </si>
  <si>
    <t>RF5487849</t>
  </si>
  <si>
    <t>OPSA FRD Zip2Terr</t>
  </si>
  <si>
    <t>RF5491757</t>
  </si>
  <si>
    <t>Pending RFC</t>
  </si>
  <si>
    <t>Apply restrictions to SPP-level information for mentioned security groups in Brand Analytics dashboard</t>
  </si>
  <si>
    <t>RF5495945</t>
  </si>
  <si>
    <t>Request for Mohammad.Ibaduddin@pfizer.com</t>
  </si>
  <si>
    <t>RF5489661</t>
  </si>
  <si>
    <t>Access Requests for Ben &amp; Scott</t>
  </si>
  <si>
    <t>RF5498942</t>
  </si>
  <si>
    <t>Patient Insights | Dual RFC creation for PAC_OPT_IN Enhancement in UAT environment.</t>
  </si>
  <si>
    <t>RF5498879</t>
  </si>
  <si>
    <t>Patient Insights | FRM Dashboard access - Karen Savano</t>
  </si>
  <si>
    <t>FRANTZ, JENNIFER JO</t>
  </si>
  <si>
    <t>RF5496497</t>
  </si>
  <si>
    <t>Manual Upload of Ngenla Target List</t>
  </si>
  <si>
    <t>RF5484942</t>
  </si>
  <si>
    <t>RF5502902</t>
  </si>
  <si>
    <t>RF5505197</t>
  </si>
  <si>
    <t>Patient Insights | Leave behind access</t>
  </si>
  <si>
    <t>RF5505547</t>
  </si>
  <si>
    <t>Patient Insights | Dual RFC creation to Add new services in CHAMP/Patient Point.</t>
  </si>
  <si>
    <t>RF5509835</t>
  </si>
  <si>
    <t>Information on DN/DC codes in the SPP internal – Patient Status dashboard</t>
  </si>
  <si>
    <t>RF5510994</t>
  </si>
  <si>
    <t>RM Fulfillment Ticket: Patient Insights - 20250417150352268</t>
  </si>
  <si>
    <t>RF5517003</t>
  </si>
  <si>
    <t>Tricare logic applied on all brand Impact Analysis</t>
  </si>
  <si>
    <t>RF5511665</t>
  </si>
  <si>
    <t>Patient Insights | Mismatch in values between Efficiency and Patient Status Tab of Passport SPP Internal</t>
  </si>
  <si>
    <t>RF5512964</t>
  </si>
  <si>
    <t>Patient Insights | Dual RFC creation for a Seagen data integration for SIT Deployment.</t>
  </si>
  <si>
    <t>RF5523961</t>
  </si>
  <si>
    <t>Vyndamax Target List Re Upload in PROD</t>
  </si>
  <si>
    <t>RF5513433</t>
  </si>
  <si>
    <t>Patient Insights | FRM Dashboard access - Ann Crowe</t>
  </si>
  <si>
    <t>RF5514407</t>
  </si>
  <si>
    <t>Accord: Access Certification for Pfizer Applications Q2 2025: Patient Insights: Access removal</t>
  </si>
  <si>
    <t>RF5517891</t>
  </si>
  <si>
    <t>Patient Insights | Access Request for Ashish and Lavanya</t>
  </si>
  <si>
    <t>RF5517626</t>
  </si>
  <si>
    <t>Vyndamax Target List Upload</t>
  </si>
  <si>
    <t>RF5517462</t>
  </si>
  <si>
    <t>ADMIN-SUPPORT</t>
  </si>
  <si>
    <t>Patient Insights | Co-pay Claims Data Missing</t>
  </si>
  <si>
    <t>VISHWANATH, SAIKRISHNA</t>
  </si>
  <si>
    <t>RF5519863</t>
  </si>
  <si>
    <t>RF5502890</t>
  </si>
  <si>
    <t>Patient Insights | IICS R49 Upgrade - PROD testing</t>
  </si>
  <si>
    <t>RF5521803</t>
  </si>
  <si>
    <t>Patient Insights | Table Refresh from PROD to DEV</t>
  </si>
  <si>
    <t>RF5521999</t>
  </si>
  <si>
    <t>Patient Insights | Dual Rfc to deploy SPIF notification mechanism changes to Patient point | PROD deployment</t>
  </si>
  <si>
    <t>RF5521974</t>
  </si>
  <si>
    <t>Patient Insights | Passport Patient Data Report Inquiry</t>
  </si>
  <si>
    <t>RF5523463</t>
  </si>
  <si>
    <t>RF5526091</t>
  </si>
  <si>
    <t>RF5525696</t>
  </si>
  <si>
    <t>RF5531394</t>
  </si>
  <si>
    <t>Patient Insights | Dual RFC creation for a Seagen data integration for PROD Deployment.</t>
  </si>
  <si>
    <t>RF5533239</t>
  </si>
  <si>
    <t>RF5533174</t>
  </si>
  <si>
    <t>RF5533630</t>
  </si>
  <si>
    <t>Patient Insights | Dual RFC creation for Prescriber Report Enhancements for PRE-PROD Deployment.</t>
  </si>
  <si>
    <t>RF5534147</t>
  </si>
  <si>
    <t>Patient Insights | Access Request for SPP &amp; Brand Analytics Reports</t>
  </si>
  <si>
    <t>RF5535556</t>
  </si>
  <si>
    <t>Patient Insights | New Ticket-Data Extract CHAMP</t>
  </si>
  <si>
    <t>RF5535969</t>
  </si>
  <si>
    <t>RF5538372</t>
  </si>
  <si>
    <t>RF5538373</t>
  </si>
  <si>
    <t>RF5538377</t>
  </si>
  <si>
    <t>RF5538378</t>
  </si>
  <si>
    <t>RF5538379</t>
  </si>
  <si>
    <t>RF5538380</t>
  </si>
  <si>
    <t>RF5538381</t>
  </si>
  <si>
    <t>RF5538376</t>
  </si>
  <si>
    <t>RF5538374</t>
  </si>
  <si>
    <t>RF5538371</t>
  </si>
  <si>
    <t>RF5538375</t>
  </si>
  <si>
    <t>RF5539401</t>
  </si>
  <si>
    <t>Patient Insights | Dual RFC creation for Seagen data integration - SPP &amp; Brand Analytics Dashboard for SIT deployment.</t>
  </si>
  <si>
    <t>RF5539388</t>
  </si>
  <si>
    <t>Patient Insights | Dual RFC creation for Prescriber Report Enhancements for PROD Deployment.</t>
  </si>
  <si>
    <t>RF5539729</t>
  </si>
  <si>
    <t>Patient Insight | Leave Behind Deck Extract - Q1-2025</t>
  </si>
  <si>
    <t>RF5540411</t>
  </si>
  <si>
    <t>Patient Insights | Spam Alerts in PROD Environment</t>
  </si>
  <si>
    <t>RF5544679</t>
  </si>
  <si>
    <t>Patient Insights: Maria Kirsch Power User</t>
  </si>
  <si>
    <t>RF5550581</t>
  </si>
  <si>
    <t>Patient Insights | CDW View Update - D0 Layer | UAT Environment</t>
  </si>
  <si>
    <t>RF5550071</t>
  </si>
  <si>
    <t>Patient Insights | Dual RFC creation for OSOT May'25 Release - UAT Migration</t>
  </si>
  <si>
    <t>RF5551588</t>
  </si>
  <si>
    <t>New user access request: Alish Kuply</t>
  </si>
  <si>
    <t>RF5554021</t>
  </si>
  <si>
    <t>Patient Insights - SPIF Extract - OPTUM Q1 2025</t>
  </si>
  <si>
    <t>RF5554432</t>
  </si>
  <si>
    <t>Patient Insights | Dual RFC creation for PAC_OPT_IN Enhancement for PROD Deployment.</t>
  </si>
  <si>
    <t>RF5554441</t>
  </si>
  <si>
    <t>Patient Insights | Dual RFC creation for OSOT May'25 Release - PROD Migration</t>
  </si>
  <si>
    <t>RF5556930</t>
  </si>
  <si>
    <t>Patient Insights | Access Request for Snowflake, IICS and UNIX .</t>
  </si>
  <si>
    <t>RF5558654</t>
  </si>
  <si>
    <t>RF5562965</t>
  </si>
  <si>
    <t>RF5562522</t>
  </si>
  <si>
    <t>Patient Insights | FRM Dashboard access - Michele Brown</t>
  </si>
  <si>
    <t>RF5564377</t>
  </si>
  <si>
    <t>Patient Insights | Dual RFC creation for FRM Crosstab Access and Security Enhancement</t>
  </si>
  <si>
    <t>RF5566897</t>
  </si>
  <si>
    <t>Patient Insights | Dual RFC creation for Prescriber Report – Bug Fix.</t>
  </si>
  <si>
    <t>RF5569850</t>
  </si>
  <si>
    <t>ADHOC-GENERAL INQUIRY</t>
  </si>
  <si>
    <t>Enquiry regarding Copay and Vouchers data</t>
  </si>
  <si>
    <t>VENKATESH, ANKITHA</t>
  </si>
  <si>
    <t>RF5572189</t>
  </si>
  <si>
    <t>RF5571765</t>
  </si>
  <si>
    <t>Patient Insights: Access Request | Amir Carter &amp; Raghavendra Madipadaga</t>
  </si>
  <si>
    <t>RF5573031</t>
  </si>
  <si>
    <t>Patient Insight Backend access to SUBRS109</t>
  </si>
  <si>
    <t>RF5573923</t>
  </si>
  <si>
    <t>Patient Insights | Single Implementation RFC creation for FRM AI Deployment.</t>
  </si>
  <si>
    <t>RF5574560</t>
  </si>
  <si>
    <t>Urgent Access Needed for SPP Reports and Brand Analytics Tableau</t>
  </si>
  <si>
    <t>RF5580080</t>
  </si>
  <si>
    <t>Patient Insights | AWS S3 Bucket access for Padmanaban</t>
  </si>
  <si>
    <t>RF5584652</t>
  </si>
  <si>
    <t>Patient Insights | FRM Dashboard access - Gary Dardzinski</t>
  </si>
  <si>
    <t>RF5591122</t>
  </si>
  <si>
    <t>Patient Insights | Dual RFC creation for Seagen data integration into publish layer for SIT Deployment.</t>
  </si>
  <si>
    <t>RF5591441</t>
  </si>
  <si>
    <t>RF5592642</t>
  </si>
  <si>
    <t>CDW tables refresh to DEV and UAT</t>
  </si>
  <si>
    <t>GUNDA, VARSHA</t>
  </si>
  <si>
    <t>RF5595648</t>
  </si>
  <si>
    <t>Patient Insights | Single Implementation RFC creation for FRM Crosstab Access and Security Enhancement for SIT Deployment.</t>
  </si>
  <si>
    <t>RF5597939</t>
  </si>
  <si>
    <t>Patient Insights | Dual RFC creation for Seagen data integration into publish layer for PRODDeployment.</t>
  </si>
  <si>
    <t>RF5599642</t>
  </si>
  <si>
    <t>RF5600589</t>
  </si>
  <si>
    <t>Patient Insights | SME BOT testing &amp; gather the feedback</t>
  </si>
  <si>
    <t>RF5604672</t>
  </si>
  <si>
    <t>Patient Insights | Job Failure | Production Environment</t>
  </si>
  <si>
    <t>RF5604701</t>
  </si>
  <si>
    <t>Patient Insights | IICS R50 upgrade</t>
  </si>
  <si>
    <t>RF5605272</t>
  </si>
  <si>
    <t>Patient Insights | Dual RFC creation for User access Metrics dashboard UAT deployment.</t>
  </si>
  <si>
    <t>RF5609692</t>
  </si>
  <si>
    <t>Patient Insights | Dual RFC creation for FRM Dashboard - Pfizer Align and Snapshot Logic Implementation | PROD Deployment</t>
  </si>
  <si>
    <t>RF5610191</t>
  </si>
  <si>
    <t>Patient Insights | Dual RFC creation for Tukysa Brand Integration into Summary and PJT | SIT Deployment</t>
  </si>
  <si>
    <t>RF5612491</t>
  </si>
  <si>
    <t>Patient Insights |  Update Runbook with recently created new IICS jobs</t>
  </si>
  <si>
    <t>RF5614037</t>
  </si>
  <si>
    <t>PatientInsights | Onboard PCA application to PAM alerts</t>
  </si>
  <si>
    <t>RF5615537</t>
  </si>
  <si>
    <t>PatientInsights | Update tickets in ticket tracker excel file</t>
  </si>
  <si>
    <t>RF5622421</t>
  </si>
  <si>
    <t>Patient Insights | Dual RFC creation for Seagen data integration - SPP &amp; Brand Analytics Dashboard</t>
  </si>
  <si>
    <t>RF5624255</t>
  </si>
  <si>
    <t>RF5627184</t>
  </si>
  <si>
    <t>RF5627410</t>
  </si>
  <si>
    <t>Patient Insights | Update internal ticket overview tracker for the week 30/6</t>
  </si>
  <si>
    <t>RF5627567</t>
  </si>
  <si>
    <t>Patient Insights | Access Request for Snowflake, IICS, Tableau and GitHub</t>
  </si>
  <si>
    <t>RF5632175</t>
  </si>
  <si>
    <t>Patient Insights | Process the historical files for HBRD interface with timestamp 20250625</t>
  </si>
  <si>
    <t>RF5633943</t>
  </si>
  <si>
    <t>Open</t>
  </si>
  <si>
    <t>Access Request | Celimar Rivera | I&amp;I FRM Dashboard</t>
  </si>
  <si>
    <t>RF5634720</t>
  </si>
  <si>
    <t>Complete</t>
  </si>
  <si>
    <t>Patient Insights | Dual RFC creation for Prescriber Report – HCP Exclusion update</t>
  </si>
  <si>
    <t>RF5636787</t>
  </si>
  <si>
    <t>RF5604171</t>
  </si>
  <si>
    <t>RF5626781</t>
  </si>
  <si>
    <t>Phase</t>
  </si>
  <si>
    <t>Description</t>
  </si>
  <si>
    <t>Related Tickets</t>
  </si>
  <si>
    <t>PM7003565</t>
  </si>
  <si>
    <t>Derm files -- we are receiving files with unexpected file name format . Opening this problem to track the issue.</t>
  </si>
  <si>
    <t>PM7003631</t>
  </si>
  <si>
    <t>DERM Job is getting failed daily(from 8-sep-2022) with the error "Invalid header in one of the derm files"</t>
  </si>
  <si>
    <t>PM7003681</t>
  </si>
  <si>
    <t>POT Files  || We are receiving wrong files daily. Receiving files with mismatch dates in control file vs data files. This issue is recurring form 16th september.</t>
  </si>
  <si>
    <t>PM7003731</t>
  </si>
  <si>
    <t>POT files are diverted to Dev sever with an extra file 18+1 Hence IICS POT job in prod is failing</t>
  </si>
  <si>
    <t>PM7003914</t>
  </si>
  <si>
    <t>We are not receiving POT files before the scheduled time of IICS job</t>
  </si>
  <si>
    <t>PM7004937</t>
  </si>
  <si>
    <t>Champ master task flow is executing completely even when there are failures  in subtasks, which is leading to load partial data/no data in dashboard</t>
  </si>
  <si>
    <t>PM7004984</t>
  </si>
  <si>
    <t>Patient insights support DL was not included in any of the incremental file load related jobs like DERM, POT &amp; Bridge , These jobs feeds the data for Patient experience reports</t>
  </si>
  <si>
    <t>PM7005156</t>
  </si>
  <si>
    <t>DERM Job is getting failed from 7/4 as we are receiving new additional file called authorization file.</t>
  </si>
  <si>
    <t>PM7005215</t>
  </si>
  <si>
    <t>Patient master taskflow is getting failed in production server after IICS R43 upgrade, Due to which the master patient job is getting failed and we need to trigger the job manually every time</t>
  </si>
  <si>
    <t>PM7005266</t>
  </si>
  <si>
    <t>Patient Insights | Fix non-conforming service accounts</t>
  </si>
  <si>
    <t>Service Accounts</t>
  </si>
  <si>
    <t>PM7005291</t>
  </si>
  <si>
    <t>PM7005349</t>
  </si>
  <si>
    <t>Revoke Write access for Digital Patient Insights team from UAT environment</t>
  </si>
  <si>
    <t>PM7005524</t>
  </si>
  <si>
    <t>Patient Insights | Copy control files from GBT HUB folder to GBT SPIF folder</t>
  </si>
  <si>
    <t>PM7005539</t>
  </si>
  <si>
    <t>PM7005551</t>
  </si>
  <si>
    <t>Patient Insights | GBT HUB | Control file name incorrect</t>
  </si>
  <si>
    <t>PM7005858</t>
  </si>
  <si>
    <t>PM7005892</t>
  </si>
  <si>
    <t>Patient Insights | GBT HUB | Incorrect Control File</t>
  </si>
  <si>
    <t>PM7006137</t>
  </si>
  <si>
    <t>PM7006205</t>
  </si>
  <si>
    <t>Patient Insights | Permanently fix IICS script failure for Tableau refresh</t>
  </si>
  <si>
    <t>PM7006215</t>
  </si>
  <si>
    <t>Patient Insights | Fix Datasource Refresh Automatic Schdeule</t>
  </si>
  <si>
    <t>PM7006420</t>
  </si>
  <si>
    <t>Biohaven IC Report data ingestion issue | S3 path inconsistency</t>
  </si>
  <si>
    <t>PM7006549</t>
  </si>
  <si>
    <t>Patient Insights | Patient Experience data extract refresh and ETL job misalignment</t>
  </si>
  <si>
    <t>PM7006652</t>
  </si>
  <si>
    <t>Patient Insight | 2 email for Job- Failure on Production</t>
  </si>
  <si>
    <t>PM7006689</t>
  </si>
  <si>
    <t>Patient Insight: Automation of Job failures and Recommendation through Gen AI</t>
  </si>
  <si>
    <t>PM7006690</t>
  </si>
  <si>
    <t>Patient Insight: Auto ticket assignment for Patient Insight Application</t>
  </si>
  <si>
    <t>Service Manager</t>
  </si>
  <si>
    <t>PM7006691</t>
  </si>
  <si>
    <t>Patient Insight: PAM alert</t>
  </si>
  <si>
    <t>Monitoring</t>
  </si>
  <si>
    <t>PM7006728</t>
  </si>
  <si>
    <t>Patient Insight | BHVN HCP Interface Failure</t>
  </si>
  <si>
    <t>PM7006922</t>
  </si>
  <si>
    <t>Patient Insights | Set up notification process for GMFT jobs</t>
  </si>
  <si>
    <t>PM7006970</t>
  </si>
  <si>
    <t>PM7007085</t>
  </si>
  <si>
    <t>Patient Insight | Fix GitHub vulnerabilities</t>
  </si>
  <si>
    <t>PM7007167</t>
  </si>
  <si>
    <t>Patient Insights | Milliman Payer file notification missing</t>
  </si>
  <si>
    <t>PM7007244</t>
  </si>
  <si>
    <t>Patient Insights | SPP V867 data issue</t>
  </si>
  <si>
    <t>PM7007570</t>
  </si>
  <si>
    <t>Patient Insights | Schedule Tableau Refresh</t>
  </si>
  <si>
    <t>PM7007724</t>
  </si>
  <si>
    <t>Work in Progress</t>
  </si>
  <si>
    <t>PM7007836</t>
  </si>
  <si>
    <t>Patient Insights | Remove GBT HUB from IICS monitoring</t>
  </si>
  <si>
    <t>PM7007899</t>
  </si>
  <si>
    <t>Patient Insights | Job Failure in Production Envrionment (The root cause was escalated to the IICS Vendor and Network team, and the resolution involved stabilizing the job executions in production)</t>
  </si>
  <si>
    <t>PM7007952</t>
  </si>
  <si>
    <t>Assign</t>
  </si>
  <si>
    <t>Patient Insights | ES Intervention Mapping</t>
  </si>
  <si>
    <t>PM7007953</t>
  </si>
  <si>
    <t>Patient Insights | ES Intervention Reason Mapping</t>
  </si>
  <si>
    <t>PM7007954</t>
  </si>
  <si>
    <t>Patient Insights | Velsipity I &amp; I Load</t>
  </si>
  <si>
    <t>PM7007955</t>
  </si>
  <si>
    <t>Patient Insights | Vyndamax Polaris Load</t>
  </si>
  <si>
    <t>PM7007956</t>
  </si>
  <si>
    <t>Patient Insights | OSOT Monthly Load</t>
  </si>
  <si>
    <t>PM7007975</t>
  </si>
  <si>
    <t>Patient Insights | Automation of creation of user access list</t>
  </si>
  <si>
    <t>PM7008088</t>
  </si>
  <si>
    <t>Patient Insights | Fix IICS meta data issue</t>
  </si>
  <si>
    <t>PM7007460</t>
  </si>
  <si>
    <t>Patient Insights | PASS Site migration UAT testing</t>
  </si>
  <si>
    <t>PM7007712</t>
  </si>
  <si>
    <t>Patient Insights | Create new group for MASPA DTR users in all environments</t>
  </si>
  <si>
    <t>Team</t>
  </si>
  <si>
    <t>Full Name</t>
  </si>
  <si>
    <t>Kostas</t>
  </si>
  <si>
    <t>Anupama</t>
  </si>
  <si>
    <t>Vishnu</t>
  </si>
  <si>
    <t>Ramesh</t>
  </si>
  <si>
    <t>Shridi</t>
  </si>
  <si>
    <t>Ashish</t>
  </si>
  <si>
    <t>Punya</t>
  </si>
  <si>
    <t>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</si>
</sst>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charset val="161"/>
      <scheme val="minor"/>
    </font>
    <font>
      <sz val="16"/>
      <color theme="1"/>
      <name val="Noto Sans"/>
      <family val="2"/>
      <charset val="1"/>
    </font>
    <font>
      <sz val="12"/>
      <color theme="1"/>
      <name val="Noto Sans"/>
      <family val="2"/>
      <charset val="1"/>
    </font>
    <font>
      <i/>
      <sz val="10"/>
      <color theme="1"/>
      <name val="Noto Sans"/>
      <family val="2"/>
      <charset val="1"/>
    </font>
    <font>
      <b/>
      <sz val="11"/>
      <color theme="1"/>
      <name val="Calibri"/>
      <family val="2"/>
      <charset val="161"/>
      <scheme val="minor"/>
    </font>
    <font>
      <sz val="8"/>
      <name val="Calibri"/>
      <family val="2"/>
      <scheme val="minor"/>
    </font>
    <font>
      <sz val="10"/>
      <name val="Arial"/>
      <family val="2"/>
    </font>
    <font>
      <sz val="10.5"/>
      <name val="Segoe UI"/>
      <family val="2"/>
    </font>
    <font>
      <sz val="11"/>
      <color rgb="FF000000"/>
      <name val="Calibri"/>
      <family val="2"/>
    </font>
    <font>
      <sz val="11"/>
      <color rgb="FF000000"/>
      <name val="Calibri"/>
      <family val="2"/>
      <charset val="161"/>
    </font>
    <font>
      <sz val="10.5"/>
      <color rgb="FF000000"/>
      <name val="Segoe UI"/>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8"/>
      </top>
      <bottom/>
      <diagonal/>
    </border>
  </borders>
  <cellStyleXfs count="1">
    <xf numFmtId="0" fontId="0" fillId="0" borderId="0"/>
  </cellStyleXfs>
  <cellXfs count="51">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0" fillId="0" borderId="0" xfId="0" applyNumberFormat="1"/>
    <xf numFmtId="14" fontId="0" fillId="0" borderId="0" xfId="0" applyNumberFormat="1" applyAlignment="1">
      <alignment vertical="center"/>
    </xf>
    <xf numFmtId="1" fontId="0" fillId="0" borderId="0" xfId="0" applyNumberFormat="1" applyAlignment="1">
      <alignment vertical="center"/>
    </xf>
    <xf numFmtId="1" fontId="0" fillId="0" borderId="0" xfId="0" applyNumberFormat="1" applyAlignment="1">
      <alignment vertical="center" wrapText="1"/>
    </xf>
    <xf numFmtId="0" fontId="0" fillId="0" borderId="0" xfId="0" applyAlignment="1">
      <alignment wrapText="1"/>
    </xf>
    <xf numFmtId="0" fontId="4" fillId="0" borderId="0" xfId="0" applyFont="1" applyAlignment="1">
      <alignment horizontal="left"/>
    </xf>
    <xf numFmtId="15" fontId="4" fillId="0" borderId="0" xfId="0" applyNumberFormat="1" applyFont="1" applyAlignment="1">
      <alignment horizontal="left"/>
    </xf>
    <xf numFmtId="0" fontId="0" fillId="0" borderId="1" xfId="0" applyBorder="1"/>
    <xf numFmtId="0" fontId="0" fillId="0" borderId="2" xfId="0" applyBorder="1"/>
    <xf numFmtId="0" fontId="0" fillId="0" borderId="0" xfId="0" applyAlignment="1">
      <alignment horizontal="left"/>
    </xf>
    <xf numFmtId="0" fontId="0" fillId="0" borderId="0" xfId="0" applyAlignment="1">
      <alignment vertical="center"/>
    </xf>
    <xf numFmtId="0" fontId="0" fillId="0" borderId="2" xfId="0" applyBorder="1" applyAlignment="1">
      <alignment vertical="center"/>
    </xf>
    <xf numFmtId="0" fontId="1" fillId="0" borderId="0" xfId="0" applyFont="1" applyAlignment="1">
      <alignment vertical="center"/>
    </xf>
    <xf numFmtId="0" fontId="0" fillId="0" borderId="3" xfId="0" applyBorder="1"/>
    <xf numFmtId="0" fontId="0" fillId="0" borderId="4" xfId="0" applyBorder="1"/>
    <xf numFmtId="0" fontId="0" fillId="0" borderId="1" xfId="0" applyBorder="1" applyAlignment="1">
      <alignment vertical="center"/>
    </xf>
    <xf numFmtId="0" fontId="0" fillId="0" borderId="5" xfId="0" applyBorder="1" applyAlignment="1">
      <alignment vertical="center"/>
    </xf>
    <xf numFmtId="0" fontId="0" fillId="0" borderId="5" xfId="0" applyBorder="1" applyAlignment="1">
      <alignment wrapText="1"/>
    </xf>
    <xf numFmtId="0" fontId="0" fillId="0" borderId="5" xfId="0" applyBorder="1"/>
    <xf numFmtId="14" fontId="0" fillId="0" borderId="5" xfId="0" applyNumberFormat="1" applyBorder="1"/>
    <xf numFmtId="0" fontId="0" fillId="0" borderId="0" xfId="0" applyAlignment="1">
      <alignment vertical="center" wrapText="1"/>
    </xf>
    <xf numFmtId="0" fontId="7" fillId="0" borderId="0" xfId="0" applyFont="1"/>
    <xf numFmtId="14" fontId="7" fillId="0" borderId="0" xfId="0" applyNumberFormat="1" applyFont="1"/>
    <xf numFmtId="14" fontId="8" fillId="0" borderId="0" xfId="0" applyNumberFormat="1" applyFont="1"/>
    <xf numFmtId="14" fontId="8" fillId="0" borderId="0" xfId="0" applyNumberFormat="1" applyFont="1" applyAlignment="1">
      <alignment vertical="center"/>
    </xf>
    <xf numFmtId="0" fontId="9" fillId="0" borderId="0" xfId="0" applyFont="1"/>
    <xf numFmtId="22" fontId="9" fillId="0" borderId="0" xfId="0" applyNumberFormat="1" applyFont="1"/>
    <xf numFmtId="0" fontId="10" fillId="0" borderId="0" xfId="0" applyFont="1"/>
    <xf numFmtId="14" fontId="9" fillId="0" borderId="0" xfId="0" applyNumberFormat="1" applyFont="1" applyAlignment="1">
      <alignment vertical="center"/>
    </xf>
    <xf numFmtId="0" fontId="9" fillId="0" borderId="0" xfId="0" applyFont="1" applyAlignment="1">
      <alignment horizontal="left"/>
    </xf>
    <xf numFmtId="0" fontId="9" fillId="0" borderId="0" xfId="0" applyFont="1" applyAlignment="1">
      <alignment wrapText="1"/>
    </xf>
    <xf numFmtId="0" fontId="11" fillId="0" borderId="0" xfId="0" applyFont="1"/>
    <xf numFmtId="14" fontId="11" fillId="0" borderId="0" xfId="0" applyNumberFormat="1" applyFont="1"/>
    <xf numFmtId="14" fontId="11" fillId="0" borderId="0" xfId="0" applyNumberFormat="1" applyFont="1" applyAlignment="1">
      <alignment vertical="center"/>
    </xf>
    <xf numFmtId="14" fontId="9" fillId="0" borderId="0" xfId="0" applyNumberFormat="1" applyFont="1"/>
    <xf numFmtId="0" fontId="9" fillId="0" borderId="0" xfId="0" applyFont="1" applyAlignment="1">
      <alignment vertical="center"/>
    </xf>
    <xf numFmtId="0" fontId="9" fillId="0" borderId="5" xfId="0" applyFont="1" applyBorder="1" applyAlignment="1">
      <alignment vertical="center"/>
    </xf>
    <xf numFmtId="1" fontId="9" fillId="0" borderId="0" xfId="0" applyNumberFormat="1" applyFont="1" applyAlignment="1">
      <alignment vertical="center"/>
    </xf>
    <xf numFmtId="1" fontId="9" fillId="0" borderId="0" xfId="0" applyNumberFormat="1" applyFont="1" applyAlignment="1">
      <alignment vertical="center" wrapText="1"/>
    </xf>
    <xf numFmtId="0" fontId="9" fillId="0" borderId="1" xfId="0" applyFont="1" applyBorder="1" applyAlignment="1">
      <alignment vertical="center"/>
    </xf>
    <xf numFmtId="0" fontId="9" fillId="0" borderId="2" xfId="0" applyFont="1" applyBorder="1" applyAlignment="1">
      <alignment vertical="center"/>
    </xf>
    <xf numFmtId="0" fontId="0" fillId="2" borderId="0" xfId="0" applyFill="1"/>
    <xf numFmtId="1" fontId="0" fillId="2" borderId="0" xfId="0" applyNumberFormat="1" applyFill="1"/>
    <xf numFmtId="1" fontId="1" fillId="2" borderId="0" xfId="0" applyNumberFormat="1" applyFont="1" applyFill="1"/>
  </cellXfs>
  <cellStyles count="1">
    <cellStyle name="Normal" xfId="0" builtinId="0"/>
  </cellStyles>
  <dxfs count="51">
    <dxf>
      <alignment horizontal="general" vertical="center" textRotation="0" indent="0" justifyLastLine="0" shrinkToFit="0" readingOrder="0"/>
    </dxf>
    <dxf>
      <fill>
        <patternFill patternType="none">
          <fgColor indexed="64"/>
          <bgColor indexed="65"/>
        </patternFill>
      </fill>
      <alignment horizontal="general" vertical="center" textRotation="0" indent="0" justifyLastLine="0" shrinkToFit="0" readingOrder="0"/>
      <border diagonalUp="0" diagonalDown="0">
        <left style="thin">
          <color theme="0"/>
        </left>
        <right style="thin">
          <color theme="0"/>
        </right>
        <top style="thin">
          <color theme="0"/>
        </top>
        <bottom style="thin">
          <color theme="0"/>
        </bottom>
        <vertical/>
        <horizontal/>
      </border>
    </dxf>
    <dxf>
      <alignment horizontal="general" vertical="center" textRotation="0" indent="0" justifyLastLine="0" shrinkToFit="0" readingOrder="0"/>
    </dxf>
    <dxf>
      <numFmt numFmtId="1" formatCode="0"/>
      <alignment horizontal="general" vertical="center" textRotation="0" indent="0" justifyLastLine="0" shrinkToFit="0" readingOrder="0"/>
    </dxf>
    <dxf>
      <numFmt numFmtId="1" formatCode="0"/>
      <alignment horizontal="general" vertical="center" textRotation="0" wrapText="1" indent="0" justifyLastLine="0" shrinkToFit="0" readingOrder="0"/>
    </dxf>
    <dxf>
      <numFmt numFmtId="1" formatCode="0"/>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border diagonalUp="0" diagonalDown="0">
        <left/>
        <right/>
        <top style="thin">
          <color theme="8"/>
        </top>
        <bottom/>
        <vertical/>
        <horizontal/>
      </border>
    </dxf>
    <dxf>
      <numFmt numFmtId="164" formatCode="m/d/yyyy"/>
      <alignment horizontal="general" vertical="center" textRotation="0" indent="0" justifyLastLine="0" shrinkToFit="0" readingOrder="0"/>
    </dxf>
    <dxf>
      <numFmt numFmtId="164" formatCode="m/d/yyyy"/>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1"/>
        <color rgb="FF000000"/>
        <name val="Calibri"/>
        <family val="2"/>
        <scheme val="none"/>
      </font>
    </dxf>
    <dxf>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165" formatCode="m/d/yyyy\ h:mm"/>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0.5"/>
        <color rgb="FF000000"/>
        <name val="Segoe UI"/>
        <family val="2"/>
        <scheme val="none"/>
      </font>
      <numFmt numFmtId="164" formatCode="m/d/yyyy"/>
      <alignment horizontal="general" vertical="center" textRotation="0" wrapText="0" indent="0" justifyLastLine="0" shrinkToFit="0" readingOrder="0"/>
    </dxf>
    <dxf>
      <numFmt numFmtId="164" formatCode="m/d/yyyy"/>
      <alignment horizontal="general" vertical="center" textRotation="0" wrapText="0" indent="0" justifyLastLine="0" shrinkToFit="0" readingOrder="0"/>
    </dxf>
    <dxf>
      <font>
        <b val="0"/>
        <i val="0"/>
        <strike val="0"/>
        <condense val="0"/>
        <extend val="0"/>
        <outline val="0"/>
        <shadow val="0"/>
        <u val="none"/>
        <vertAlign val="baseline"/>
        <sz val="10.5"/>
        <color rgb="FF000000"/>
        <name val="Segoe UI"/>
        <family val="2"/>
        <scheme val="none"/>
      </font>
      <numFmt numFmtId="164" formatCode="m/d/yyyy"/>
      <alignment horizontal="general" vertical="center" textRotation="0" wrapText="0" indent="0" justifyLastLine="0" shrinkToFit="0" readingOrder="0"/>
    </dxf>
    <dxf>
      <numFmt numFmtId="164" formatCode="m/d/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rgb="FF000000"/>
        <name val="Calibri"/>
        <family val="2"/>
        <scheme val="none"/>
      </font>
      <numFmt numFmtId="0" formatCode="Genera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border diagonalUp="0" diagonalDown="0" outline="0">
        <left style="thin">
          <color theme="0"/>
        </left>
        <right style="thin">
          <color theme="0"/>
        </right>
        <top style="thin">
          <color theme="0"/>
        </top>
        <bottom style="thin">
          <color theme="0"/>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dxf>
    <dxf>
      <numFmt numFmtId="1" formatCode="0"/>
      <fill>
        <patternFill patternType="solid">
          <fgColor indexed="64"/>
          <bgColor rgb="FFFFFF00"/>
        </patternFill>
      </fill>
    </dxf>
    <dxf>
      <numFmt numFmtId="164" formatCode="m/d/yyyy"/>
      <alignment horizontal="general" vertical="center" textRotation="0" wrapText="0" indent="0" justifyLastLine="0" shrinkToFit="0" readingOrder="0"/>
    </dxf>
    <dxf>
      <numFmt numFmtId="164" formatCode="m/d/yyyy"/>
      <alignment horizontal="general" vertical="center" textRotation="0" wrapText="0" indent="0" justifyLastLine="0" shrinkToFit="0" readingOrder="0"/>
    </dxf>
    <dxf>
      <numFmt numFmtId="164" formatCode="m/d/yyyy"/>
      <alignment horizontal="general" vertical="center" textRotation="0" wrapText="0" indent="0" justifyLastLine="0" shrinkToFit="0" readingOrder="0"/>
    </dxf>
    <dxf>
      <numFmt numFmtId="164" formatCode="m/d/yyyy"/>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charset val="161"/>
        <scheme val="minor"/>
      </font>
    </dxf>
    <dxf>
      <font>
        <b val="0"/>
        <charset val="16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xdr:colOff>
      <xdr:row>1</xdr:row>
      <xdr:rowOff>45720</xdr:rowOff>
    </xdr:from>
    <xdr:to>
      <xdr:col>3</xdr:col>
      <xdr:colOff>683969</xdr:colOff>
      <xdr:row>5</xdr:row>
      <xdr:rowOff>57150</xdr:rowOff>
    </xdr:to>
    <xdr:pic>
      <xdr:nvPicPr>
        <xdr:cNvPr id="2" name="Picture 1">
          <a:extLst>
            <a:ext uri="{FF2B5EF4-FFF2-40B4-BE49-F238E27FC236}">
              <a16:creationId xmlns:a16="http://schemas.microsoft.com/office/drawing/2014/main" id="{7EF59C9C-C748-49BE-BE32-971BB6CDE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3860" y="327660"/>
          <a:ext cx="1790774" cy="7391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AUTA20/Desktop/Patient%20Insights/Monthly%20report/0617/Incidents.csv" TargetMode="External"/><Relationship Id="rId2" Type="http://schemas.openxmlformats.org/officeDocument/2006/relationships/externalLinkPath" Target="file:///C:\Users\RAUTA20\Desktop\Patient%20Insights\Monthly%20report\0617\Incidents.csv" TargetMode="External"/><Relationship Id="rId1" Type="http://schemas.openxmlformats.org/officeDocument/2006/relationships/externalLinkPath" Target="/Users/RAUTA20/Desktop/Patient%20Insights/Monthly%20report/0617/Incidents.csv"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AUTA20/Desktop/Patient%20Insights/Monthly%20report/0617/Requests.csv" TargetMode="External"/><Relationship Id="rId2" Type="http://schemas.openxmlformats.org/officeDocument/2006/relationships/externalLinkPath" Target="file:///C:\Users\RAUTA20\Desktop\Patient%20Insights\Monthly%20report\0617\Requests.csv" TargetMode="External"/><Relationship Id="rId1" Type="http://schemas.openxmlformats.org/officeDocument/2006/relationships/externalLinkPath" Target="/Users/RAUTA20/Desktop/Patient%20Insights/Monthly%20report/0617/Request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cidents"/>
    </sheetNames>
    <sheetDataSet>
      <sheetData sheetId="0">
        <row r="2">
          <cell r="A2" t="str">
            <v>IM45426547</v>
          </cell>
          <cell r="B2" t="str">
            <v>Closed</v>
          </cell>
          <cell r="C2" t="str">
            <v>Resolve - Alert 1</v>
          </cell>
          <cell r="D2" t="str">
            <v>4 - Low</v>
          </cell>
        </row>
        <row r="3">
          <cell r="A3" t="str">
            <v>IM45306889</v>
          </cell>
          <cell r="B3" t="str">
            <v>Closed</v>
          </cell>
          <cell r="C3" t="str">
            <v>Resolve - MISSED</v>
          </cell>
          <cell r="D3" t="str">
            <v>2 - High</v>
          </cell>
        </row>
        <row r="4">
          <cell r="A4" t="str">
            <v>IM41626397</v>
          </cell>
          <cell r="B4" t="str">
            <v>Closed</v>
          </cell>
          <cell r="C4" t="str">
            <v>Respond - MISSED</v>
          </cell>
          <cell r="D4" t="str">
            <v>4 - Low</v>
          </cell>
        </row>
        <row r="5">
          <cell r="A5" t="str">
            <v>IM42969439</v>
          </cell>
          <cell r="B5" t="str">
            <v>Closed</v>
          </cell>
          <cell r="C5" t="str">
            <v>Resolve - Alert 2</v>
          </cell>
          <cell r="D5" t="str">
            <v>2 - High</v>
          </cell>
        </row>
        <row r="6">
          <cell r="A6" t="str">
            <v>IM43590239</v>
          </cell>
          <cell r="B6" t="str">
            <v>Closed</v>
          </cell>
          <cell r="C6" t="str">
            <v>Resolve - Alert 2</v>
          </cell>
          <cell r="D6" t="str">
            <v>2 - High</v>
          </cell>
        </row>
        <row r="7">
          <cell r="A7" t="str">
            <v>IM44504617</v>
          </cell>
          <cell r="B7" t="str">
            <v>Closed</v>
          </cell>
          <cell r="C7" t="str">
            <v>Resolve - MISSED</v>
          </cell>
          <cell r="D7" t="str">
            <v>2 - High</v>
          </cell>
        </row>
        <row r="8">
          <cell r="A8" t="str">
            <v>IM45155316</v>
          </cell>
          <cell r="B8" t="str">
            <v>Closed</v>
          </cell>
          <cell r="C8" t="str">
            <v>Resolve - MISSED</v>
          </cell>
          <cell r="D8" t="str">
            <v>2 - High</v>
          </cell>
        </row>
        <row r="9">
          <cell r="A9" t="str">
            <v>IM45594263</v>
          </cell>
          <cell r="B9" t="str">
            <v>Closed</v>
          </cell>
          <cell r="D9" t="str">
            <v>4 - Low</v>
          </cell>
        </row>
        <row r="10">
          <cell r="A10" t="str">
            <v>IM45183785</v>
          </cell>
          <cell r="B10" t="str">
            <v>Closed</v>
          </cell>
          <cell r="C10" t="str">
            <v>Resolve - MISSED</v>
          </cell>
          <cell r="D10" t="str">
            <v>2 - High</v>
          </cell>
        </row>
        <row r="11">
          <cell r="A11" t="str">
            <v>IM44038015</v>
          </cell>
          <cell r="B11" t="str">
            <v>Closed</v>
          </cell>
          <cell r="D11" t="str">
            <v>4 - Low</v>
          </cell>
        </row>
        <row r="12">
          <cell r="A12" t="str">
            <v>IM44927033</v>
          </cell>
          <cell r="B12" t="str">
            <v>Closed</v>
          </cell>
          <cell r="C12" t="str">
            <v>Resolve - Alert 2</v>
          </cell>
          <cell r="D12" t="str">
            <v>2 - High</v>
          </cell>
        </row>
        <row r="13">
          <cell r="A13" t="str">
            <v>IM45365377</v>
          </cell>
          <cell r="B13" t="str">
            <v>Closed</v>
          </cell>
          <cell r="D13" t="str">
            <v>4 - Low</v>
          </cell>
        </row>
        <row r="14">
          <cell r="A14" t="str">
            <v>IM45365413</v>
          </cell>
          <cell r="B14" t="str">
            <v>Closed</v>
          </cell>
          <cell r="D14" t="str">
            <v>4 - Low</v>
          </cell>
        </row>
        <row r="15">
          <cell r="A15" t="str">
            <v>IM41856154</v>
          </cell>
          <cell r="B15" t="str">
            <v>Closed</v>
          </cell>
          <cell r="D15" t="str">
            <v>4 - Low</v>
          </cell>
        </row>
        <row r="16">
          <cell r="A16" t="str">
            <v>IM45158435</v>
          </cell>
          <cell r="B16" t="str">
            <v>Closed</v>
          </cell>
          <cell r="C16" t="str">
            <v>Resolve - MISSED</v>
          </cell>
          <cell r="D16" t="str">
            <v>2 - High</v>
          </cell>
        </row>
        <row r="17">
          <cell r="A17" t="str">
            <v>IM45323470</v>
          </cell>
          <cell r="B17" t="str">
            <v>Closed</v>
          </cell>
          <cell r="C17" t="str">
            <v>Resolve - MISSED</v>
          </cell>
          <cell r="D17" t="str">
            <v>2 - High</v>
          </cell>
        </row>
        <row r="18">
          <cell r="A18" t="str">
            <v>IM45567379</v>
          </cell>
          <cell r="B18" t="str">
            <v>Closed</v>
          </cell>
          <cell r="C18" t="str">
            <v>Resolve - Alert 1</v>
          </cell>
          <cell r="D18" t="str">
            <v>2 - High</v>
          </cell>
        </row>
        <row r="19">
          <cell r="A19" t="str">
            <v>IM45231564</v>
          </cell>
          <cell r="B19" t="str">
            <v>Closed</v>
          </cell>
          <cell r="C19" t="str">
            <v>Resolve - MISSED</v>
          </cell>
          <cell r="D19" t="str">
            <v>2 - High</v>
          </cell>
        </row>
        <row r="20">
          <cell r="A20" t="str">
            <v>IM41508331</v>
          </cell>
          <cell r="B20" t="str">
            <v>Closed</v>
          </cell>
          <cell r="C20" t="str">
            <v>Resolve - Alert 1</v>
          </cell>
          <cell r="D20" t="str">
            <v>4 - Low</v>
          </cell>
        </row>
        <row r="21">
          <cell r="A21" t="str">
            <v>IM41652167</v>
          </cell>
          <cell r="B21" t="str">
            <v>Closed</v>
          </cell>
          <cell r="D21" t="str">
            <v>4 - Low</v>
          </cell>
        </row>
        <row r="22">
          <cell r="A22" t="str">
            <v>IM41657575</v>
          </cell>
          <cell r="B22" t="str">
            <v>Closed</v>
          </cell>
          <cell r="D22" t="str">
            <v>4 - Low</v>
          </cell>
        </row>
        <row r="23">
          <cell r="A23" t="str">
            <v>IM41730222</v>
          </cell>
          <cell r="B23" t="str">
            <v>Closed</v>
          </cell>
          <cell r="C23" t="str">
            <v>Restore - Alert 1</v>
          </cell>
          <cell r="D23" t="str">
            <v>4 - Low</v>
          </cell>
        </row>
        <row r="24">
          <cell r="A24" t="str">
            <v>IM41736338</v>
          </cell>
          <cell r="B24" t="str">
            <v>Closed</v>
          </cell>
          <cell r="D24" t="str">
            <v>4 - Low</v>
          </cell>
        </row>
        <row r="25">
          <cell r="A25" t="str">
            <v>IM41736552</v>
          </cell>
          <cell r="B25" t="str">
            <v>Closed</v>
          </cell>
          <cell r="C25" t="str">
            <v>Resolve - MISSED</v>
          </cell>
          <cell r="D25" t="str">
            <v>4 - Low</v>
          </cell>
        </row>
        <row r="26">
          <cell r="A26" t="str">
            <v>IM41753824</v>
          </cell>
          <cell r="B26" t="str">
            <v>Closed</v>
          </cell>
          <cell r="C26" t="str">
            <v>Resolve - MISSED</v>
          </cell>
          <cell r="D26" t="str">
            <v>4 - Low</v>
          </cell>
        </row>
        <row r="27">
          <cell r="A27" t="str">
            <v>IM41789678</v>
          </cell>
          <cell r="B27" t="str">
            <v>Closed</v>
          </cell>
          <cell r="D27" t="str">
            <v>4 - Low</v>
          </cell>
        </row>
        <row r="28">
          <cell r="A28" t="str">
            <v>IM41795401</v>
          </cell>
          <cell r="B28" t="str">
            <v>Closed</v>
          </cell>
          <cell r="D28" t="str">
            <v>4 - Low</v>
          </cell>
        </row>
        <row r="29">
          <cell r="A29" t="str">
            <v>IM41815019</v>
          </cell>
          <cell r="B29" t="str">
            <v>Closed</v>
          </cell>
          <cell r="D29" t="str">
            <v>4 - Low</v>
          </cell>
        </row>
        <row r="30">
          <cell r="A30" t="str">
            <v>IM41815232</v>
          </cell>
          <cell r="B30" t="str">
            <v>Closed</v>
          </cell>
          <cell r="D30" t="str">
            <v>4 - Low</v>
          </cell>
        </row>
        <row r="31">
          <cell r="A31" t="str">
            <v>IM41820264</v>
          </cell>
          <cell r="B31" t="str">
            <v>Closed</v>
          </cell>
          <cell r="D31" t="str">
            <v>4 - Low</v>
          </cell>
        </row>
        <row r="32">
          <cell r="A32" t="str">
            <v>IM41820332</v>
          </cell>
          <cell r="B32" t="str">
            <v>Closed</v>
          </cell>
          <cell r="C32" t="str">
            <v>Resolve - MISSED</v>
          </cell>
          <cell r="D32" t="str">
            <v>4 - Low</v>
          </cell>
        </row>
        <row r="33">
          <cell r="A33" t="str">
            <v>IM41820957</v>
          </cell>
          <cell r="B33" t="str">
            <v>Closed</v>
          </cell>
          <cell r="C33" t="str">
            <v>Respond - Alert 1</v>
          </cell>
          <cell r="D33" t="str">
            <v>4 - Low</v>
          </cell>
        </row>
        <row r="34">
          <cell r="A34" t="str">
            <v>IM41820966</v>
          </cell>
          <cell r="B34" t="str">
            <v>Closed</v>
          </cell>
          <cell r="C34" t="str">
            <v>Respond - Alert 1</v>
          </cell>
          <cell r="D34" t="str">
            <v>4 - Low</v>
          </cell>
        </row>
        <row r="35">
          <cell r="A35" t="str">
            <v>IM41822590</v>
          </cell>
          <cell r="B35" t="str">
            <v>Closed</v>
          </cell>
          <cell r="C35" t="str">
            <v>Resolve - Alert 2</v>
          </cell>
          <cell r="D35" t="str">
            <v>4 - Low</v>
          </cell>
        </row>
        <row r="36">
          <cell r="A36" t="str">
            <v>IM41828236</v>
          </cell>
          <cell r="B36" t="str">
            <v>Closed</v>
          </cell>
          <cell r="D36" t="str">
            <v>4 - Low</v>
          </cell>
        </row>
        <row r="37">
          <cell r="A37" t="str">
            <v>IM41852377</v>
          </cell>
          <cell r="B37" t="str">
            <v>Closed</v>
          </cell>
          <cell r="C37" t="str">
            <v>Resolve - MISSED</v>
          </cell>
          <cell r="D37" t="str">
            <v>4 - Low</v>
          </cell>
        </row>
        <row r="38">
          <cell r="A38" t="str">
            <v>IM41854611</v>
          </cell>
          <cell r="B38" t="str">
            <v>Closed</v>
          </cell>
          <cell r="D38" t="str">
            <v>3 - Medium</v>
          </cell>
        </row>
        <row r="39">
          <cell r="A39" t="str">
            <v>IM41861471</v>
          </cell>
          <cell r="B39" t="str">
            <v>Closed</v>
          </cell>
          <cell r="C39" t="str">
            <v>Resolve - Alert 1</v>
          </cell>
          <cell r="D39" t="str">
            <v>4 - Low</v>
          </cell>
        </row>
        <row r="40">
          <cell r="A40" t="str">
            <v>IM41905030</v>
          </cell>
          <cell r="B40" t="str">
            <v>Closed</v>
          </cell>
          <cell r="D40" t="str">
            <v>4 - Low</v>
          </cell>
        </row>
        <row r="41">
          <cell r="A41" t="str">
            <v>IM41909427</v>
          </cell>
          <cell r="B41" t="str">
            <v>Closed</v>
          </cell>
          <cell r="C41" t="str">
            <v>Resolve - MISSED</v>
          </cell>
          <cell r="D41" t="str">
            <v>4 - Low</v>
          </cell>
        </row>
        <row r="42">
          <cell r="A42" t="str">
            <v>IM41933317</v>
          </cell>
          <cell r="B42" t="str">
            <v>Closed</v>
          </cell>
          <cell r="C42" t="str">
            <v>Resolve - Alert 1</v>
          </cell>
          <cell r="D42" t="str">
            <v>2 - High</v>
          </cell>
        </row>
        <row r="43">
          <cell r="A43" t="str">
            <v>IM41935471</v>
          </cell>
          <cell r="B43" t="str">
            <v>Closed</v>
          </cell>
          <cell r="C43" t="str">
            <v>Resolve - MISSED</v>
          </cell>
          <cell r="D43" t="str">
            <v>4 - Low</v>
          </cell>
        </row>
        <row r="44">
          <cell r="A44" t="str">
            <v>IM41955647</v>
          </cell>
          <cell r="B44" t="str">
            <v>Closed</v>
          </cell>
          <cell r="C44" t="str">
            <v>Resolve - MISSED</v>
          </cell>
          <cell r="D44" t="str">
            <v>3 - Medium</v>
          </cell>
        </row>
        <row r="45">
          <cell r="A45" t="str">
            <v>IM41961623</v>
          </cell>
          <cell r="B45" t="str">
            <v>Closed</v>
          </cell>
          <cell r="C45" t="str">
            <v>Resolve - MISSED</v>
          </cell>
          <cell r="D45" t="str">
            <v>3 - Medium</v>
          </cell>
        </row>
        <row r="46">
          <cell r="A46" t="str">
            <v>IM41965923</v>
          </cell>
          <cell r="B46" t="str">
            <v>Closed</v>
          </cell>
          <cell r="C46" t="str">
            <v>Resolve - Alert 1</v>
          </cell>
          <cell r="D46" t="str">
            <v>3 - Medium</v>
          </cell>
        </row>
        <row r="47">
          <cell r="A47" t="str">
            <v>IM41979517</v>
          </cell>
          <cell r="B47" t="str">
            <v>Closed</v>
          </cell>
          <cell r="D47" t="str">
            <v>4 - Low</v>
          </cell>
        </row>
        <row r="48">
          <cell r="A48" t="str">
            <v>IM41995784</v>
          </cell>
          <cell r="B48" t="str">
            <v>Closed</v>
          </cell>
          <cell r="C48" t="str">
            <v>Resolve - MISSED</v>
          </cell>
          <cell r="D48" t="str">
            <v>3 - Medium</v>
          </cell>
        </row>
        <row r="49">
          <cell r="A49" t="str">
            <v>IM41995842</v>
          </cell>
          <cell r="B49" t="str">
            <v>Closed</v>
          </cell>
          <cell r="D49" t="str">
            <v>3 - Medium</v>
          </cell>
        </row>
        <row r="50">
          <cell r="A50" t="str">
            <v>IM42003043</v>
          </cell>
          <cell r="B50" t="str">
            <v>Closed</v>
          </cell>
          <cell r="C50" t="str">
            <v>Resolve - MISSED</v>
          </cell>
          <cell r="D50" t="str">
            <v>3 - Medium</v>
          </cell>
        </row>
        <row r="51">
          <cell r="A51" t="str">
            <v>IM42003172</v>
          </cell>
          <cell r="B51" t="str">
            <v>Closed</v>
          </cell>
          <cell r="C51" t="str">
            <v>Resolve - MISSED</v>
          </cell>
          <cell r="D51" t="str">
            <v>3 - Medium</v>
          </cell>
        </row>
        <row r="52">
          <cell r="A52" t="str">
            <v>IM42010104</v>
          </cell>
          <cell r="B52" t="str">
            <v>Closed</v>
          </cell>
          <cell r="D52" t="str">
            <v>4 - Low</v>
          </cell>
        </row>
        <row r="53">
          <cell r="A53" t="str">
            <v>IM42013005</v>
          </cell>
          <cell r="B53" t="str">
            <v>Closed</v>
          </cell>
          <cell r="C53" t="str">
            <v>Resolve - Alert 2</v>
          </cell>
          <cell r="D53" t="str">
            <v>4 - Low</v>
          </cell>
        </row>
        <row r="54">
          <cell r="A54" t="str">
            <v>IM42023160</v>
          </cell>
          <cell r="B54" t="str">
            <v>Closed</v>
          </cell>
          <cell r="C54" t="str">
            <v>Resolve - MISSED</v>
          </cell>
          <cell r="D54" t="str">
            <v>3 - Medium</v>
          </cell>
        </row>
        <row r="55">
          <cell r="A55" t="str">
            <v>IM42023175</v>
          </cell>
          <cell r="B55" t="str">
            <v>Closed</v>
          </cell>
          <cell r="C55" t="str">
            <v>Resolve - MISSED</v>
          </cell>
          <cell r="D55" t="str">
            <v>3 - Medium</v>
          </cell>
        </row>
        <row r="56">
          <cell r="A56" t="str">
            <v>IM42030826</v>
          </cell>
          <cell r="B56" t="str">
            <v>Closed</v>
          </cell>
          <cell r="C56" t="str">
            <v>Resolve - MISSED</v>
          </cell>
          <cell r="D56" t="str">
            <v>3 - Medium</v>
          </cell>
        </row>
        <row r="57">
          <cell r="A57" t="str">
            <v>IM42030880</v>
          </cell>
          <cell r="B57" t="str">
            <v>Closed</v>
          </cell>
          <cell r="C57" t="str">
            <v>Resolve - MISSED</v>
          </cell>
          <cell r="D57" t="str">
            <v>3 - Medium</v>
          </cell>
        </row>
        <row r="58">
          <cell r="A58" t="str">
            <v>IM42037203</v>
          </cell>
          <cell r="B58" t="str">
            <v>Closed</v>
          </cell>
          <cell r="D58" t="str">
            <v>3 - Medium</v>
          </cell>
        </row>
        <row r="59">
          <cell r="A59" t="str">
            <v>IM42040775</v>
          </cell>
          <cell r="B59" t="str">
            <v>Closed</v>
          </cell>
          <cell r="C59" t="str">
            <v>Resolve - Alert 2</v>
          </cell>
          <cell r="D59" t="str">
            <v>4 - Low</v>
          </cell>
        </row>
        <row r="60">
          <cell r="A60" t="str">
            <v>IM42045646</v>
          </cell>
          <cell r="B60" t="str">
            <v>Closed</v>
          </cell>
          <cell r="C60" t="str">
            <v>Resolve - Alert 1</v>
          </cell>
          <cell r="D60" t="str">
            <v>4 - Low</v>
          </cell>
        </row>
        <row r="61">
          <cell r="A61" t="str">
            <v>IM42052616</v>
          </cell>
          <cell r="B61" t="str">
            <v>Closed</v>
          </cell>
          <cell r="C61" t="str">
            <v>Resolve - Alert 1</v>
          </cell>
          <cell r="D61" t="str">
            <v>4 - Low</v>
          </cell>
        </row>
        <row r="62">
          <cell r="A62" t="str">
            <v>IM42059441</v>
          </cell>
          <cell r="B62" t="str">
            <v>Closed</v>
          </cell>
          <cell r="C62" t="str">
            <v>Resolve - Alert 1</v>
          </cell>
          <cell r="D62" t="str">
            <v>4 - Low</v>
          </cell>
        </row>
        <row r="63">
          <cell r="A63" t="str">
            <v>IM42059454</v>
          </cell>
          <cell r="B63" t="str">
            <v>Closed</v>
          </cell>
          <cell r="C63" t="str">
            <v>Resolve - Alert 1</v>
          </cell>
          <cell r="D63" t="str">
            <v>4 - Low</v>
          </cell>
        </row>
        <row r="64">
          <cell r="A64" t="str">
            <v>IM42061070</v>
          </cell>
          <cell r="B64" t="str">
            <v>Closed</v>
          </cell>
          <cell r="D64" t="str">
            <v>4 - Low</v>
          </cell>
        </row>
        <row r="65">
          <cell r="A65" t="str">
            <v>IM42061967</v>
          </cell>
          <cell r="B65" t="str">
            <v>Closed</v>
          </cell>
          <cell r="C65" t="str">
            <v>Respond - Alert 1</v>
          </cell>
          <cell r="D65" t="str">
            <v>4 - Low</v>
          </cell>
        </row>
        <row r="66">
          <cell r="A66" t="str">
            <v>IM42071326</v>
          </cell>
          <cell r="B66" t="str">
            <v>Closed</v>
          </cell>
          <cell r="C66" t="str">
            <v>Resolve - Alert 1</v>
          </cell>
          <cell r="D66" t="str">
            <v>4 - Low</v>
          </cell>
        </row>
        <row r="67">
          <cell r="A67" t="str">
            <v>IM42071593</v>
          </cell>
          <cell r="B67" t="str">
            <v>Closed</v>
          </cell>
          <cell r="D67" t="str">
            <v>3 - Medium</v>
          </cell>
        </row>
        <row r="68">
          <cell r="A68" t="str">
            <v>IM42074645</v>
          </cell>
          <cell r="B68" t="str">
            <v>Closed</v>
          </cell>
          <cell r="C68" t="str">
            <v>Resolve - Alert 1</v>
          </cell>
          <cell r="D68" t="str">
            <v>4 - Low</v>
          </cell>
        </row>
        <row r="69">
          <cell r="A69" t="str">
            <v>IM42079395</v>
          </cell>
          <cell r="B69" t="str">
            <v>Closed</v>
          </cell>
          <cell r="C69" t="str">
            <v>Resolve - Alert 1</v>
          </cell>
          <cell r="D69" t="str">
            <v>4 - Low</v>
          </cell>
        </row>
        <row r="70">
          <cell r="A70" t="str">
            <v>IM42089246</v>
          </cell>
          <cell r="B70" t="str">
            <v>Closed</v>
          </cell>
          <cell r="D70" t="str">
            <v>4 - Low</v>
          </cell>
        </row>
        <row r="71">
          <cell r="A71" t="str">
            <v>IM42089264</v>
          </cell>
          <cell r="B71" t="str">
            <v>Closed</v>
          </cell>
          <cell r="D71" t="str">
            <v>4 - Low</v>
          </cell>
        </row>
        <row r="72">
          <cell r="A72" t="str">
            <v>IM42094440</v>
          </cell>
          <cell r="B72" t="str">
            <v>Closed</v>
          </cell>
          <cell r="C72" t="str">
            <v>Respond - MISSED</v>
          </cell>
          <cell r="D72" t="str">
            <v>4 - Low</v>
          </cell>
        </row>
        <row r="73">
          <cell r="A73" t="str">
            <v>IM42099244</v>
          </cell>
          <cell r="B73" t="str">
            <v>Closed</v>
          </cell>
          <cell r="D73" t="str">
            <v>4 - Low</v>
          </cell>
        </row>
        <row r="74">
          <cell r="A74" t="str">
            <v>IM42101315</v>
          </cell>
          <cell r="B74" t="str">
            <v>Closed</v>
          </cell>
          <cell r="C74" t="str">
            <v>Resolve - Alert 1</v>
          </cell>
          <cell r="D74" t="str">
            <v>3 - Medium</v>
          </cell>
        </row>
        <row r="75">
          <cell r="A75" t="str">
            <v>IM42105414</v>
          </cell>
          <cell r="B75" t="str">
            <v>Closed</v>
          </cell>
          <cell r="C75" t="str">
            <v>Respond - MISSED</v>
          </cell>
          <cell r="D75" t="str">
            <v>4 - Low</v>
          </cell>
        </row>
        <row r="76">
          <cell r="A76" t="str">
            <v>IM42111845</v>
          </cell>
          <cell r="B76" t="str">
            <v>Closed</v>
          </cell>
          <cell r="C76" t="str">
            <v>Respond - MISSED</v>
          </cell>
          <cell r="D76" t="str">
            <v>4 - Low</v>
          </cell>
        </row>
        <row r="77">
          <cell r="A77" t="str">
            <v>IM42117327</v>
          </cell>
          <cell r="B77" t="str">
            <v>Closed</v>
          </cell>
          <cell r="D77" t="str">
            <v>4 - Low</v>
          </cell>
        </row>
        <row r="78">
          <cell r="A78" t="str">
            <v>IM42122529</v>
          </cell>
          <cell r="B78" t="str">
            <v>Closed</v>
          </cell>
          <cell r="D78" t="str">
            <v>4 - Low</v>
          </cell>
        </row>
        <row r="79">
          <cell r="A79" t="str">
            <v>IM42127311</v>
          </cell>
          <cell r="B79" t="str">
            <v>Closed</v>
          </cell>
          <cell r="C79" t="str">
            <v>Respond - Alert 2</v>
          </cell>
          <cell r="D79" t="str">
            <v>4 - Low</v>
          </cell>
        </row>
        <row r="80">
          <cell r="A80" t="str">
            <v>IM42131892</v>
          </cell>
          <cell r="B80" t="str">
            <v>Closed</v>
          </cell>
          <cell r="C80" t="str">
            <v>Respond - Alert 1</v>
          </cell>
          <cell r="D80" t="str">
            <v>4 - Low</v>
          </cell>
        </row>
        <row r="81">
          <cell r="A81" t="str">
            <v>IM42157982</v>
          </cell>
          <cell r="B81" t="str">
            <v>Closed</v>
          </cell>
          <cell r="C81" t="str">
            <v>Respond - Alert 2</v>
          </cell>
          <cell r="D81" t="str">
            <v>3 - Medium</v>
          </cell>
        </row>
        <row r="82">
          <cell r="A82" t="str">
            <v>IM42172416</v>
          </cell>
          <cell r="B82" t="str">
            <v>Closed</v>
          </cell>
          <cell r="D82" t="str">
            <v>3 - Medium</v>
          </cell>
        </row>
        <row r="83">
          <cell r="A83" t="str">
            <v>IM42174914</v>
          </cell>
          <cell r="B83" t="str">
            <v>Closed</v>
          </cell>
          <cell r="D83" t="str">
            <v>3 - Medium</v>
          </cell>
        </row>
        <row r="84">
          <cell r="A84" t="str">
            <v>IM42176219</v>
          </cell>
          <cell r="B84" t="str">
            <v>Closed</v>
          </cell>
          <cell r="D84" t="str">
            <v>4 - Low</v>
          </cell>
        </row>
        <row r="85">
          <cell r="A85" t="str">
            <v>IM42190375</v>
          </cell>
          <cell r="B85" t="str">
            <v>Closed</v>
          </cell>
          <cell r="D85" t="str">
            <v>3 - Medium</v>
          </cell>
        </row>
        <row r="86">
          <cell r="A86" t="str">
            <v>IM42190482</v>
          </cell>
          <cell r="B86" t="str">
            <v>Closed</v>
          </cell>
          <cell r="D86" t="str">
            <v>4 - Low</v>
          </cell>
        </row>
        <row r="87">
          <cell r="A87" t="str">
            <v>IM42190496</v>
          </cell>
          <cell r="B87" t="str">
            <v>Closed</v>
          </cell>
          <cell r="D87" t="str">
            <v>3 - Medium</v>
          </cell>
        </row>
        <row r="88">
          <cell r="A88" t="str">
            <v>IM42190524</v>
          </cell>
          <cell r="B88" t="str">
            <v>Closed</v>
          </cell>
          <cell r="D88" t="str">
            <v>4 - Low</v>
          </cell>
        </row>
        <row r="89">
          <cell r="A89" t="str">
            <v>IM42191018</v>
          </cell>
          <cell r="B89" t="str">
            <v>Closed</v>
          </cell>
          <cell r="C89" t="str">
            <v>Resolve - Alert 1</v>
          </cell>
          <cell r="D89" t="str">
            <v>4 - Low</v>
          </cell>
        </row>
        <row r="90">
          <cell r="A90" t="str">
            <v>IM42193972</v>
          </cell>
          <cell r="B90" t="str">
            <v>Closed</v>
          </cell>
          <cell r="C90" t="str">
            <v>Respond - Alert 1</v>
          </cell>
          <cell r="D90" t="str">
            <v>4 - Low</v>
          </cell>
        </row>
        <row r="91">
          <cell r="A91" t="str">
            <v>IM42193977</v>
          </cell>
          <cell r="B91" t="str">
            <v>Closed</v>
          </cell>
          <cell r="C91" t="str">
            <v>Respond - Alert 1</v>
          </cell>
          <cell r="D91" t="str">
            <v>4 - Low</v>
          </cell>
        </row>
        <row r="92">
          <cell r="A92" t="str">
            <v>IM42199371</v>
          </cell>
          <cell r="B92" t="str">
            <v>Closed</v>
          </cell>
          <cell r="D92" t="str">
            <v>4 - Low</v>
          </cell>
        </row>
        <row r="93">
          <cell r="A93" t="str">
            <v>IM42202340</v>
          </cell>
          <cell r="B93" t="str">
            <v>Closed</v>
          </cell>
          <cell r="D93" t="str">
            <v>4 - Low</v>
          </cell>
        </row>
        <row r="94">
          <cell r="A94" t="str">
            <v>IM42202493</v>
          </cell>
          <cell r="B94" t="str">
            <v>Closed</v>
          </cell>
          <cell r="C94" t="str">
            <v>Resolve - Alert 1</v>
          </cell>
          <cell r="D94" t="str">
            <v>3 - Medium</v>
          </cell>
        </row>
        <row r="95">
          <cell r="A95" t="str">
            <v>IM42202626</v>
          </cell>
          <cell r="B95" t="str">
            <v>Closed</v>
          </cell>
          <cell r="D95" t="str">
            <v>4 - Low</v>
          </cell>
        </row>
        <row r="96">
          <cell r="A96" t="str">
            <v>IM42227566</v>
          </cell>
          <cell r="B96" t="str">
            <v>Closed</v>
          </cell>
          <cell r="D96" t="str">
            <v>4 - Low</v>
          </cell>
        </row>
        <row r="97">
          <cell r="A97" t="str">
            <v>IM42238206</v>
          </cell>
          <cell r="B97" t="str">
            <v>Closed</v>
          </cell>
          <cell r="C97" t="str">
            <v>Respond - MISSED</v>
          </cell>
          <cell r="D97" t="str">
            <v>4 - Low</v>
          </cell>
        </row>
        <row r="98">
          <cell r="A98" t="str">
            <v>IM42238261</v>
          </cell>
          <cell r="B98" t="str">
            <v>Closed</v>
          </cell>
          <cell r="D98" t="str">
            <v>4 - Low</v>
          </cell>
        </row>
        <row r="99">
          <cell r="A99" t="str">
            <v>IM42239749</v>
          </cell>
          <cell r="B99" t="str">
            <v>Closed</v>
          </cell>
          <cell r="D99" t="str">
            <v>4 - Low</v>
          </cell>
        </row>
        <row r="100">
          <cell r="A100" t="str">
            <v>IM42240842</v>
          </cell>
          <cell r="B100" t="str">
            <v>Closed</v>
          </cell>
          <cell r="C100" t="str">
            <v>Resolve - MISSED</v>
          </cell>
          <cell r="D100" t="str">
            <v>4 - Low</v>
          </cell>
        </row>
        <row r="101">
          <cell r="A101" t="str">
            <v>IM42245864</v>
          </cell>
          <cell r="B101" t="str">
            <v>Closed</v>
          </cell>
          <cell r="D101" t="str">
            <v>4 - Low</v>
          </cell>
        </row>
        <row r="102">
          <cell r="A102" t="str">
            <v>IM42246137</v>
          </cell>
          <cell r="B102" t="str">
            <v>Closed</v>
          </cell>
          <cell r="C102" t="str">
            <v>Resolve - MISSED</v>
          </cell>
          <cell r="D102" t="str">
            <v>3 - Medium</v>
          </cell>
        </row>
        <row r="103">
          <cell r="A103" t="str">
            <v>IM42246206</v>
          </cell>
          <cell r="B103" t="str">
            <v>Closed</v>
          </cell>
          <cell r="C103" t="str">
            <v>Resolve - MISSED</v>
          </cell>
          <cell r="D103" t="str">
            <v>3 - Medium</v>
          </cell>
        </row>
        <row r="104">
          <cell r="A104" t="str">
            <v>IM42274987</v>
          </cell>
          <cell r="B104" t="str">
            <v>Closed</v>
          </cell>
          <cell r="C104" t="str">
            <v>Resolve - Alert 2</v>
          </cell>
          <cell r="D104" t="str">
            <v>4 - Low</v>
          </cell>
        </row>
        <row r="105">
          <cell r="A105" t="str">
            <v>IM42284300</v>
          </cell>
          <cell r="B105" t="str">
            <v>Closed</v>
          </cell>
          <cell r="D105" t="str">
            <v>4 - Low</v>
          </cell>
        </row>
        <row r="106">
          <cell r="A106" t="str">
            <v>IM42284385</v>
          </cell>
          <cell r="B106" t="str">
            <v>Closed</v>
          </cell>
          <cell r="C106" t="str">
            <v>Resolve - Alert 2</v>
          </cell>
          <cell r="D106" t="str">
            <v>4 - Low</v>
          </cell>
        </row>
        <row r="107">
          <cell r="A107" t="str">
            <v>IM42286819</v>
          </cell>
          <cell r="B107" t="str">
            <v>Closed</v>
          </cell>
          <cell r="C107" t="str">
            <v>Resolve - Alert 2</v>
          </cell>
          <cell r="D107" t="str">
            <v>4 - Low</v>
          </cell>
        </row>
        <row r="108">
          <cell r="A108" t="str">
            <v>IM42291214</v>
          </cell>
          <cell r="B108" t="str">
            <v>Closed</v>
          </cell>
          <cell r="D108" t="str">
            <v>4 - Low</v>
          </cell>
        </row>
        <row r="109">
          <cell r="A109" t="str">
            <v>IM42309022</v>
          </cell>
          <cell r="B109" t="str">
            <v>Closed</v>
          </cell>
          <cell r="D109" t="str">
            <v>4 - Low</v>
          </cell>
        </row>
        <row r="110">
          <cell r="A110" t="str">
            <v>IM42315688</v>
          </cell>
          <cell r="B110" t="str">
            <v>Closed</v>
          </cell>
          <cell r="C110" t="str">
            <v>Resolve - MISSED</v>
          </cell>
          <cell r="D110" t="str">
            <v>3 - Medium</v>
          </cell>
        </row>
        <row r="111">
          <cell r="A111" t="str">
            <v>IM42323621</v>
          </cell>
          <cell r="B111" t="str">
            <v>Closed</v>
          </cell>
          <cell r="D111" t="str">
            <v>4 - Low</v>
          </cell>
        </row>
        <row r="112">
          <cell r="A112" t="str">
            <v>IM42327441</v>
          </cell>
          <cell r="B112" t="str">
            <v>Closed</v>
          </cell>
          <cell r="C112" t="str">
            <v>Resolve - Alert 1</v>
          </cell>
          <cell r="D112" t="str">
            <v>4 - Low</v>
          </cell>
        </row>
        <row r="113">
          <cell r="A113" t="str">
            <v>IM42332565</v>
          </cell>
          <cell r="B113" t="str">
            <v>Closed</v>
          </cell>
          <cell r="D113" t="str">
            <v>4 - Low</v>
          </cell>
        </row>
        <row r="114">
          <cell r="A114" t="str">
            <v>IM42333842</v>
          </cell>
          <cell r="B114" t="str">
            <v>Closed</v>
          </cell>
          <cell r="D114" t="str">
            <v>4 - Low</v>
          </cell>
        </row>
        <row r="115">
          <cell r="A115" t="str">
            <v>IM42339166</v>
          </cell>
          <cell r="B115" t="str">
            <v>Closed</v>
          </cell>
          <cell r="D115" t="str">
            <v>4 - Low</v>
          </cell>
        </row>
        <row r="116">
          <cell r="A116" t="str">
            <v>IM42342002</v>
          </cell>
          <cell r="B116" t="str">
            <v>Closed</v>
          </cell>
          <cell r="D116" t="str">
            <v>4 - Low</v>
          </cell>
        </row>
        <row r="117">
          <cell r="A117" t="str">
            <v>IM42351459</v>
          </cell>
          <cell r="B117" t="str">
            <v>Closed</v>
          </cell>
          <cell r="D117" t="str">
            <v>4 - Low</v>
          </cell>
        </row>
        <row r="118">
          <cell r="A118" t="str">
            <v>IM42352521</v>
          </cell>
          <cell r="B118" t="str">
            <v>Closed</v>
          </cell>
          <cell r="D118" t="str">
            <v>4 - Low</v>
          </cell>
        </row>
        <row r="119">
          <cell r="A119" t="str">
            <v>IM42363405</v>
          </cell>
          <cell r="B119" t="str">
            <v>Closed</v>
          </cell>
          <cell r="D119" t="str">
            <v>3 - Medium</v>
          </cell>
        </row>
        <row r="120">
          <cell r="A120" t="str">
            <v>IM42365008</v>
          </cell>
          <cell r="B120" t="str">
            <v>Closed</v>
          </cell>
          <cell r="C120" t="str">
            <v>Resolve - Alert 1</v>
          </cell>
          <cell r="D120" t="str">
            <v>4 - Low</v>
          </cell>
        </row>
        <row r="121">
          <cell r="A121" t="str">
            <v>IM42365216</v>
          </cell>
          <cell r="B121" t="str">
            <v>Closed</v>
          </cell>
          <cell r="C121" t="str">
            <v>Resolve - MISSED</v>
          </cell>
          <cell r="D121" t="str">
            <v>4 - Low</v>
          </cell>
        </row>
        <row r="122">
          <cell r="A122" t="str">
            <v>IM42396907</v>
          </cell>
          <cell r="B122" t="str">
            <v>Closed</v>
          </cell>
          <cell r="D122" t="str">
            <v>4 - Low</v>
          </cell>
        </row>
        <row r="123">
          <cell r="A123" t="str">
            <v>IM42404511</v>
          </cell>
          <cell r="B123" t="str">
            <v>Closed</v>
          </cell>
          <cell r="C123" t="str">
            <v>Resolve - MISSED</v>
          </cell>
          <cell r="D123" t="str">
            <v>4 - Low</v>
          </cell>
        </row>
        <row r="124">
          <cell r="A124" t="str">
            <v>IM42440296</v>
          </cell>
          <cell r="B124" t="str">
            <v>Closed</v>
          </cell>
          <cell r="C124" t="str">
            <v>Resolve - MISSED</v>
          </cell>
          <cell r="D124" t="str">
            <v>4 - Low</v>
          </cell>
        </row>
        <row r="125">
          <cell r="A125" t="str">
            <v>IM42458102</v>
          </cell>
          <cell r="B125" t="str">
            <v>Closed</v>
          </cell>
          <cell r="D125" t="str">
            <v>4 - Low</v>
          </cell>
        </row>
        <row r="126">
          <cell r="A126" t="str">
            <v>IM42459196</v>
          </cell>
          <cell r="B126" t="str">
            <v>Closed</v>
          </cell>
          <cell r="D126" t="str">
            <v>3 - Medium</v>
          </cell>
        </row>
        <row r="127">
          <cell r="A127" t="str">
            <v>IM42459217</v>
          </cell>
          <cell r="B127" t="str">
            <v>Closed</v>
          </cell>
          <cell r="D127" t="str">
            <v>4 - Low</v>
          </cell>
        </row>
        <row r="128">
          <cell r="A128" t="str">
            <v>IM42473128</v>
          </cell>
          <cell r="B128" t="str">
            <v>Closed</v>
          </cell>
          <cell r="C128" t="str">
            <v>Respond - MISSED</v>
          </cell>
          <cell r="D128" t="str">
            <v>4 - Low</v>
          </cell>
        </row>
        <row r="129">
          <cell r="A129" t="str">
            <v>IM42479405</v>
          </cell>
          <cell r="B129" t="str">
            <v>Closed</v>
          </cell>
          <cell r="D129" t="str">
            <v>4 - Low</v>
          </cell>
        </row>
        <row r="130">
          <cell r="A130" t="str">
            <v>IM42533347</v>
          </cell>
          <cell r="B130" t="str">
            <v>Closed</v>
          </cell>
          <cell r="D130" t="str">
            <v>4 - Low</v>
          </cell>
        </row>
        <row r="131">
          <cell r="A131" t="str">
            <v>IM42533362</v>
          </cell>
          <cell r="B131" t="str">
            <v>Closed</v>
          </cell>
          <cell r="D131" t="str">
            <v>4 - Low</v>
          </cell>
        </row>
        <row r="132">
          <cell r="A132" t="str">
            <v>IM42533854</v>
          </cell>
          <cell r="B132" t="str">
            <v>Closed</v>
          </cell>
          <cell r="C132" t="str">
            <v>Resolve - Alert 1</v>
          </cell>
          <cell r="D132" t="str">
            <v>4 - Low</v>
          </cell>
        </row>
        <row r="133">
          <cell r="A133" t="str">
            <v>IM42537761</v>
          </cell>
          <cell r="B133" t="str">
            <v>Closed</v>
          </cell>
          <cell r="D133" t="str">
            <v>4 - Low</v>
          </cell>
        </row>
        <row r="134">
          <cell r="A134" t="str">
            <v>IM42537766</v>
          </cell>
          <cell r="B134" t="str">
            <v>Closed</v>
          </cell>
          <cell r="D134" t="str">
            <v>4 - Low</v>
          </cell>
        </row>
        <row r="135">
          <cell r="A135" t="str">
            <v>IM42560753</v>
          </cell>
          <cell r="B135" t="str">
            <v>Closed</v>
          </cell>
          <cell r="D135" t="str">
            <v>4 - Low</v>
          </cell>
        </row>
        <row r="136">
          <cell r="A136" t="str">
            <v>IM42564775</v>
          </cell>
          <cell r="B136" t="str">
            <v>Closed</v>
          </cell>
          <cell r="D136" t="str">
            <v>2 - High</v>
          </cell>
        </row>
        <row r="137">
          <cell r="A137" t="str">
            <v>IM42566628</v>
          </cell>
          <cell r="B137" t="str">
            <v>Closed</v>
          </cell>
          <cell r="D137" t="str">
            <v>4 - Low</v>
          </cell>
        </row>
        <row r="138">
          <cell r="A138" t="str">
            <v>IM42577306</v>
          </cell>
          <cell r="B138" t="str">
            <v>Closed</v>
          </cell>
          <cell r="D138" t="str">
            <v>4 - Low</v>
          </cell>
        </row>
        <row r="139">
          <cell r="A139" t="str">
            <v>IM42577325</v>
          </cell>
          <cell r="B139" t="str">
            <v>Closed</v>
          </cell>
          <cell r="D139" t="str">
            <v>4 - Low</v>
          </cell>
        </row>
        <row r="140">
          <cell r="A140" t="str">
            <v>IM42577328</v>
          </cell>
          <cell r="B140" t="str">
            <v>Closed</v>
          </cell>
          <cell r="D140" t="str">
            <v>4 - Low</v>
          </cell>
        </row>
        <row r="141">
          <cell r="A141" t="str">
            <v>IM42589474</v>
          </cell>
          <cell r="B141" t="str">
            <v>Closed</v>
          </cell>
          <cell r="D141" t="str">
            <v>4 - Low</v>
          </cell>
        </row>
        <row r="142">
          <cell r="A142" t="str">
            <v>IM42612206</v>
          </cell>
          <cell r="B142" t="str">
            <v>Closed</v>
          </cell>
          <cell r="D142" t="str">
            <v>4 - Low</v>
          </cell>
        </row>
        <row r="143">
          <cell r="A143" t="str">
            <v>IM42616009</v>
          </cell>
          <cell r="B143" t="str">
            <v>Closed</v>
          </cell>
          <cell r="C143" t="str">
            <v>Resolve - MISSED</v>
          </cell>
          <cell r="D143" t="str">
            <v>4 - Low</v>
          </cell>
        </row>
        <row r="144">
          <cell r="A144" t="str">
            <v>IM42633017</v>
          </cell>
          <cell r="B144" t="str">
            <v>Closed</v>
          </cell>
          <cell r="D144" t="str">
            <v>4 - Low</v>
          </cell>
        </row>
        <row r="145">
          <cell r="A145" t="str">
            <v>IM42641309</v>
          </cell>
          <cell r="B145" t="str">
            <v>Closed</v>
          </cell>
          <cell r="D145" t="str">
            <v>4 - Low</v>
          </cell>
        </row>
        <row r="146">
          <cell r="A146" t="str">
            <v>IM42657426</v>
          </cell>
          <cell r="B146" t="str">
            <v>Closed</v>
          </cell>
          <cell r="D146" t="str">
            <v>4 - Low</v>
          </cell>
        </row>
        <row r="147">
          <cell r="A147" t="str">
            <v>IM42664133</v>
          </cell>
          <cell r="B147" t="str">
            <v>Closed</v>
          </cell>
          <cell r="C147" t="str">
            <v>Respond - Alert 1</v>
          </cell>
          <cell r="D147" t="str">
            <v>4 - Low</v>
          </cell>
        </row>
        <row r="148">
          <cell r="A148" t="str">
            <v>IM42683083</v>
          </cell>
          <cell r="B148" t="str">
            <v>Closed</v>
          </cell>
          <cell r="D148" t="str">
            <v>4 - Low</v>
          </cell>
        </row>
        <row r="149">
          <cell r="A149" t="str">
            <v>IM42686490</v>
          </cell>
          <cell r="B149" t="str">
            <v>Closed</v>
          </cell>
          <cell r="D149" t="str">
            <v>4 - Low</v>
          </cell>
        </row>
        <row r="150">
          <cell r="A150" t="str">
            <v>IM42686701</v>
          </cell>
          <cell r="B150" t="str">
            <v>Closed</v>
          </cell>
          <cell r="D150" t="str">
            <v>3 - Medium</v>
          </cell>
        </row>
        <row r="151">
          <cell r="A151" t="str">
            <v>IM42688707</v>
          </cell>
          <cell r="B151" t="str">
            <v>Closed</v>
          </cell>
          <cell r="C151" t="str">
            <v>Resolve - MISSED</v>
          </cell>
          <cell r="D151" t="str">
            <v>4 - Low</v>
          </cell>
        </row>
        <row r="152">
          <cell r="A152" t="str">
            <v>IM42691846</v>
          </cell>
          <cell r="B152" t="str">
            <v>Closed</v>
          </cell>
          <cell r="D152" t="str">
            <v>4 - Low</v>
          </cell>
        </row>
        <row r="153">
          <cell r="A153" t="str">
            <v>IM42692819</v>
          </cell>
          <cell r="B153" t="str">
            <v>Closed</v>
          </cell>
          <cell r="D153" t="str">
            <v>4 - Low</v>
          </cell>
        </row>
        <row r="154">
          <cell r="A154" t="str">
            <v>IM42696861</v>
          </cell>
          <cell r="B154" t="str">
            <v>Closed</v>
          </cell>
          <cell r="C154" t="str">
            <v>Resolve - Alert 2</v>
          </cell>
          <cell r="D154" t="str">
            <v>4 - Low</v>
          </cell>
        </row>
        <row r="155">
          <cell r="A155" t="str">
            <v>IM42698082</v>
          </cell>
          <cell r="B155" t="str">
            <v>Closed</v>
          </cell>
          <cell r="C155" t="str">
            <v>Resolve - Alert 2</v>
          </cell>
          <cell r="D155" t="str">
            <v>4 - Low</v>
          </cell>
        </row>
        <row r="156">
          <cell r="A156" t="str">
            <v>IM42703161</v>
          </cell>
          <cell r="B156" t="str">
            <v>Closed</v>
          </cell>
          <cell r="D156" t="str">
            <v>4 - Low</v>
          </cell>
        </row>
        <row r="157">
          <cell r="A157" t="str">
            <v>IM42703634</v>
          </cell>
          <cell r="B157" t="str">
            <v>Closed</v>
          </cell>
          <cell r="D157" t="str">
            <v>4 - Low</v>
          </cell>
        </row>
        <row r="158">
          <cell r="A158" t="str">
            <v>IM42714818</v>
          </cell>
          <cell r="B158" t="str">
            <v>Closed</v>
          </cell>
          <cell r="D158" t="str">
            <v>4 - Low</v>
          </cell>
        </row>
        <row r="159">
          <cell r="A159" t="str">
            <v>IM42714822</v>
          </cell>
          <cell r="B159" t="str">
            <v>Closed</v>
          </cell>
          <cell r="D159" t="str">
            <v>4 - Low</v>
          </cell>
        </row>
        <row r="160">
          <cell r="A160" t="str">
            <v>IM42727856</v>
          </cell>
          <cell r="B160" t="str">
            <v>Closed</v>
          </cell>
          <cell r="D160" t="str">
            <v>4 - Low</v>
          </cell>
        </row>
        <row r="161">
          <cell r="A161" t="str">
            <v>IM42736991</v>
          </cell>
          <cell r="B161" t="str">
            <v>Closed</v>
          </cell>
          <cell r="D161" t="str">
            <v>4 - Low</v>
          </cell>
        </row>
        <row r="162">
          <cell r="A162" t="str">
            <v>IM42753581</v>
          </cell>
          <cell r="B162" t="str">
            <v>Closed</v>
          </cell>
          <cell r="D162" t="str">
            <v>4 - Low</v>
          </cell>
        </row>
        <row r="163">
          <cell r="A163" t="str">
            <v>IM42761547</v>
          </cell>
          <cell r="B163" t="str">
            <v>Closed</v>
          </cell>
          <cell r="C163" t="str">
            <v>Resolve - Alert 2</v>
          </cell>
          <cell r="D163" t="str">
            <v>4 - Low</v>
          </cell>
        </row>
        <row r="164">
          <cell r="A164" t="str">
            <v>IM42768464</v>
          </cell>
          <cell r="B164" t="str">
            <v>Closed</v>
          </cell>
          <cell r="C164" t="str">
            <v>Resolve - Alert 2</v>
          </cell>
          <cell r="D164" t="str">
            <v>4 - Low</v>
          </cell>
        </row>
        <row r="165">
          <cell r="A165" t="str">
            <v>IM42772653</v>
          </cell>
          <cell r="B165" t="str">
            <v>Closed</v>
          </cell>
          <cell r="C165" t="str">
            <v>Respond - Alert 2</v>
          </cell>
          <cell r="D165" t="str">
            <v>4 - Low</v>
          </cell>
        </row>
        <row r="166">
          <cell r="A166" t="str">
            <v>IM42795571</v>
          </cell>
          <cell r="B166" t="str">
            <v>Closed</v>
          </cell>
          <cell r="C166" t="str">
            <v>Resolve - Alert 1</v>
          </cell>
          <cell r="D166" t="str">
            <v>4 - Low</v>
          </cell>
        </row>
        <row r="167">
          <cell r="A167" t="str">
            <v>IM42814992</v>
          </cell>
          <cell r="B167" t="str">
            <v>Closed</v>
          </cell>
          <cell r="D167" t="str">
            <v>4 - Low</v>
          </cell>
        </row>
        <row r="168">
          <cell r="A168" t="str">
            <v>IM42820445</v>
          </cell>
          <cell r="B168" t="str">
            <v>Closed</v>
          </cell>
          <cell r="D168" t="str">
            <v>4 - Low</v>
          </cell>
        </row>
        <row r="169">
          <cell r="A169" t="str">
            <v>IM42868097</v>
          </cell>
          <cell r="B169" t="str">
            <v>Closed</v>
          </cell>
          <cell r="D169" t="str">
            <v>4 - Low</v>
          </cell>
        </row>
        <row r="170">
          <cell r="A170" t="str">
            <v>IM42880199</v>
          </cell>
          <cell r="B170" t="str">
            <v>Closed</v>
          </cell>
          <cell r="C170" t="str">
            <v>Resolve - MISSED</v>
          </cell>
          <cell r="D170" t="str">
            <v>3 - Medium</v>
          </cell>
        </row>
        <row r="171">
          <cell r="A171" t="str">
            <v>IM42905363</v>
          </cell>
          <cell r="B171" t="str">
            <v>Closed</v>
          </cell>
          <cell r="D171" t="str">
            <v>4 - Low</v>
          </cell>
        </row>
        <row r="172">
          <cell r="A172" t="str">
            <v>IM42907887</v>
          </cell>
          <cell r="B172" t="str">
            <v>Closed</v>
          </cell>
          <cell r="C172" t="str">
            <v>Resolve - Alert 1</v>
          </cell>
          <cell r="D172" t="str">
            <v>4 - Low</v>
          </cell>
        </row>
        <row r="173">
          <cell r="A173" t="str">
            <v>IM42932065</v>
          </cell>
          <cell r="B173" t="str">
            <v>Closed</v>
          </cell>
          <cell r="C173" t="str">
            <v>Respond - Alert 1</v>
          </cell>
          <cell r="D173" t="str">
            <v>4 - Low</v>
          </cell>
        </row>
        <row r="174">
          <cell r="A174" t="str">
            <v>IM42945815</v>
          </cell>
          <cell r="B174" t="str">
            <v>Closed</v>
          </cell>
          <cell r="D174" t="str">
            <v>3 - Medium</v>
          </cell>
        </row>
        <row r="175">
          <cell r="A175" t="str">
            <v>IM42956217</v>
          </cell>
          <cell r="B175" t="str">
            <v>Closed</v>
          </cell>
          <cell r="D175" t="str">
            <v>4 - Low</v>
          </cell>
        </row>
        <row r="176">
          <cell r="A176" t="str">
            <v>IM42963870</v>
          </cell>
          <cell r="B176" t="str">
            <v>Closed</v>
          </cell>
          <cell r="D176" t="str">
            <v>4 - Low</v>
          </cell>
        </row>
        <row r="177">
          <cell r="A177" t="str">
            <v>IM42989972</v>
          </cell>
          <cell r="B177" t="str">
            <v>Closed</v>
          </cell>
          <cell r="D177" t="str">
            <v>4 - Low</v>
          </cell>
        </row>
        <row r="178">
          <cell r="A178" t="str">
            <v>IM43013035</v>
          </cell>
          <cell r="B178" t="str">
            <v>Closed</v>
          </cell>
          <cell r="D178" t="str">
            <v>3 - Medium</v>
          </cell>
        </row>
        <row r="179">
          <cell r="A179" t="str">
            <v>IM43027980</v>
          </cell>
          <cell r="B179" t="str">
            <v>Closed</v>
          </cell>
          <cell r="D179" t="str">
            <v>4 - Low</v>
          </cell>
        </row>
        <row r="180">
          <cell r="A180" t="str">
            <v>IM43033706</v>
          </cell>
          <cell r="B180" t="str">
            <v>Closed</v>
          </cell>
          <cell r="D180" t="str">
            <v>2 - High</v>
          </cell>
        </row>
        <row r="181">
          <cell r="A181" t="str">
            <v>IM43034145</v>
          </cell>
          <cell r="B181" t="str">
            <v>Closed</v>
          </cell>
          <cell r="C181" t="str">
            <v>Resolve - MISSED</v>
          </cell>
          <cell r="D181" t="str">
            <v>2 - High</v>
          </cell>
        </row>
        <row r="182">
          <cell r="A182" t="str">
            <v>IM43045690</v>
          </cell>
          <cell r="B182" t="str">
            <v>Closed</v>
          </cell>
          <cell r="C182" t="str">
            <v>Resolve - Alert 1</v>
          </cell>
          <cell r="D182" t="str">
            <v>4 - Low</v>
          </cell>
        </row>
        <row r="183">
          <cell r="A183" t="str">
            <v>IM43049622</v>
          </cell>
          <cell r="B183" t="str">
            <v>Closed</v>
          </cell>
          <cell r="C183" t="str">
            <v>Resolve - Alert 2</v>
          </cell>
          <cell r="D183" t="str">
            <v>4 - Low</v>
          </cell>
        </row>
        <row r="184">
          <cell r="A184" t="str">
            <v>IM43059608</v>
          </cell>
          <cell r="B184" t="str">
            <v>Closed</v>
          </cell>
          <cell r="C184" t="str">
            <v>Resolve - Alert 2</v>
          </cell>
          <cell r="D184" t="str">
            <v>4 - Low</v>
          </cell>
        </row>
        <row r="185">
          <cell r="A185" t="str">
            <v>IM43060502</v>
          </cell>
          <cell r="B185" t="str">
            <v>Closed</v>
          </cell>
          <cell r="D185" t="str">
            <v>4 - Low</v>
          </cell>
        </row>
        <row r="186">
          <cell r="A186" t="str">
            <v>IM43064211</v>
          </cell>
          <cell r="B186" t="str">
            <v>Closed</v>
          </cell>
          <cell r="C186" t="str">
            <v>Resolve - Alert 1</v>
          </cell>
          <cell r="D186" t="str">
            <v>4 - Low</v>
          </cell>
        </row>
        <row r="187">
          <cell r="A187" t="str">
            <v>IM43065861</v>
          </cell>
          <cell r="B187" t="str">
            <v>Closed</v>
          </cell>
          <cell r="C187" t="str">
            <v>Resolve - Alert 1</v>
          </cell>
          <cell r="D187" t="str">
            <v>3 - Medium</v>
          </cell>
        </row>
        <row r="188">
          <cell r="A188" t="str">
            <v>IM43067170</v>
          </cell>
          <cell r="B188" t="str">
            <v>Closed</v>
          </cell>
          <cell r="C188" t="str">
            <v>Resolve - MISSED</v>
          </cell>
          <cell r="D188" t="str">
            <v>4 - Low</v>
          </cell>
        </row>
        <row r="189">
          <cell r="A189" t="str">
            <v>IM43089864</v>
          </cell>
          <cell r="B189" t="str">
            <v>Closed</v>
          </cell>
          <cell r="C189" t="str">
            <v>Resolve - MISSED</v>
          </cell>
          <cell r="D189" t="str">
            <v>4 - Low</v>
          </cell>
        </row>
        <row r="190">
          <cell r="A190" t="str">
            <v>IM43091810</v>
          </cell>
          <cell r="B190" t="str">
            <v>Closed</v>
          </cell>
          <cell r="C190" t="str">
            <v>Resolve - MISSED</v>
          </cell>
          <cell r="D190" t="str">
            <v>3 - Medium</v>
          </cell>
        </row>
        <row r="191">
          <cell r="A191" t="str">
            <v>IM43091857</v>
          </cell>
          <cell r="B191" t="str">
            <v>Closed</v>
          </cell>
          <cell r="C191" t="str">
            <v>Resolve - MISSED</v>
          </cell>
          <cell r="D191" t="str">
            <v>4 - Low</v>
          </cell>
        </row>
        <row r="192">
          <cell r="A192" t="str">
            <v>IM43091906</v>
          </cell>
          <cell r="B192" t="str">
            <v>Closed</v>
          </cell>
          <cell r="C192" t="str">
            <v>Resolve - MISSED</v>
          </cell>
          <cell r="D192" t="str">
            <v>4 - Low</v>
          </cell>
        </row>
        <row r="193">
          <cell r="A193" t="str">
            <v>IM43091925</v>
          </cell>
          <cell r="B193" t="str">
            <v>Closed</v>
          </cell>
          <cell r="C193" t="str">
            <v>Resolve - Alert 2</v>
          </cell>
          <cell r="D193" t="str">
            <v>4 - Low</v>
          </cell>
        </row>
        <row r="194">
          <cell r="A194" t="str">
            <v>IM43092020</v>
          </cell>
          <cell r="B194" t="str">
            <v>Closed</v>
          </cell>
          <cell r="C194" t="str">
            <v>Resolve - MISSED</v>
          </cell>
          <cell r="D194" t="str">
            <v>4 - Low</v>
          </cell>
        </row>
        <row r="195">
          <cell r="A195" t="str">
            <v>IM43092056</v>
          </cell>
          <cell r="B195" t="str">
            <v>Closed</v>
          </cell>
          <cell r="C195" t="str">
            <v>Resolve - MISSED</v>
          </cell>
          <cell r="D195" t="str">
            <v>4 - Low</v>
          </cell>
        </row>
        <row r="196">
          <cell r="A196" t="str">
            <v>IM43092077</v>
          </cell>
          <cell r="B196" t="str">
            <v>Closed</v>
          </cell>
          <cell r="C196" t="str">
            <v>Resolve - MISSED</v>
          </cell>
          <cell r="D196" t="str">
            <v>4 - Low</v>
          </cell>
        </row>
        <row r="197">
          <cell r="A197" t="str">
            <v>IM43096464</v>
          </cell>
          <cell r="B197" t="str">
            <v>Closed</v>
          </cell>
          <cell r="D197" t="str">
            <v>4 - Low</v>
          </cell>
        </row>
        <row r="198">
          <cell r="A198" t="str">
            <v>IM43096470</v>
          </cell>
          <cell r="B198" t="str">
            <v>Closed</v>
          </cell>
          <cell r="D198" t="str">
            <v>4 - Low</v>
          </cell>
        </row>
        <row r="199">
          <cell r="A199" t="str">
            <v>IM43100107</v>
          </cell>
          <cell r="B199" t="str">
            <v>Closed</v>
          </cell>
          <cell r="C199" t="str">
            <v>Respond - Alert 1</v>
          </cell>
          <cell r="D199" t="str">
            <v>3 - Medium</v>
          </cell>
        </row>
        <row r="200">
          <cell r="A200" t="str">
            <v>IM43101285</v>
          </cell>
          <cell r="B200" t="str">
            <v>Closed</v>
          </cell>
          <cell r="D200" t="str">
            <v>3 - Medium</v>
          </cell>
        </row>
        <row r="201">
          <cell r="A201" t="str">
            <v>IM43133791</v>
          </cell>
          <cell r="B201" t="str">
            <v>Closed</v>
          </cell>
          <cell r="C201" t="str">
            <v>Respond - Alert 1</v>
          </cell>
          <cell r="D201" t="str">
            <v>2 - High</v>
          </cell>
        </row>
        <row r="202">
          <cell r="A202" t="str">
            <v>IM43133830</v>
          </cell>
          <cell r="B202" t="str">
            <v>Closed</v>
          </cell>
          <cell r="C202" t="str">
            <v>Respond - Alert 1</v>
          </cell>
          <cell r="D202" t="str">
            <v>2 - High</v>
          </cell>
        </row>
        <row r="203">
          <cell r="A203" t="str">
            <v>IM43166875</v>
          </cell>
          <cell r="B203" t="str">
            <v>Closed</v>
          </cell>
          <cell r="C203" t="str">
            <v>Respond - Alert 1</v>
          </cell>
          <cell r="D203" t="str">
            <v>2 - High</v>
          </cell>
        </row>
        <row r="204">
          <cell r="A204" t="str">
            <v>IM43195133</v>
          </cell>
          <cell r="B204" t="str">
            <v>Closed</v>
          </cell>
          <cell r="D204" t="str">
            <v>4 - Low</v>
          </cell>
        </row>
        <row r="205">
          <cell r="A205" t="str">
            <v>IM43196350</v>
          </cell>
          <cell r="B205" t="str">
            <v>Closed</v>
          </cell>
          <cell r="C205" t="str">
            <v>Resolve - Alert 1</v>
          </cell>
          <cell r="D205" t="str">
            <v>2 - High</v>
          </cell>
        </row>
        <row r="206">
          <cell r="A206" t="str">
            <v>IM43198728</v>
          </cell>
          <cell r="B206" t="str">
            <v>Closed</v>
          </cell>
          <cell r="C206" t="str">
            <v>Resolve - Alert 2</v>
          </cell>
          <cell r="D206" t="str">
            <v>4 - Low</v>
          </cell>
        </row>
        <row r="207">
          <cell r="A207" t="str">
            <v>IM43198734</v>
          </cell>
          <cell r="B207" t="str">
            <v>Closed</v>
          </cell>
          <cell r="C207" t="str">
            <v>Resolve - Alert 1</v>
          </cell>
          <cell r="D207" t="str">
            <v>4 - Low</v>
          </cell>
        </row>
        <row r="208">
          <cell r="A208" t="str">
            <v>IM43204647</v>
          </cell>
          <cell r="B208" t="str">
            <v>Closed</v>
          </cell>
          <cell r="C208" t="str">
            <v>Resolve - Alert 1</v>
          </cell>
          <cell r="D208" t="str">
            <v>4 - Low</v>
          </cell>
        </row>
        <row r="209">
          <cell r="A209" t="str">
            <v>IM43204653</v>
          </cell>
          <cell r="B209" t="str">
            <v>Closed</v>
          </cell>
          <cell r="C209" t="str">
            <v>Resolve - Alert 1</v>
          </cell>
          <cell r="D209" t="str">
            <v>4 - Low</v>
          </cell>
        </row>
        <row r="210">
          <cell r="A210" t="str">
            <v>IM43220441</v>
          </cell>
          <cell r="B210" t="str">
            <v>Closed</v>
          </cell>
          <cell r="C210" t="str">
            <v>Resolve - Alert 1</v>
          </cell>
          <cell r="D210" t="str">
            <v>3 - Medium</v>
          </cell>
        </row>
        <row r="211">
          <cell r="A211" t="str">
            <v>IM43248509</v>
          </cell>
          <cell r="B211" t="str">
            <v>Closed</v>
          </cell>
          <cell r="D211" t="str">
            <v>4 - Low</v>
          </cell>
        </row>
        <row r="212">
          <cell r="A212" t="str">
            <v>IM43249632</v>
          </cell>
          <cell r="B212" t="str">
            <v>Closed</v>
          </cell>
          <cell r="C212" t="str">
            <v>Resolve - MISSED</v>
          </cell>
          <cell r="D212" t="str">
            <v>3 - Medium</v>
          </cell>
        </row>
        <row r="213">
          <cell r="A213" t="str">
            <v>IM43249837</v>
          </cell>
          <cell r="B213" t="str">
            <v>Closed</v>
          </cell>
          <cell r="C213" t="str">
            <v>Resolve - MISSED</v>
          </cell>
          <cell r="D213" t="str">
            <v>3 - Medium</v>
          </cell>
        </row>
        <row r="214">
          <cell r="A214" t="str">
            <v>IM43252914</v>
          </cell>
          <cell r="B214" t="str">
            <v>Closed</v>
          </cell>
          <cell r="D214" t="str">
            <v>4 - Low</v>
          </cell>
        </row>
        <row r="215">
          <cell r="A215" t="str">
            <v>IM43259740</v>
          </cell>
          <cell r="B215" t="str">
            <v>Closed</v>
          </cell>
          <cell r="D215" t="str">
            <v>4 - Low</v>
          </cell>
        </row>
        <row r="216">
          <cell r="A216" t="str">
            <v>IM43262030</v>
          </cell>
          <cell r="B216" t="str">
            <v>Closed</v>
          </cell>
          <cell r="C216" t="str">
            <v>Resolve - MISSED</v>
          </cell>
          <cell r="D216" t="str">
            <v>3 - Medium</v>
          </cell>
        </row>
        <row r="217">
          <cell r="A217" t="str">
            <v>IM43333227</v>
          </cell>
          <cell r="B217" t="str">
            <v>Closed</v>
          </cell>
          <cell r="C217" t="str">
            <v>Resolve - MISSED</v>
          </cell>
          <cell r="D217" t="str">
            <v>4 - Low</v>
          </cell>
        </row>
        <row r="218">
          <cell r="A218" t="str">
            <v>IM43340731</v>
          </cell>
          <cell r="B218" t="str">
            <v>Closed</v>
          </cell>
          <cell r="C218" t="str">
            <v>Resolve - Alert 1</v>
          </cell>
          <cell r="D218" t="str">
            <v>4 - Low</v>
          </cell>
        </row>
        <row r="219">
          <cell r="A219" t="str">
            <v>IM43345676</v>
          </cell>
          <cell r="B219" t="str">
            <v>Closed</v>
          </cell>
          <cell r="C219" t="str">
            <v>Resolve - Alert 1</v>
          </cell>
          <cell r="D219" t="str">
            <v>4 - Low</v>
          </cell>
        </row>
        <row r="220">
          <cell r="A220" t="str">
            <v>IM43347198</v>
          </cell>
          <cell r="B220" t="str">
            <v>Closed</v>
          </cell>
          <cell r="D220" t="str">
            <v>3 - Medium</v>
          </cell>
        </row>
        <row r="221">
          <cell r="A221" t="str">
            <v>IM43351166</v>
          </cell>
          <cell r="B221" t="str">
            <v>Closed</v>
          </cell>
          <cell r="C221" t="str">
            <v>Resolve - Alert 1</v>
          </cell>
          <cell r="D221" t="str">
            <v>4 - Low</v>
          </cell>
        </row>
        <row r="222">
          <cell r="A222" t="str">
            <v>IM43356781</v>
          </cell>
          <cell r="B222" t="str">
            <v>Closed</v>
          </cell>
          <cell r="C222" t="str">
            <v>Resolve - Alert 1</v>
          </cell>
          <cell r="D222" t="str">
            <v>4 - Low</v>
          </cell>
        </row>
        <row r="223">
          <cell r="A223" t="str">
            <v>IM43376471</v>
          </cell>
          <cell r="B223" t="str">
            <v>Closed</v>
          </cell>
          <cell r="C223" t="str">
            <v>Resolve - MISSED</v>
          </cell>
          <cell r="D223" t="str">
            <v>2 - High</v>
          </cell>
        </row>
        <row r="224">
          <cell r="A224" t="str">
            <v>IM43400754</v>
          </cell>
          <cell r="B224" t="str">
            <v>Closed</v>
          </cell>
          <cell r="D224" t="str">
            <v>4 - Low</v>
          </cell>
        </row>
        <row r="225">
          <cell r="A225" t="str">
            <v>IM43410763</v>
          </cell>
          <cell r="B225" t="str">
            <v>Closed</v>
          </cell>
          <cell r="D225" t="str">
            <v>3 - Medium</v>
          </cell>
        </row>
        <row r="226">
          <cell r="A226" t="str">
            <v>IM43441056</v>
          </cell>
          <cell r="B226" t="str">
            <v>Closed</v>
          </cell>
          <cell r="C226" t="str">
            <v>Respond - Alert 1</v>
          </cell>
          <cell r="D226" t="str">
            <v>2 - High</v>
          </cell>
        </row>
        <row r="227">
          <cell r="A227" t="str">
            <v>IM43448647</v>
          </cell>
          <cell r="B227" t="str">
            <v>Closed</v>
          </cell>
          <cell r="C227" t="str">
            <v>Resolve - MISSED</v>
          </cell>
          <cell r="D227" t="str">
            <v>3 - Medium</v>
          </cell>
        </row>
        <row r="228">
          <cell r="A228" t="str">
            <v>IM43457934</v>
          </cell>
          <cell r="B228" t="str">
            <v>Closed</v>
          </cell>
          <cell r="D228" t="str">
            <v>4 - Low</v>
          </cell>
        </row>
        <row r="229">
          <cell r="A229" t="str">
            <v>IM43481972</v>
          </cell>
          <cell r="B229" t="str">
            <v>Closed</v>
          </cell>
          <cell r="C229" t="str">
            <v>Resolve - Alert 1</v>
          </cell>
          <cell r="D229" t="str">
            <v>4 - Low</v>
          </cell>
        </row>
        <row r="230">
          <cell r="A230" t="str">
            <v>IM43493652</v>
          </cell>
          <cell r="B230" t="str">
            <v>Closed</v>
          </cell>
          <cell r="D230" t="str">
            <v>4 - Low</v>
          </cell>
        </row>
        <row r="231">
          <cell r="A231" t="str">
            <v>IM43503904</v>
          </cell>
          <cell r="B231" t="str">
            <v>Closed</v>
          </cell>
          <cell r="C231" t="str">
            <v>Resolve - Alert 1</v>
          </cell>
          <cell r="D231" t="str">
            <v>4 - Low</v>
          </cell>
        </row>
        <row r="232">
          <cell r="A232" t="str">
            <v>IM43503921</v>
          </cell>
          <cell r="B232" t="str">
            <v>Closed</v>
          </cell>
          <cell r="C232" t="str">
            <v>Resolve - Alert 1</v>
          </cell>
          <cell r="D232" t="str">
            <v>4 - Low</v>
          </cell>
        </row>
        <row r="233">
          <cell r="A233" t="str">
            <v>IM43508307</v>
          </cell>
          <cell r="B233" t="str">
            <v>Closed</v>
          </cell>
          <cell r="C233" t="str">
            <v>Resolve - Alert 1</v>
          </cell>
          <cell r="D233" t="str">
            <v>4 - Low</v>
          </cell>
        </row>
        <row r="234">
          <cell r="A234" t="str">
            <v>IM43513838</v>
          </cell>
          <cell r="B234" t="str">
            <v>Closed</v>
          </cell>
          <cell r="D234" t="str">
            <v>4 - Low</v>
          </cell>
        </row>
        <row r="235">
          <cell r="A235" t="str">
            <v>IM43513866</v>
          </cell>
          <cell r="B235" t="str">
            <v>Closed</v>
          </cell>
          <cell r="D235" t="str">
            <v>4 - Low</v>
          </cell>
        </row>
        <row r="236">
          <cell r="A236" t="str">
            <v>IM43513922</v>
          </cell>
          <cell r="B236" t="str">
            <v>Closed</v>
          </cell>
          <cell r="C236" t="str">
            <v>Resolve - Alert 1</v>
          </cell>
          <cell r="D236" t="str">
            <v>4 - Low</v>
          </cell>
        </row>
        <row r="237">
          <cell r="A237" t="str">
            <v>IM43517604</v>
          </cell>
          <cell r="B237" t="str">
            <v>Closed</v>
          </cell>
          <cell r="D237" t="str">
            <v>4 - Low</v>
          </cell>
        </row>
        <row r="238">
          <cell r="A238" t="str">
            <v>IM43517670</v>
          </cell>
          <cell r="B238" t="str">
            <v>Closed</v>
          </cell>
          <cell r="D238" t="str">
            <v>4 - Low</v>
          </cell>
        </row>
        <row r="239">
          <cell r="A239" t="str">
            <v>IM43517678</v>
          </cell>
          <cell r="B239" t="str">
            <v>Closed</v>
          </cell>
          <cell r="D239" t="str">
            <v>4 - Low</v>
          </cell>
        </row>
        <row r="240">
          <cell r="A240" t="str">
            <v>IM43517690</v>
          </cell>
          <cell r="B240" t="str">
            <v>Closed</v>
          </cell>
          <cell r="C240" t="str">
            <v>Resolve - Alert 1</v>
          </cell>
          <cell r="D240" t="str">
            <v>4 - Low</v>
          </cell>
        </row>
        <row r="241">
          <cell r="A241" t="str">
            <v>IM43522134</v>
          </cell>
          <cell r="B241" t="str">
            <v>Closed</v>
          </cell>
          <cell r="D241" t="str">
            <v>4 - Low</v>
          </cell>
        </row>
        <row r="242">
          <cell r="A242" t="str">
            <v>IM43538168</v>
          </cell>
          <cell r="B242" t="str">
            <v>Closed</v>
          </cell>
          <cell r="D242" t="str">
            <v>4 - Low</v>
          </cell>
        </row>
        <row r="243">
          <cell r="A243" t="str">
            <v>IM43538204</v>
          </cell>
          <cell r="B243" t="str">
            <v>Closed</v>
          </cell>
          <cell r="D243" t="str">
            <v>4 - Low</v>
          </cell>
        </row>
        <row r="244">
          <cell r="A244" t="str">
            <v>IM43538390</v>
          </cell>
          <cell r="B244" t="str">
            <v>Closed</v>
          </cell>
          <cell r="D244" t="str">
            <v>4 - Low</v>
          </cell>
        </row>
        <row r="245">
          <cell r="A245" t="str">
            <v>IM43538635</v>
          </cell>
          <cell r="B245" t="str">
            <v>Closed</v>
          </cell>
          <cell r="D245" t="str">
            <v>4 - Low</v>
          </cell>
        </row>
        <row r="246">
          <cell r="A246" t="str">
            <v>IM43542108</v>
          </cell>
          <cell r="B246" t="str">
            <v>Closed</v>
          </cell>
          <cell r="D246" t="str">
            <v>4 - Low</v>
          </cell>
        </row>
        <row r="247">
          <cell r="A247" t="str">
            <v>IM43542113</v>
          </cell>
          <cell r="B247" t="str">
            <v>Closed</v>
          </cell>
          <cell r="D247" t="str">
            <v>4 - Low</v>
          </cell>
        </row>
        <row r="248">
          <cell r="A248" t="str">
            <v>IM43543922</v>
          </cell>
          <cell r="B248" t="str">
            <v>Closed</v>
          </cell>
          <cell r="D248" t="str">
            <v>2 - High</v>
          </cell>
        </row>
        <row r="249">
          <cell r="A249" t="str">
            <v>IM43546582</v>
          </cell>
          <cell r="B249" t="str">
            <v>Closed</v>
          </cell>
          <cell r="D249" t="str">
            <v>4 - Low</v>
          </cell>
        </row>
        <row r="250">
          <cell r="A250" t="str">
            <v>IM43546622</v>
          </cell>
          <cell r="B250" t="str">
            <v>Closed</v>
          </cell>
          <cell r="D250" t="str">
            <v>4 - Low</v>
          </cell>
        </row>
        <row r="251">
          <cell r="A251" t="str">
            <v>IM43554586</v>
          </cell>
          <cell r="B251" t="str">
            <v>Closed</v>
          </cell>
          <cell r="D251" t="str">
            <v>4 - Low</v>
          </cell>
        </row>
        <row r="252">
          <cell r="A252" t="str">
            <v>IM43554605</v>
          </cell>
          <cell r="B252" t="str">
            <v>Closed</v>
          </cell>
          <cell r="D252" t="str">
            <v>4 - Low</v>
          </cell>
        </row>
        <row r="253">
          <cell r="A253" t="str">
            <v>IM43554619</v>
          </cell>
          <cell r="B253" t="str">
            <v>Closed</v>
          </cell>
          <cell r="D253" t="str">
            <v>4 - Low</v>
          </cell>
        </row>
        <row r="254">
          <cell r="A254" t="str">
            <v>IM43558381</v>
          </cell>
          <cell r="B254" t="str">
            <v>Closed</v>
          </cell>
          <cell r="D254" t="str">
            <v>4 - Low</v>
          </cell>
        </row>
        <row r="255">
          <cell r="A255" t="str">
            <v>IM43558405</v>
          </cell>
          <cell r="B255" t="str">
            <v>Closed</v>
          </cell>
          <cell r="D255" t="str">
            <v>4 - Low</v>
          </cell>
        </row>
        <row r="256">
          <cell r="A256" t="str">
            <v>IM43563376</v>
          </cell>
          <cell r="B256" t="str">
            <v>Closed</v>
          </cell>
          <cell r="D256" t="str">
            <v>4 - Low</v>
          </cell>
        </row>
        <row r="257">
          <cell r="A257" t="str">
            <v>IM43570684</v>
          </cell>
          <cell r="B257" t="str">
            <v>Closed</v>
          </cell>
          <cell r="C257" t="str">
            <v>Respond - Alert 1</v>
          </cell>
          <cell r="D257" t="str">
            <v>3 - Medium</v>
          </cell>
        </row>
        <row r="258">
          <cell r="A258" t="str">
            <v>IM43572432</v>
          </cell>
          <cell r="B258" t="str">
            <v>Closed</v>
          </cell>
          <cell r="D258" t="str">
            <v>3 - Medium</v>
          </cell>
        </row>
        <row r="259">
          <cell r="A259" t="str">
            <v>IM43574325</v>
          </cell>
          <cell r="B259" t="str">
            <v>Closed</v>
          </cell>
          <cell r="D259" t="str">
            <v>3 - Medium</v>
          </cell>
        </row>
        <row r="260">
          <cell r="A260" t="str">
            <v>IM43574680</v>
          </cell>
          <cell r="B260" t="str">
            <v>Closed</v>
          </cell>
          <cell r="C260" t="str">
            <v>Resolve - MISSED</v>
          </cell>
          <cell r="D260" t="str">
            <v>4 - Low</v>
          </cell>
        </row>
        <row r="261">
          <cell r="A261" t="str">
            <v>IM43574695</v>
          </cell>
          <cell r="B261" t="str">
            <v>Closed</v>
          </cell>
          <cell r="C261" t="str">
            <v>Resolve - MISSED</v>
          </cell>
          <cell r="D261" t="str">
            <v>4 - Low</v>
          </cell>
        </row>
        <row r="262">
          <cell r="A262" t="str">
            <v>IM43574699</v>
          </cell>
          <cell r="B262" t="str">
            <v>Closed</v>
          </cell>
          <cell r="C262" t="str">
            <v>Resolve - MISSED</v>
          </cell>
          <cell r="D262" t="str">
            <v>4 - Low</v>
          </cell>
        </row>
        <row r="263">
          <cell r="A263" t="str">
            <v>IM43586372</v>
          </cell>
          <cell r="B263" t="str">
            <v>Closed</v>
          </cell>
          <cell r="D263" t="str">
            <v>4 - Low</v>
          </cell>
        </row>
        <row r="264">
          <cell r="A264" t="str">
            <v>IM43586411</v>
          </cell>
          <cell r="B264" t="str">
            <v>Closed</v>
          </cell>
          <cell r="C264" t="str">
            <v>Resolve - Alert 1</v>
          </cell>
          <cell r="D264" t="str">
            <v>4 - Low</v>
          </cell>
        </row>
        <row r="265">
          <cell r="A265" t="str">
            <v>IM43600660</v>
          </cell>
          <cell r="B265" t="str">
            <v>Closed</v>
          </cell>
          <cell r="D265" t="str">
            <v>4 - Low</v>
          </cell>
        </row>
        <row r="266">
          <cell r="A266" t="str">
            <v>IM43603660</v>
          </cell>
          <cell r="B266" t="str">
            <v>Closed</v>
          </cell>
          <cell r="D266" t="str">
            <v>3 - Medium</v>
          </cell>
        </row>
        <row r="267">
          <cell r="A267" t="str">
            <v>IM43605703</v>
          </cell>
          <cell r="B267" t="str">
            <v>Closed</v>
          </cell>
          <cell r="D267" t="str">
            <v>4 - Low</v>
          </cell>
        </row>
        <row r="268">
          <cell r="A268" t="str">
            <v>IM43606115</v>
          </cell>
          <cell r="B268" t="str">
            <v>Closed</v>
          </cell>
          <cell r="C268" t="str">
            <v>Resolve - MISSED</v>
          </cell>
          <cell r="D268" t="str">
            <v>4 - Low</v>
          </cell>
        </row>
        <row r="269">
          <cell r="A269" t="str">
            <v>IM43606214</v>
          </cell>
          <cell r="B269" t="str">
            <v>Closed</v>
          </cell>
          <cell r="C269" t="str">
            <v>Resolve - MISSED</v>
          </cell>
          <cell r="D269" t="str">
            <v>4 - Low</v>
          </cell>
        </row>
        <row r="270">
          <cell r="A270" t="str">
            <v>IM43612356</v>
          </cell>
          <cell r="B270" t="str">
            <v>Closed</v>
          </cell>
          <cell r="D270" t="str">
            <v>4 - Low</v>
          </cell>
        </row>
        <row r="271">
          <cell r="A271" t="str">
            <v>IM43612488</v>
          </cell>
          <cell r="B271" t="str">
            <v>Closed</v>
          </cell>
          <cell r="C271" t="str">
            <v>Resolve - MISSED</v>
          </cell>
          <cell r="D271" t="str">
            <v>4 - Low</v>
          </cell>
        </row>
        <row r="272">
          <cell r="A272" t="str">
            <v>IM43612559</v>
          </cell>
          <cell r="B272" t="str">
            <v>Closed</v>
          </cell>
          <cell r="D272" t="str">
            <v>2 - High</v>
          </cell>
        </row>
        <row r="273">
          <cell r="A273" t="str">
            <v>IM43616920</v>
          </cell>
          <cell r="B273" t="str">
            <v>Closed</v>
          </cell>
          <cell r="D273" t="str">
            <v>4 - Low</v>
          </cell>
        </row>
        <row r="274">
          <cell r="A274" t="str">
            <v>IM43625721</v>
          </cell>
          <cell r="B274" t="str">
            <v>Closed</v>
          </cell>
          <cell r="D274" t="str">
            <v>4 - Low</v>
          </cell>
        </row>
        <row r="275">
          <cell r="A275" t="str">
            <v>IM43628691</v>
          </cell>
          <cell r="B275" t="str">
            <v>Closed</v>
          </cell>
          <cell r="C275" t="str">
            <v>Resolve - MISSED</v>
          </cell>
          <cell r="D275" t="str">
            <v>3 - Medium</v>
          </cell>
        </row>
        <row r="276">
          <cell r="A276" t="str">
            <v>IM43630019</v>
          </cell>
          <cell r="B276" t="str">
            <v>Closed</v>
          </cell>
          <cell r="D276" t="str">
            <v>4 - Low</v>
          </cell>
        </row>
        <row r="277">
          <cell r="A277" t="str">
            <v>IM43630497</v>
          </cell>
          <cell r="B277" t="str">
            <v>Closed</v>
          </cell>
          <cell r="C277" t="str">
            <v>Resolve - MISSED</v>
          </cell>
          <cell r="D277" t="str">
            <v>2 - High</v>
          </cell>
        </row>
        <row r="278">
          <cell r="A278" t="str">
            <v>IM43632121</v>
          </cell>
          <cell r="B278" t="str">
            <v>Closed</v>
          </cell>
          <cell r="D278" t="str">
            <v>4 - Low</v>
          </cell>
        </row>
        <row r="279">
          <cell r="A279" t="str">
            <v>IM43632721</v>
          </cell>
          <cell r="B279" t="str">
            <v>Closed</v>
          </cell>
          <cell r="C279" t="str">
            <v>Resolve - MISSED</v>
          </cell>
          <cell r="D279" t="str">
            <v>3 - Medium</v>
          </cell>
        </row>
        <row r="280">
          <cell r="A280" t="str">
            <v>IM43636836</v>
          </cell>
          <cell r="B280" t="str">
            <v>Closed</v>
          </cell>
          <cell r="C280" t="str">
            <v>Resolve - Alert 1</v>
          </cell>
          <cell r="D280" t="str">
            <v>4 - Low</v>
          </cell>
        </row>
        <row r="281">
          <cell r="A281" t="str">
            <v>IM43636894</v>
          </cell>
          <cell r="B281" t="str">
            <v>Closed</v>
          </cell>
          <cell r="C281" t="str">
            <v>Resolve - MISSED</v>
          </cell>
          <cell r="D281" t="str">
            <v>4 - Low</v>
          </cell>
        </row>
        <row r="282">
          <cell r="A282" t="str">
            <v>IM43637173</v>
          </cell>
          <cell r="B282" t="str">
            <v>Closed</v>
          </cell>
          <cell r="D282" t="str">
            <v>4 - Low</v>
          </cell>
        </row>
        <row r="283">
          <cell r="A283" t="str">
            <v>IM43638457</v>
          </cell>
          <cell r="B283" t="str">
            <v>Closed</v>
          </cell>
          <cell r="D283" t="str">
            <v>2 - High</v>
          </cell>
        </row>
        <row r="284">
          <cell r="A284" t="str">
            <v>IM43641376</v>
          </cell>
          <cell r="B284" t="str">
            <v>Closed</v>
          </cell>
          <cell r="D284" t="str">
            <v>4 - Low</v>
          </cell>
        </row>
        <row r="285">
          <cell r="A285" t="str">
            <v>IM43641462</v>
          </cell>
          <cell r="B285" t="str">
            <v>Closed</v>
          </cell>
          <cell r="D285" t="str">
            <v>4 - Low</v>
          </cell>
        </row>
        <row r="286">
          <cell r="A286" t="str">
            <v>IM43644345</v>
          </cell>
          <cell r="B286" t="str">
            <v>Closed</v>
          </cell>
          <cell r="C286" t="str">
            <v>Resolve - MISSED</v>
          </cell>
          <cell r="D286" t="str">
            <v>4 - Low</v>
          </cell>
        </row>
        <row r="287">
          <cell r="A287" t="str">
            <v>IM43646429</v>
          </cell>
          <cell r="B287" t="str">
            <v>Closed</v>
          </cell>
          <cell r="D287" t="str">
            <v>4 - Low</v>
          </cell>
        </row>
        <row r="288">
          <cell r="A288" t="str">
            <v>IM43646495</v>
          </cell>
          <cell r="B288" t="str">
            <v>Closed</v>
          </cell>
          <cell r="C288" t="str">
            <v>Resolve - Alert 1</v>
          </cell>
          <cell r="D288" t="str">
            <v>4 - Low</v>
          </cell>
        </row>
        <row r="289">
          <cell r="A289" t="str">
            <v>IM43651115</v>
          </cell>
          <cell r="B289" t="str">
            <v>Closed</v>
          </cell>
          <cell r="C289" t="str">
            <v>Resolve - MISSED</v>
          </cell>
          <cell r="D289" t="str">
            <v>2 - High</v>
          </cell>
        </row>
        <row r="290">
          <cell r="A290" t="str">
            <v>IM43653074</v>
          </cell>
          <cell r="B290" t="str">
            <v>Closed</v>
          </cell>
          <cell r="C290" t="str">
            <v>Respond - Alert 1</v>
          </cell>
          <cell r="D290" t="str">
            <v>3 - Medium</v>
          </cell>
        </row>
        <row r="291">
          <cell r="A291" t="str">
            <v>IM43661245</v>
          </cell>
          <cell r="B291" t="str">
            <v>Closed</v>
          </cell>
          <cell r="C291" t="str">
            <v>Resolve - Alert 2</v>
          </cell>
          <cell r="D291" t="str">
            <v>2 - High</v>
          </cell>
        </row>
        <row r="292">
          <cell r="A292" t="str">
            <v>IM43667932</v>
          </cell>
          <cell r="B292" t="str">
            <v>Closed</v>
          </cell>
          <cell r="C292" t="str">
            <v>Resolve - MISSED</v>
          </cell>
          <cell r="D292" t="str">
            <v>3 - Medium</v>
          </cell>
        </row>
        <row r="293">
          <cell r="A293" t="str">
            <v>IM43684246</v>
          </cell>
          <cell r="B293" t="str">
            <v>Closed</v>
          </cell>
          <cell r="D293" t="str">
            <v>4 - Low</v>
          </cell>
        </row>
        <row r="294">
          <cell r="A294" t="str">
            <v>IM43684351</v>
          </cell>
          <cell r="B294" t="str">
            <v>Closed</v>
          </cell>
          <cell r="C294" t="str">
            <v>Resolve - Alert 1</v>
          </cell>
          <cell r="D294" t="str">
            <v>4 - Low</v>
          </cell>
        </row>
        <row r="295">
          <cell r="A295" t="str">
            <v>IM43690105</v>
          </cell>
          <cell r="B295" t="str">
            <v>Closed</v>
          </cell>
          <cell r="D295" t="str">
            <v>4 - Low</v>
          </cell>
        </row>
        <row r="296">
          <cell r="A296" t="str">
            <v>IM43692447</v>
          </cell>
          <cell r="B296" t="str">
            <v>Closed</v>
          </cell>
          <cell r="C296" t="str">
            <v>Resolve - MISSED</v>
          </cell>
          <cell r="D296" t="str">
            <v>2 - High</v>
          </cell>
        </row>
        <row r="297">
          <cell r="A297" t="str">
            <v>IM43696100</v>
          </cell>
          <cell r="B297" t="str">
            <v>Closed</v>
          </cell>
          <cell r="C297" t="str">
            <v>Resolve - MISSED</v>
          </cell>
          <cell r="D297" t="str">
            <v>3 - Medium</v>
          </cell>
        </row>
        <row r="298">
          <cell r="A298" t="str">
            <v>IM43704631</v>
          </cell>
          <cell r="B298" t="str">
            <v>Closed</v>
          </cell>
          <cell r="D298" t="str">
            <v>4 - Low</v>
          </cell>
        </row>
        <row r="299">
          <cell r="A299" t="str">
            <v>IM43708824</v>
          </cell>
          <cell r="B299" t="str">
            <v>Closed</v>
          </cell>
          <cell r="D299" t="str">
            <v>4 - Low</v>
          </cell>
        </row>
        <row r="300">
          <cell r="A300" t="str">
            <v>IM43714627</v>
          </cell>
          <cell r="B300" t="str">
            <v>Closed</v>
          </cell>
          <cell r="C300" t="str">
            <v>Resolve - Alert 2</v>
          </cell>
          <cell r="D300" t="str">
            <v>4 - Low</v>
          </cell>
        </row>
        <row r="301">
          <cell r="A301" t="str">
            <v>IM43720957</v>
          </cell>
          <cell r="B301" t="str">
            <v>Closed</v>
          </cell>
          <cell r="D301" t="str">
            <v>4 - Low</v>
          </cell>
        </row>
        <row r="302">
          <cell r="A302" t="str">
            <v>IM43730238</v>
          </cell>
          <cell r="B302" t="str">
            <v>Closed</v>
          </cell>
          <cell r="D302" t="str">
            <v>4 - Low</v>
          </cell>
        </row>
        <row r="303">
          <cell r="A303" t="str">
            <v>IM43737156</v>
          </cell>
          <cell r="B303" t="str">
            <v>Closed</v>
          </cell>
          <cell r="D303" t="str">
            <v>4 - Low</v>
          </cell>
        </row>
        <row r="304">
          <cell r="A304" t="str">
            <v>IM43737256</v>
          </cell>
          <cell r="B304" t="str">
            <v>Closed</v>
          </cell>
          <cell r="D304" t="str">
            <v>4 - Low</v>
          </cell>
        </row>
        <row r="305">
          <cell r="A305" t="str">
            <v>IM43737388</v>
          </cell>
          <cell r="B305" t="str">
            <v>Closed</v>
          </cell>
          <cell r="D305" t="str">
            <v>4 - Low</v>
          </cell>
        </row>
        <row r="306">
          <cell r="A306" t="str">
            <v>IM43737437</v>
          </cell>
          <cell r="B306" t="str">
            <v>Closed</v>
          </cell>
          <cell r="D306" t="str">
            <v>4 - Low</v>
          </cell>
        </row>
        <row r="307">
          <cell r="A307" t="str">
            <v>IM43748453</v>
          </cell>
          <cell r="B307" t="str">
            <v>Closed</v>
          </cell>
          <cell r="C307" t="str">
            <v>Resolve - Alert 1</v>
          </cell>
          <cell r="D307" t="str">
            <v>2 - High</v>
          </cell>
        </row>
        <row r="308">
          <cell r="A308" t="str">
            <v>IM43761166</v>
          </cell>
          <cell r="B308" t="str">
            <v>Closed</v>
          </cell>
          <cell r="D308" t="str">
            <v>4 - Low</v>
          </cell>
        </row>
        <row r="309">
          <cell r="A309" t="str">
            <v>IM43761273</v>
          </cell>
          <cell r="B309" t="str">
            <v>Closed</v>
          </cell>
          <cell r="C309" t="str">
            <v>Resolve - Alert 1</v>
          </cell>
          <cell r="D309" t="str">
            <v>4 - Low</v>
          </cell>
        </row>
        <row r="310">
          <cell r="A310" t="str">
            <v>IM43761645</v>
          </cell>
          <cell r="B310" t="str">
            <v>Closed</v>
          </cell>
          <cell r="D310" t="str">
            <v>3 - Medium</v>
          </cell>
        </row>
        <row r="311">
          <cell r="A311" t="str">
            <v>IM43764247</v>
          </cell>
          <cell r="B311" t="str">
            <v>Closed</v>
          </cell>
          <cell r="C311" t="str">
            <v>Resolve - MISSED</v>
          </cell>
          <cell r="D311" t="str">
            <v>3 - Medium</v>
          </cell>
        </row>
        <row r="312">
          <cell r="A312" t="str">
            <v>IM43766479</v>
          </cell>
          <cell r="B312" t="str">
            <v>Closed</v>
          </cell>
          <cell r="C312" t="str">
            <v>Resolve - MISSED</v>
          </cell>
          <cell r="D312" t="str">
            <v>2 - High</v>
          </cell>
        </row>
        <row r="313">
          <cell r="A313" t="str">
            <v>IM43777508</v>
          </cell>
          <cell r="B313" t="str">
            <v>Closed</v>
          </cell>
          <cell r="C313" t="str">
            <v>Resolve - MISSED</v>
          </cell>
          <cell r="D313" t="str">
            <v>2 - High</v>
          </cell>
        </row>
        <row r="314">
          <cell r="A314" t="str">
            <v>IM43792295</v>
          </cell>
          <cell r="B314" t="str">
            <v>Closed</v>
          </cell>
          <cell r="D314" t="str">
            <v>4 - Low</v>
          </cell>
        </row>
        <row r="315">
          <cell r="A315" t="str">
            <v>IM43792481</v>
          </cell>
          <cell r="B315" t="str">
            <v>Closed</v>
          </cell>
          <cell r="C315" t="str">
            <v>Resolve - MISSED</v>
          </cell>
          <cell r="D315" t="str">
            <v>4 - Low</v>
          </cell>
        </row>
        <row r="316">
          <cell r="A316" t="str">
            <v>IM43796874</v>
          </cell>
          <cell r="B316" t="str">
            <v>Closed</v>
          </cell>
          <cell r="D316" t="str">
            <v>4 - Low</v>
          </cell>
        </row>
        <row r="317">
          <cell r="A317" t="str">
            <v>IM43796913</v>
          </cell>
          <cell r="B317" t="str">
            <v>Closed</v>
          </cell>
          <cell r="D317" t="str">
            <v>4 - Low</v>
          </cell>
        </row>
        <row r="318">
          <cell r="A318" t="str">
            <v>IM43802239</v>
          </cell>
          <cell r="B318" t="str">
            <v>Closed</v>
          </cell>
          <cell r="D318" t="str">
            <v>4 - Low</v>
          </cell>
        </row>
        <row r="319">
          <cell r="A319" t="str">
            <v>IM43802314</v>
          </cell>
          <cell r="B319" t="str">
            <v>Closed</v>
          </cell>
          <cell r="D319" t="str">
            <v>4 - Low</v>
          </cell>
        </row>
        <row r="320">
          <cell r="A320" t="str">
            <v>IM43805991</v>
          </cell>
          <cell r="B320" t="str">
            <v>Closed</v>
          </cell>
          <cell r="D320" t="str">
            <v>4 - Low</v>
          </cell>
        </row>
        <row r="321">
          <cell r="A321" t="str">
            <v>IM43812477</v>
          </cell>
          <cell r="B321" t="str">
            <v>Closed</v>
          </cell>
          <cell r="D321" t="str">
            <v>4 - Low</v>
          </cell>
        </row>
        <row r="322">
          <cell r="A322" t="str">
            <v>IM43819180</v>
          </cell>
          <cell r="B322" t="str">
            <v>Closed</v>
          </cell>
          <cell r="C322" t="str">
            <v>Resolve - Alert 2</v>
          </cell>
          <cell r="D322" t="str">
            <v>4 - Low</v>
          </cell>
        </row>
        <row r="323">
          <cell r="A323" t="str">
            <v>IM43819267</v>
          </cell>
          <cell r="B323" t="str">
            <v>Closed</v>
          </cell>
          <cell r="C323" t="str">
            <v>Resolve - MISSED</v>
          </cell>
          <cell r="D323" t="str">
            <v>4 - Low</v>
          </cell>
        </row>
        <row r="324">
          <cell r="A324" t="str">
            <v>IM43822059</v>
          </cell>
          <cell r="B324" t="str">
            <v>Closed</v>
          </cell>
          <cell r="D324" t="str">
            <v>2 - High</v>
          </cell>
        </row>
        <row r="325">
          <cell r="A325" t="str">
            <v>IM43826790</v>
          </cell>
          <cell r="B325" t="str">
            <v>Closed</v>
          </cell>
          <cell r="D325" t="str">
            <v>4 - Low</v>
          </cell>
        </row>
        <row r="326">
          <cell r="A326" t="str">
            <v>IM43828015</v>
          </cell>
          <cell r="B326" t="str">
            <v>Closed</v>
          </cell>
          <cell r="D326" t="str">
            <v>4 - Low</v>
          </cell>
        </row>
        <row r="327">
          <cell r="A327" t="str">
            <v>IM43833579</v>
          </cell>
          <cell r="B327" t="str">
            <v>Closed</v>
          </cell>
          <cell r="C327" t="str">
            <v>Respond - Alert 1</v>
          </cell>
          <cell r="D327" t="str">
            <v>4 - Low</v>
          </cell>
        </row>
        <row r="328">
          <cell r="A328" t="str">
            <v>IM43842552</v>
          </cell>
          <cell r="B328" t="str">
            <v>Closed</v>
          </cell>
          <cell r="D328" t="str">
            <v>4 - Low</v>
          </cell>
        </row>
        <row r="329">
          <cell r="A329" t="str">
            <v>IM43849869</v>
          </cell>
          <cell r="B329" t="str">
            <v>Closed</v>
          </cell>
          <cell r="D329" t="str">
            <v>4 - Low</v>
          </cell>
        </row>
        <row r="330">
          <cell r="A330" t="str">
            <v>IM43853727</v>
          </cell>
          <cell r="B330" t="str">
            <v>Closed</v>
          </cell>
          <cell r="D330" t="str">
            <v>4 - Low</v>
          </cell>
        </row>
        <row r="331">
          <cell r="A331" t="str">
            <v>IM43856922</v>
          </cell>
          <cell r="B331" t="str">
            <v>Closed</v>
          </cell>
          <cell r="D331" t="str">
            <v>4 - Low</v>
          </cell>
        </row>
        <row r="332">
          <cell r="A332" t="str">
            <v>IM43861525</v>
          </cell>
          <cell r="B332" t="str">
            <v>Closed</v>
          </cell>
          <cell r="D332" t="str">
            <v>4 - Low</v>
          </cell>
        </row>
        <row r="333">
          <cell r="A333" t="str">
            <v>IM43862618</v>
          </cell>
          <cell r="B333" t="str">
            <v>Closed</v>
          </cell>
          <cell r="D333" t="str">
            <v>4 - Low</v>
          </cell>
        </row>
        <row r="334">
          <cell r="A334" t="str">
            <v>IM43864019</v>
          </cell>
          <cell r="B334" t="str">
            <v>Closed</v>
          </cell>
          <cell r="D334" t="str">
            <v>2 - High</v>
          </cell>
        </row>
        <row r="335">
          <cell r="A335" t="str">
            <v>IM43866621</v>
          </cell>
          <cell r="B335" t="str">
            <v>Closed</v>
          </cell>
          <cell r="D335" t="str">
            <v>4 - Low</v>
          </cell>
        </row>
        <row r="336">
          <cell r="A336" t="str">
            <v>IM43866706</v>
          </cell>
          <cell r="B336" t="str">
            <v>Closed</v>
          </cell>
          <cell r="D336" t="str">
            <v>4 - Low</v>
          </cell>
        </row>
        <row r="337">
          <cell r="A337" t="str">
            <v>IM43869096</v>
          </cell>
          <cell r="B337" t="str">
            <v>Closed</v>
          </cell>
          <cell r="D337" t="str">
            <v>3 - Medium</v>
          </cell>
        </row>
        <row r="338">
          <cell r="A338" t="str">
            <v>IM43875748</v>
          </cell>
          <cell r="B338" t="str">
            <v>Closed</v>
          </cell>
          <cell r="D338" t="str">
            <v>4 - Low</v>
          </cell>
        </row>
        <row r="339">
          <cell r="A339" t="str">
            <v>IM43880164</v>
          </cell>
          <cell r="B339" t="str">
            <v>Closed</v>
          </cell>
          <cell r="D339" t="str">
            <v>4 - Low</v>
          </cell>
        </row>
        <row r="340">
          <cell r="A340" t="str">
            <v>IM43888890</v>
          </cell>
          <cell r="B340" t="str">
            <v>Closed</v>
          </cell>
          <cell r="D340" t="str">
            <v>4 - Low</v>
          </cell>
        </row>
        <row r="341">
          <cell r="A341" t="str">
            <v>IM43890469</v>
          </cell>
          <cell r="B341" t="str">
            <v>Closed</v>
          </cell>
          <cell r="C341" t="str">
            <v>Resolve - MISSED</v>
          </cell>
          <cell r="D341" t="str">
            <v>3 - Medium</v>
          </cell>
        </row>
        <row r="342">
          <cell r="A342" t="str">
            <v>IM43898510</v>
          </cell>
          <cell r="B342" t="str">
            <v>Closed</v>
          </cell>
          <cell r="C342" t="str">
            <v>Resolve - MISSED</v>
          </cell>
          <cell r="D342" t="str">
            <v>3 - Medium</v>
          </cell>
        </row>
        <row r="343">
          <cell r="A343" t="str">
            <v>IM43898860</v>
          </cell>
          <cell r="B343" t="str">
            <v>Closed</v>
          </cell>
          <cell r="D343" t="str">
            <v>4 - Low</v>
          </cell>
        </row>
        <row r="344">
          <cell r="A344" t="str">
            <v>IM43919246</v>
          </cell>
          <cell r="B344" t="str">
            <v>Closed</v>
          </cell>
          <cell r="C344" t="str">
            <v>Resolve - Alert 2</v>
          </cell>
          <cell r="D344" t="str">
            <v>2 - High</v>
          </cell>
        </row>
        <row r="345">
          <cell r="A345" t="str">
            <v>IM43926374</v>
          </cell>
          <cell r="B345" t="str">
            <v>Closed</v>
          </cell>
          <cell r="D345" t="str">
            <v>2 - High</v>
          </cell>
        </row>
        <row r="346">
          <cell r="A346" t="str">
            <v>IM43933186</v>
          </cell>
          <cell r="B346" t="str">
            <v>Closed</v>
          </cell>
          <cell r="C346" t="str">
            <v>Resolve - Alert 1</v>
          </cell>
          <cell r="D346" t="str">
            <v>4 - Low</v>
          </cell>
        </row>
        <row r="347">
          <cell r="A347" t="str">
            <v>IM43950438</v>
          </cell>
          <cell r="B347" t="str">
            <v>Closed</v>
          </cell>
          <cell r="D347" t="str">
            <v>4 - Low</v>
          </cell>
        </row>
        <row r="348">
          <cell r="A348" t="str">
            <v>IM43951205</v>
          </cell>
          <cell r="B348" t="str">
            <v>Closed</v>
          </cell>
          <cell r="D348" t="str">
            <v>2 - High</v>
          </cell>
        </row>
        <row r="349">
          <cell r="A349" t="str">
            <v>IM43954833</v>
          </cell>
          <cell r="B349" t="str">
            <v>Closed</v>
          </cell>
          <cell r="D349" t="str">
            <v>4 - Low</v>
          </cell>
        </row>
        <row r="350">
          <cell r="A350" t="str">
            <v>IM43960217</v>
          </cell>
          <cell r="B350" t="str">
            <v>Closed</v>
          </cell>
          <cell r="C350" t="str">
            <v>Resolve - Alert 1</v>
          </cell>
          <cell r="D350" t="str">
            <v>4 - Low</v>
          </cell>
        </row>
        <row r="351">
          <cell r="A351" t="str">
            <v>IM43964279</v>
          </cell>
          <cell r="B351" t="str">
            <v>Closed</v>
          </cell>
          <cell r="C351" t="str">
            <v>Resolve - Alert 1</v>
          </cell>
          <cell r="D351" t="str">
            <v>4 - Low</v>
          </cell>
        </row>
        <row r="352">
          <cell r="A352" t="str">
            <v>IM43968153</v>
          </cell>
          <cell r="B352" t="str">
            <v>Closed</v>
          </cell>
          <cell r="D352" t="str">
            <v>4 - Low</v>
          </cell>
        </row>
        <row r="353">
          <cell r="A353" t="str">
            <v>IM43979094</v>
          </cell>
          <cell r="B353" t="str">
            <v>Closed</v>
          </cell>
          <cell r="D353" t="str">
            <v>4 - Low</v>
          </cell>
        </row>
        <row r="354">
          <cell r="A354" t="str">
            <v>IM43979100</v>
          </cell>
          <cell r="B354" t="str">
            <v>Closed</v>
          </cell>
          <cell r="D354" t="str">
            <v>4 - Low</v>
          </cell>
        </row>
        <row r="355">
          <cell r="A355" t="str">
            <v>IM43991823</v>
          </cell>
          <cell r="B355" t="str">
            <v>Closed</v>
          </cell>
          <cell r="C355" t="str">
            <v>Resolve - Alert 2</v>
          </cell>
          <cell r="D355" t="str">
            <v>4 - Low</v>
          </cell>
        </row>
        <row r="356">
          <cell r="A356" t="str">
            <v>IM43993638</v>
          </cell>
          <cell r="B356" t="str">
            <v>Closed</v>
          </cell>
          <cell r="D356" t="str">
            <v>4 - Low</v>
          </cell>
        </row>
        <row r="357">
          <cell r="A357" t="str">
            <v>IM43996027</v>
          </cell>
          <cell r="B357" t="str">
            <v>Closed</v>
          </cell>
          <cell r="C357" t="str">
            <v>Resolve - MISSED</v>
          </cell>
          <cell r="D357" t="str">
            <v>3 - Medium</v>
          </cell>
        </row>
        <row r="358">
          <cell r="A358" t="str">
            <v>IM43998269</v>
          </cell>
          <cell r="B358" t="str">
            <v>Closed</v>
          </cell>
          <cell r="D358" t="str">
            <v>4 - Low</v>
          </cell>
        </row>
        <row r="359">
          <cell r="A359" t="str">
            <v>IM44000237</v>
          </cell>
          <cell r="B359" t="str">
            <v>Closed</v>
          </cell>
          <cell r="D359" t="str">
            <v>2 - High</v>
          </cell>
        </row>
        <row r="360">
          <cell r="A360" t="str">
            <v>IM44007895</v>
          </cell>
          <cell r="B360" t="str">
            <v>Closed</v>
          </cell>
          <cell r="D360" t="str">
            <v>4 - Low</v>
          </cell>
        </row>
        <row r="361">
          <cell r="A361" t="str">
            <v>IM44007925</v>
          </cell>
          <cell r="B361" t="str">
            <v>Closed</v>
          </cell>
          <cell r="D361" t="str">
            <v>4 - Low</v>
          </cell>
        </row>
        <row r="362">
          <cell r="A362" t="str">
            <v>IM44015949</v>
          </cell>
          <cell r="B362" t="str">
            <v>Closed</v>
          </cell>
          <cell r="C362" t="str">
            <v>Resolve - MISSED</v>
          </cell>
          <cell r="D362" t="str">
            <v>3 - Medium</v>
          </cell>
        </row>
        <row r="363">
          <cell r="A363" t="str">
            <v>IM44017710</v>
          </cell>
          <cell r="B363" t="str">
            <v>Closed</v>
          </cell>
          <cell r="C363" t="str">
            <v>Resolve - MISSED</v>
          </cell>
          <cell r="D363" t="str">
            <v>3 - Medium</v>
          </cell>
        </row>
        <row r="364">
          <cell r="A364" t="str">
            <v>IM44020446</v>
          </cell>
          <cell r="B364" t="str">
            <v>Closed</v>
          </cell>
          <cell r="C364" t="str">
            <v>Resolve - Alert 1</v>
          </cell>
          <cell r="D364" t="str">
            <v>3 - Medium</v>
          </cell>
        </row>
        <row r="365">
          <cell r="A365" t="str">
            <v>IM44024029</v>
          </cell>
          <cell r="B365" t="str">
            <v>Closed</v>
          </cell>
          <cell r="C365" t="str">
            <v>Resolve - MISSED</v>
          </cell>
          <cell r="D365" t="str">
            <v>3 - Medium</v>
          </cell>
        </row>
        <row r="366">
          <cell r="A366" t="str">
            <v>IM44046228</v>
          </cell>
          <cell r="B366" t="str">
            <v>Closed</v>
          </cell>
          <cell r="C366" t="str">
            <v>Resolve - MISSED</v>
          </cell>
          <cell r="D366" t="str">
            <v>4 - Low</v>
          </cell>
        </row>
        <row r="367">
          <cell r="A367" t="str">
            <v>IM44048951</v>
          </cell>
          <cell r="B367" t="str">
            <v>Closed</v>
          </cell>
          <cell r="D367" t="str">
            <v>4 - Low</v>
          </cell>
        </row>
        <row r="368">
          <cell r="A368" t="str">
            <v>IM44049026</v>
          </cell>
          <cell r="B368" t="str">
            <v>Closed</v>
          </cell>
          <cell r="D368" t="str">
            <v>4 - Low</v>
          </cell>
        </row>
        <row r="369">
          <cell r="A369" t="str">
            <v>IM44051740</v>
          </cell>
          <cell r="B369" t="str">
            <v>Closed</v>
          </cell>
          <cell r="C369" t="str">
            <v>Resolve - Alert 1</v>
          </cell>
          <cell r="D369" t="str">
            <v>4 - Low</v>
          </cell>
        </row>
        <row r="370">
          <cell r="A370" t="str">
            <v>IM44057221</v>
          </cell>
          <cell r="B370" t="str">
            <v>Closed</v>
          </cell>
          <cell r="D370" t="str">
            <v>3 - Medium</v>
          </cell>
        </row>
        <row r="371">
          <cell r="A371" t="str">
            <v>IM44058680</v>
          </cell>
          <cell r="B371" t="str">
            <v>Closed</v>
          </cell>
          <cell r="C371" t="str">
            <v>Resolve - MISSED</v>
          </cell>
          <cell r="D371" t="str">
            <v>3 - Medium</v>
          </cell>
        </row>
        <row r="372">
          <cell r="A372" t="str">
            <v>IM44059667</v>
          </cell>
          <cell r="B372" t="str">
            <v>Closed</v>
          </cell>
          <cell r="C372" t="str">
            <v>Respond - Alert 1</v>
          </cell>
          <cell r="D372" t="str">
            <v>3 - Medium</v>
          </cell>
        </row>
        <row r="373">
          <cell r="A373" t="str">
            <v>IM44059679</v>
          </cell>
          <cell r="B373" t="str">
            <v>Closed</v>
          </cell>
          <cell r="C373" t="str">
            <v>Resolve - Alert 2</v>
          </cell>
          <cell r="D373" t="str">
            <v>3 - Medium</v>
          </cell>
        </row>
        <row r="374">
          <cell r="A374" t="str">
            <v>IM44072283</v>
          </cell>
          <cell r="B374" t="str">
            <v>Closed</v>
          </cell>
          <cell r="C374" t="str">
            <v>Respond - Alert 1</v>
          </cell>
          <cell r="D374" t="str">
            <v>3 - Medium</v>
          </cell>
        </row>
        <row r="375">
          <cell r="A375" t="str">
            <v>IM44082697</v>
          </cell>
          <cell r="B375" t="str">
            <v>Closed</v>
          </cell>
          <cell r="D375" t="str">
            <v>4 - Low</v>
          </cell>
        </row>
        <row r="376">
          <cell r="A376" t="str">
            <v>IM44082703</v>
          </cell>
          <cell r="B376" t="str">
            <v>Closed</v>
          </cell>
          <cell r="D376" t="str">
            <v>4 - Low</v>
          </cell>
        </row>
        <row r="377">
          <cell r="A377" t="str">
            <v>IM44083439</v>
          </cell>
          <cell r="B377" t="str">
            <v>Closed</v>
          </cell>
          <cell r="C377" t="str">
            <v>Resolve - MISSED</v>
          </cell>
          <cell r="D377" t="str">
            <v>3 - Medium</v>
          </cell>
        </row>
        <row r="378">
          <cell r="A378" t="str">
            <v>IM44084842</v>
          </cell>
          <cell r="B378" t="str">
            <v>Closed</v>
          </cell>
          <cell r="C378" t="str">
            <v>Resolve - MISSED</v>
          </cell>
          <cell r="D378" t="str">
            <v>4 - Low</v>
          </cell>
        </row>
        <row r="379">
          <cell r="A379" t="str">
            <v>IM44089679</v>
          </cell>
          <cell r="B379" t="str">
            <v>Closed</v>
          </cell>
          <cell r="C379" t="str">
            <v>Resolve - MISSED</v>
          </cell>
          <cell r="D379" t="str">
            <v>3 - Medium</v>
          </cell>
        </row>
        <row r="380">
          <cell r="A380" t="str">
            <v>IM44089900</v>
          </cell>
          <cell r="B380" t="str">
            <v>Closed</v>
          </cell>
          <cell r="D380" t="str">
            <v>4 - Low</v>
          </cell>
        </row>
        <row r="381">
          <cell r="A381" t="str">
            <v>IM44090379</v>
          </cell>
          <cell r="B381" t="str">
            <v>Closed</v>
          </cell>
          <cell r="D381" t="str">
            <v>3 - Medium</v>
          </cell>
        </row>
        <row r="382">
          <cell r="A382" t="str">
            <v>IM44096042</v>
          </cell>
          <cell r="B382" t="str">
            <v>Closed</v>
          </cell>
          <cell r="C382" t="str">
            <v>Resolve - Alert 2</v>
          </cell>
          <cell r="D382" t="str">
            <v>3 - Medium</v>
          </cell>
        </row>
        <row r="383">
          <cell r="A383" t="str">
            <v>IM44097118</v>
          </cell>
          <cell r="B383" t="str">
            <v>Closed</v>
          </cell>
          <cell r="C383" t="str">
            <v>Resolve - MISSED</v>
          </cell>
          <cell r="D383" t="str">
            <v>4 - Low</v>
          </cell>
        </row>
        <row r="384">
          <cell r="A384" t="str">
            <v>IM44098362</v>
          </cell>
          <cell r="B384" t="str">
            <v>Closed</v>
          </cell>
          <cell r="C384" t="str">
            <v>Resolve - MISSED</v>
          </cell>
          <cell r="D384" t="str">
            <v>3 - Medium</v>
          </cell>
        </row>
        <row r="385">
          <cell r="A385" t="str">
            <v>IM44098489</v>
          </cell>
          <cell r="B385" t="str">
            <v>Closed</v>
          </cell>
          <cell r="C385" t="str">
            <v>Resolve - MISSED</v>
          </cell>
          <cell r="D385" t="str">
            <v>3 - Medium</v>
          </cell>
        </row>
        <row r="386">
          <cell r="A386" t="str">
            <v>IM44098515</v>
          </cell>
          <cell r="B386" t="str">
            <v>Closed</v>
          </cell>
          <cell r="C386" t="str">
            <v>Resolve - Alert 1</v>
          </cell>
          <cell r="D386" t="str">
            <v>4 - Low</v>
          </cell>
        </row>
        <row r="387">
          <cell r="A387" t="str">
            <v>IM44099506</v>
          </cell>
          <cell r="B387" t="str">
            <v>Closed</v>
          </cell>
          <cell r="D387" t="str">
            <v>4 - Low</v>
          </cell>
        </row>
        <row r="388">
          <cell r="A388" t="str">
            <v>IM44107888</v>
          </cell>
          <cell r="B388" t="str">
            <v>Closed</v>
          </cell>
          <cell r="D388" t="str">
            <v>4 - Low</v>
          </cell>
        </row>
        <row r="389">
          <cell r="A389" t="str">
            <v>IM44109289</v>
          </cell>
          <cell r="B389" t="str">
            <v>Closed</v>
          </cell>
          <cell r="D389" t="str">
            <v>3 - Medium</v>
          </cell>
        </row>
        <row r="390">
          <cell r="A390" t="str">
            <v>IM44112581</v>
          </cell>
          <cell r="B390" t="str">
            <v>Closed</v>
          </cell>
          <cell r="D390" t="str">
            <v>4 - Low</v>
          </cell>
        </row>
        <row r="391">
          <cell r="A391" t="str">
            <v>IM44115796</v>
          </cell>
          <cell r="B391" t="str">
            <v>Closed</v>
          </cell>
          <cell r="D391" t="str">
            <v>4 - Low</v>
          </cell>
        </row>
        <row r="392">
          <cell r="A392" t="str">
            <v>IM44117630</v>
          </cell>
          <cell r="B392" t="str">
            <v>Closed</v>
          </cell>
          <cell r="C392" t="str">
            <v>Resolve - Alert 1</v>
          </cell>
          <cell r="D392" t="str">
            <v>3 - Medium</v>
          </cell>
        </row>
        <row r="393">
          <cell r="A393" t="str">
            <v>IM44118646</v>
          </cell>
          <cell r="B393" t="str">
            <v>Closed</v>
          </cell>
          <cell r="D393" t="str">
            <v>4 - Low</v>
          </cell>
        </row>
        <row r="394">
          <cell r="A394" t="str">
            <v>IM44118651</v>
          </cell>
          <cell r="B394" t="str">
            <v>Closed</v>
          </cell>
          <cell r="D394" t="str">
            <v>4 - Low</v>
          </cell>
        </row>
        <row r="395">
          <cell r="A395" t="str">
            <v>IM44121733</v>
          </cell>
          <cell r="B395" t="str">
            <v>Closed</v>
          </cell>
          <cell r="D395" t="str">
            <v>2 - High</v>
          </cell>
        </row>
        <row r="396">
          <cell r="A396" t="str">
            <v>IM44129705</v>
          </cell>
          <cell r="B396" t="str">
            <v>Closed</v>
          </cell>
          <cell r="D396" t="str">
            <v>2 - High</v>
          </cell>
        </row>
        <row r="397">
          <cell r="A397" t="str">
            <v>IM44130214</v>
          </cell>
          <cell r="B397" t="str">
            <v>Closed</v>
          </cell>
          <cell r="C397" t="str">
            <v>Resolve - MISSED</v>
          </cell>
          <cell r="D397" t="str">
            <v>2 - High</v>
          </cell>
        </row>
        <row r="398">
          <cell r="A398" t="str">
            <v>IM44130239</v>
          </cell>
          <cell r="B398" t="str">
            <v>Closed</v>
          </cell>
          <cell r="D398" t="str">
            <v>2 - High</v>
          </cell>
        </row>
        <row r="399">
          <cell r="A399" t="str">
            <v>IM44131444</v>
          </cell>
          <cell r="B399" t="str">
            <v>Closed</v>
          </cell>
          <cell r="D399" t="str">
            <v>4 - Low</v>
          </cell>
        </row>
        <row r="400">
          <cell r="A400" t="str">
            <v>IM44133900</v>
          </cell>
          <cell r="B400" t="str">
            <v>Closed</v>
          </cell>
          <cell r="C400" t="str">
            <v>Resolve - Alert 1</v>
          </cell>
          <cell r="D400" t="str">
            <v>3 - Medium</v>
          </cell>
        </row>
        <row r="401">
          <cell r="A401" t="str">
            <v>IM44137966</v>
          </cell>
          <cell r="B401" t="str">
            <v>Closed</v>
          </cell>
          <cell r="D401" t="str">
            <v>2 - High</v>
          </cell>
        </row>
        <row r="402">
          <cell r="A402" t="str">
            <v>IM44140947</v>
          </cell>
          <cell r="B402" t="str">
            <v>Closed</v>
          </cell>
          <cell r="C402" t="str">
            <v>Resolve - MISSED</v>
          </cell>
          <cell r="D402" t="str">
            <v>2 - High</v>
          </cell>
        </row>
        <row r="403">
          <cell r="A403" t="str">
            <v>IM44141053</v>
          </cell>
          <cell r="B403" t="str">
            <v>Closed</v>
          </cell>
          <cell r="C403" t="str">
            <v>Respond - Alert 1</v>
          </cell>
          <cell r="D403" t="str">
            <v>4 - Low</v>
          </cell>
        </row>
        <row r="404">
          <cell r="A404" t="str">
            <v>IM44144516</v>
          </cell>
          <cell r="B404" t="str">
            <v>Closed</v>
          </cell>
          <cell r="C404" t="str">
            <v>Resolve - Alert 2</v>
          </cell>
          <cell r="D404" t="str">
            <v>2 - High</v>
          </cell>
        </row>
        <row r="405">
          <cell r="A405" t="str">
            <v>IM44151264</v>
          </cell>
          <cell r="B405" t="str">
            <v>Closed</v>
          </cell>
          <cell r="D405" t="str">
            <v>2 - High</v>
          </cell>
        </row>
        <row r="406">
          <cell r="A406" t="str">
            <v>IM44151812</v>
          </cell>
          <cell r="B406" t="str">
            <v>Closed</v>
          </cell>
          <cell r="C406" t="str">
            <v>Resolve - Alert 1</v>
          </cell>
          <cell r="D406" t="str">
            <v>4 - Low</v>
          </cell>
        </row>
        <row r="407">
          <cell r="A407" t="str">
            <v>IM44162788</v>
          </cell>
          <cell r="B407" t="str">
            <v>Closed</v>
          </cell>
          <cell r="C407" t="str">
            <v>Resolve - Alert 1</v>
          </cell>
          <cell r="D407" t="str">
            <v>3 - Medium</v>
          </cell>
        </row>
        <row r="408">
          <cell r="A408" t="str">
            <v>IM44165076</v>
          </cell>
          <cell r="B408" t="str">
            <v>Closed</v>
          </cell>
          <cell r="D408" t="str">
            <v>2 - High</v>
          </cell>
        </row>
        <row r="409">
          <cell r="A409" t="str">
            <v>IM44165518</v>
          </cell>
          <cell r="B409" t="str">
            <v>Closed</v>
          </cell>
          <cell r="C409" t="str">
            <v>Resolve - Alert 1</v>
          </cell>
          <cell r="D409" t="str">
            <v>2 - High</v>
          </cell>
        </row>
        <row r="410">
          <cell r="A410" t="str">
            <v>IM44168385</v>
          </cell>
          <cell r="B410" t="str">
            <v>Closed</v>
          </cell>
          <cell r="C410" t="str">
            <v>Respond - Alert 1</v>
          </cell>
          <cell r="D410" t="str">
            <v>3 - Medium</v>
          </cell>
        </row>
        <row r="411">
          <cell r="A411" t="str">
            <v>IM44176118</v>
          </cell>
          <cell r="B411" t="str">
            <v>Closed</v>
          </cell>
          <cell r="C411" t="str">
            <v>Resolve - MISSED</v>
          </cell>
          <cell r="D411" t="str">
            <v>3 - Medium</v>
          </cell>
        </row>
        <row r="412">
          <cell r="A412" t="str">
            <v>IM44185877</v>
          </cell>
          <cell r="B412" t="str">
            <v>Closed</v>
          </cell>
          <cell r="C412" t="str">
            <v>Resolve - Alert 1</v>
          </cell>
          <cell r="D412" t="str">
            <v>4 - Low</v>
          </cell>
        </row>
        <row r="413">
          <cell r="A413" t="str">
            <v>IM44187533</v>
          </cell>
          <cell r="B413" t="str">
            <v>Closed</v>
          </cell>
          <cell r="D413" t="str">
            <v>3 - Medium</v>
          </cell>
        </row>
        <row r="414">
          <cell r="A414" t="str">
            <v>IM44207594</v>
          </cell>
          <cell r="B414" t="str">
            <v>Closed</v>
          </cell>
          <cell r="C414" t="str">
            <v>Resolve - MISSED</v>
          </cell>
          <cell r="D414" t="str">
            <v>3 - Medium</v>
          </cell>
        </row>
        <row r="415">
          <cell r="A415" t="str">
            <v>IM44209178</v>
          </cell>
          <cell r="B415" t="str">
            <v>Closed</v>
          </cell>
          <cell r="D415" t="str">
            <v>4 - Low</v>
          </cell>
        </row>
        <row r="416">
          <cell r="A416" t="str">
            <v>IM44212206</v>
          </cell>
          <cell r="B416" t="str">
            <v>Closed</v>
          </cell>
          <cell r="C416" t="str">
            <v>Resolve - Alert 1</v>
          </cell>
          <cell r="D416" t="str">
            <v>4 - Low</v>
          </cell>
        </row>
        <row r="417">
          <cell r="A417" t="str">
            <v>IM44217835</v>
          </cell>
          <cell r="B417" t="str">
            <v>Closed</v>
          </cell>
          <cell r="C417" t="str">
            <v>Resolve - Alert 2</v>
          </cell>
          <cell r="D417" t="str">
            <v>4 - Low</v>
          </cell>
        </row>
        <row r="418">
          <cell r="A418" t="str">
            <v>IM44221340</v>
          </cell>
          <cell r="B418" t="str">
            <v>Closed</v>
          </cell>
          <cell r="D418" t="str">
            <v>2 - High</v>
          </cell>
        </row>
        <row r="419">
          <cell r="A419" t="str">
            <v>IM44226330</v>
          </cell>
          <cell r="B419" t="str">
            <v>Closed</v>
          </cell>
          <cell r="D419" t="str">
            <v>2 - High</v>
          </cell>
        </row>
        <row r="420">
          <cell r="A420" t="str">
            <v>IM44227837</v>
          </cell>
          <cell r="B420" t="str">
            <v>Closed</v>
          </cell>
          <cell r="D420" t="str">
            <v>2 - High</v>
          </cell>
        </row>
        <row r="421">
          <cell r="A421" t="str">
            <v>IM44228022</v>
          </cell>
          <cell r="B421" t="str">
            <v>Closed</v>
          </cell>
          <cell r="D421" t="str">
            <v>2 - High</v>
          </cell>
        </row>
        <row r="422">
          <cell r="A422" t="str">
            <v>IM44229849</v>
          </cell>
          <cell r="B422" t="str">
            <v>Closed</v>
          </cell>
          <cell r="C422" t="str">
            <v>Resolve - Alert 1</v>
          </cell>
          <cell r="D422" t="str">
            <v>3 - Medium</v>
          </cell>
        </row>
        <row r="423">
          <cell r="A423" t="str">
            <v>IM44229932</v>
          </cell>
          <cell r="B423" t="str">
            <v>Closed</v>
          </cell>
          <cell r="D423" t="str">
            <v>4 - Low</v>
          </cell>
        </row>
        <row r="424">
          <cell r="A424" t="str">
            <v>IM44232550</v>
          </cell>
          <cell r="B424" t="str">
            <v>Closed</v>
          </cell>
          <cell r="C424" t="str">
            <v>Resolve - Alert 1</v>
          </cell>
          <cell r="D424" t="str">
            <v>3 - Medium</v>
          </cell>
        </row>
        <row r="425">
          <cell r="A425" t="str">
            <v>IM44239574</v>
          </cell>
          <cell r="B425" t="str">
            <v>Closed</v>
          </cell>
          <cell r="C425" t="str">
            <v>Resolve - MISSED</v>
          </cell>
          <cell r="D425" t="str">
            <v>3 - Medium</v>
          </cell>
        </row>
        <row r="426">
          <cell r="A426" t="str">
            <v>IM44244909</v>
          </cell>
          <cell r="B426" t="str">
            <v>Closed</v>
          </cell>
          <cell r="D426" t="str">
            <v>3 - Medium</v>
          </cell>
        </row>
        <row r="427">
          <cell r="A427" t="str">
            <v>IM44251846</v>
          </cell>
          <cell r="B427" t="str">
            <v>Closed</v>
          </cell>
          <cell r="D427" t="str">
            <v>4 - Low</v>
          </cell>
        </row>
        <row r="428">
          <cell r="A428" t="str">
            <v>IM44258055</v>
          </cell>
          <cell r="B428" t="str">
            <v>Closed</v>
          </cell>
          <cell r="C428" t="str">
            <v>Resolve - MISSED</v>
          </cell>
          <cell r="D428" t="str">
            <v>4 - Low</v>
          </cell>
        </row>
        <row r="429">
          <cell r="A429" t="str">
            <v>IM44260802</v>
          </cell>
          <cell r="B429" t="str">
            <v>Closed</v>
          </cell>
          <cell r="C429" t="str">
            <v>Resolve - MISSED</v>
          </cell>
          <cell r="D429" t="str">
            <v>2 - High</v>
          </cell>
        </row>
        <row r="430">
          <cell r="A430" t="str">
            <v>IM44261977</v>
          </cell>
          <cell r="B430" t="str">
            <v>Closed</v>
          </cell>
          <cell r="D430" t="str">
            <v>4 - Low</v>
          </cell>
        </row>
        <row r="431">
          <cell r="A431" t="str">
            <v>IM44275667</v>
          </cell>
          <cell r="B431" t="str">
            <v>Closed</v>
          </cell>
          <cell r="C431" t="str">
            <v>Resolve - MISSED</v>
          </cell>
          <cell r="D431" t="str">
            <v>2 - High</v>
          </cell>
        </row>
        <row r="432">
          <cell r="A432" t="str">
            <v>IM44278640</v>
          </cell>
          <cell r="B432" t="str">
            <v>Closed</v>
          </cell>
          <cell r="C432" t="str">
            <v>Resolve - MISSED</v>
          </cell>
          <cell r="D432" t="str">
            <v>3 - Medium</v>
          </cell>
        </row>
        <row r="433">
          <cell r="A433" t="str">
            <v>IM44300073</v>
          </cell>
          <cell r="B433" t="str">
            <v>Closed</v>
          </cell>
          <cell r="D433" t="str">
            <v>4 - Low</v>
          </cell>
        </row>
        <row r="434">
          <cell r="A434" t="str">
            <v>IM44308853</v>
          </cell>
          <cell r="B434" t="str">
            <v>Closed</v>
          </cell>
          <cell r="D434" t="str">
            <v>4 - Low</v>
          </cell>
        </row>
        <row r="435">
          <cell r="A435" t="str">
            <v>IM44309152</v>
          </cell>
          <cell r="B435" t="str">
            <v>Closed</v>
          </cell>
          <cell r="D435" t="str">
            <v>4 - Low</v>
          </cell>
        </row>
        <row r="436">
          <cell r="A436" t="str">
            <v>IM44315642</v>
          </cell>
          <cell r="B436" t="str">
            <v>Closed</v>
          </cell>
          <cell r="D436" t="str">
            <v>2 - High</v>
          </cell>
        </row>
        <row r="437">
          <cell r="A437" t="str">
            <v>IM44341094</v>
          </cell>
          <cell r="B437" t="str">
            <v>Closed</v>
          </cell>
          <cell r="C437" t="str">
            <v>Resolve - MISSED</v>
          </cell>
          <cell r="D437" t="str">
            <v>3 - Medium</v>
          </cell>
        </row>
        <row r="438">
          <cell r="A438" t="str">
            <v>IM44343989</v>
          </cell>
          <cell r="B438" t="str">
            <v>Closed</v>
          </cell>
          <cell r="D438" t="str">
            <v>4 - Low</v>
          </cell>
        </row>
        <row r="439">
          <cell r="A439" t="str">
            <v>IM44348319</v>
          </cell>
          <cell r="B439" t="str">
            <v>Closed</v>
          </cell>
          <cell r="D439" t="str">
            <v>3 - Medium</v>
          </cell>
        </row>
        <row r="440">
          <cell r="A440" t="str">
            <v>IM44348564</v>
          </cell>
          <cell r="B440" t="str">
            <v>Closed</v>
          </cell>
          <cell r="C440" t="str">
            <v>Resolve - MISSED</v>
          </cell>
          <cell r="D440" t="str">
            <v>4 - Low</v>
          </cell>
        </row>
        <row r="441">
          <cell r="A441" t="str">
            <v>IM44354312</v>
          </cell>
          <cell r="B441" t="str">
            <v>Closed</v>
          </cell>
          <cell r="D441" t="str">
            <v>2 - High</v>
          </cell>
        </row>
        <row r="442">
          <cell r="A442" t="str">
            <v>IM44366841</v>
          </cell>
          <cell r="B442" t="str">
            <v>Closed</v>
          </cell>
          <cell r="D442" t="str">
            <v>3 - Medium</v>
          </cell>
        </row>
        <row r="443">
          <cell r="A443" t="str">
            <v>IM44368413</v>
          </cell>
          <cell r="B443" t="str">
            <v>Closed</v>
          </cell>
          <cell r="D443" t="str">
            <v>4 - Low</v>
          </cell>
        </row>
        <row r="444">
          <cell r="A444" t="str">
            <v>IM44368751</v>
          </cell>
          <cell r="B444" t="str">
            <v>Closed</v>
          </cell>
          <cell r="C444" t="str">
            <v>Resolve - MISSED</v>
          </cell>
          <cell r="D444" t="str">
            <v>3 - Medium</v>
          </cell>
        </row>
        <row r="445">
          <cell r="A445" t="str">
            <v>IM44376205</v>
          </cell>
          <cell r="B445" t="str">
            <v>Closed</v>
          </cell>
          <cell r="D445" t="str">
            <v>4 - Low</v>
          </cell>
        </row>
        <row r="446">
          <cell r="A446" t="str">
            <v>IM44379645</v>
          </cell>
          <cell r="B446" t="str">
            <v>Closed</v>
          </cell>
          <cell r="D446" t="str">
            <v>3 - Medium</v>
          </cell>
        </row>
        <row r="447">
          <cell r="A447" t="str">
            <v>IM44404635</v>
          </cell>
          <cell r="B447" t="str">
            <v>Closed</v>
          </cell>
          <cell r="C447" t="str">
            <v>Resolve - Alert 2</v>
          </cell>
          <cell r="D447" t="str">
            <v>4 - Low</v>
          </cell>
        </row>
        <row r="448">
          <cell r="A448" t="str">
            <v>IM44415408</v>
          </cell>
          <cell r="B448" t="str">
            <v>Closed</v>
          </cell>
          <cell r="C448" t="str">
            <v>Resolve - MISSED</v>
          </cell>
          <cell r="D448" t="str">
            <v>3 - Medium</v>
          </cell>
        </row>
        <row r="449">
          <cell r="A449" t="str">
            <v>IM44418925</v>
          </cell>
          <cell r="B449" t="str">
            <v>Closed</v>
          </cell>
          <cell r="D449" t="str">
            <v>4 - Low</v>
          </cell>
        </row>
        <row r="450">
          <cell r="A450" t="str">
            <v>IM44420684</v>
          </cell>
          <cell r="B450" t="str">
            <v>Closed</v>
          </cell>
          <cell r="D450" t="str">
            <v>2 - High</v>
          </cell>
        </row>
        <row r="451">
          <cell r="A451" t="str">
            <v>IM44421701</v>
          </cell>
          <cell r="B451" t="str">
            <v>Closed</v>
          </cell>
          <cell r="D451" t="str">
            <v>4 - Low</v>
          </cell>
        </row>
        <row r="452">
          <cell r="A452" t="str">
            <v>IM44421971</v>
          </cell>
          <cell r="B452" t="str">
            <v>Closed</v>
          </cell>
          <cell r="D452" t="str">
            <v>4 - Low</v>
          </cell>
        </row>
        <row r="453">
          <cell r="A453" t="str">
            <v>IM44423198</v>
          </cell>
          <cell r="B453" t="str">
            <v>Closed</v>
          </cell>
          <cell r="D453" t="str">
            <v>4 - Low</v>
          </cell>
        </row>
        <row r="454">
          <cell r="A454" t="str">
            <v>IM44440728</v>
          </cell>
          <cell r="B454" t="str">
            <v>Closed</v>
          </cell>
          <cell r="D454" t="str">
            <v>4 - Low</v>
          </cell>
        </row>
        <row r="455">
          <cell r="A455" t="str">
            <v>IM44440735</v>
          </cell>
          <cell r="B455" t="str">
            <v>Closed</v>
          </cell>
          <cell r="D455" t="str">
            <v>4 - Low</v>
          </cell>
        </row>
        <row r="456">
          <cell r="A456" t="str">
            <v>IM44476329</v>
          </cell>
          <cell r="B456" t="str">
            <v>Closed</v>
          </cell>
          <cell r="D456" t="str">
            <v>4 - Low</v>
          </cell>
        </row>
        <row r="457">
          <cell r="A457" t="str">
            <v>IM44479812</v>
          </cell>
          <cell r="B457" t="str">
            <v>Closed</v>
          </cell>
          <cell r="D457" t="str">
            <v>4 - Low</v>
          </cell>
        </row>
        <row r="458">
          <cell r="A458" t="str">
            <v>IM44479837</v>
          </cell>
          <cell r="B458" t="str">
            <v>Closed</v>
          </cell>
          <cell r="D458" t="str">
            <v>4 - Low</v>
          </cell>
        </row>
        <row r="459">
          <cell r="A459" t="str">
            <v>IM44479852</v>
          </cell>
          <cell r="B459" t="str">
            <v>Closed</v>
          </cell>
          <cell r="D459" t="str">
            <v>4 - Low</v>
          </cell>
        </row>
        <row r="460">
          <cell r="A460" t="str">
            <v>IM44484890</v>
          </cell>
          <cell r="B460" t="str">
            <v>Closed</v>
          </cell>
          <cell r="D460" t="str">
            <v>4 - Low</v>
          </cell>
        </row>
        <row r="461">
          <cell r="A461" t="str">
            <v>IM44484902</v>
          </cell>
          <cell r="B461" t="str">
            <v>Closed</v>
          </cell>
          <cell r="D461" t="str">
            <v>4 - Low</v>
          </cell>
        </row>
        <row r="462">
          <cell r="A462" t="str">
            <v>IM44487939</v>
          </cell>
          <cell r="B462" t="str">
            <v>Closed</v>
          </cell>
          <cell r="C462" t="str">
            <v>Respond - MISSED</v>
          </cell>
          <cell r="D462" t="str">
            <v>4 - Low</v>
          </cell>
        </row>
        <row r="463">
          <cell r="A463" t="str">
            <v>IM44491961</v>
          </cell>
          <cell r="B463" t="str">
            <v>Closed</v>
          </cell>
          <cell r="D463" t="str">
            <v>4 - Low</v>
          </cell>
        </row>
        <row r="464">
          <cell r="A464" t="str">
            <v>IM44491973</v>
          </cell>
          <cell r="B464" t="str">
            <v>Closed</v>
          </cell>
          <cell r="D464" t="str">
            <v>4 - Low</v>
          </cell>
        </row>
        <row r="465">
          <cell r="A465" t="str">
            <v>IM44492818</v>
          </cell>
          <cell r="B465" t="str">
            <v>Closed</v>
          </cell>
          <cell r="D465" t="str">
            <v>4 - Low</v>
          </cell>
        </row>
        <row r="466">
          <cell r="A466" t="str">
            <v>IM44493033</v>
          </cell>
          <cell r="B466" t="str">
            <v>Closed</v>
          </cell>
          <cell r="D466" t="str">
            <v>4 - Low</v>
          </cell>
        </row>
        <row r="467">
          <cell r="A467" t="str">
            <v>IM44496467</v>
          </cell>
          <cell r="B467" t="str">
            <v>Closed</v>
          </cell>
          <cell r="D467" t="str">
            <v>4 - Low</v>
          </cell>
        </row>
        <row r="468">
          <cell r="A468" t="str">
            <v>IM44497164</v>
          </cell>
          <cell r="B468" t="str">
            <v>Closed</v>
          </cell>
          <cell r="D468" t="str">
            <v>4 - Low</v>
          </cell>
        </row>
        <row r="469">
          <cell r="A469" t="str">
            <v>IM44506029</v>
          </cell>
          <cell r="B469" t="str">
            <v>Closed</v>
          </cell>
          <cell r="C469" t="str">
            <v>Resolve - Alert 1</v>
          </cell>
          <cell r="D469" t="str">
            <v>4 - Low</v>
          </cell>
        </row>
        <row r="470">
          <cell r="A470" t="str">
            <v>IM44506042</v>
          </cell>
          <cell r="B470" t="str">
            <v>Closed</v>
          </cell>
          <cell r="D470" t="str">
            <v>4 - Low</v>
          </cell>
        </row>
        <row r="471">
          <cell r="A471" t="str">
            <v>IM44508435</v>
          </cell>
          <cell r="B471" t="str">
            <v>Closed</v>
          </cell>
          <cell r="D471" t="str">
            <v>2 - High</v>
          </cell>
        </row>
        <row r="472">
          <cell r="A472" t="str">
            <v>IM44511482</v>
          </cell>
          <cell r="B472" t="str">
            <v>Closed</v>
          </cell>
          <cell r="D472" t="str">
            <v>4 - Low</v>
          </cell>
        </row>
        <row r="473">
          <cell r="A473" t="str">
            <v>IM44514997</v>
          </cell>
          <cell r="B473" t="str">
            <v>Closed</v>
          </cell>
          <cell r="D473" t="str">
            <v>4 - Low</v>
          </cell>
        </row>
        <row r="474">
          <cell r="A474" t="str">
            <v>IM44516316</v>
          </cell>
          <cell r="B474" t="str">
            <v>Closed</v>
          </cell>
          <cell r="D474" t="str">
            <v>4 - Low</v>
          </cell>
        </row>
        <row r="475">
          <cell r="A475" t="str">
            <v>IM44522992</v>
          </cell>
          <cell r="B475" t="str">
            <v>Closed</v>
          </cell>
          <cell r="D475" t="str">
            <v>4 - Low</v>
          </cell>
        </row>
        <row r="476">
          <cell r="A476" t="str">
            <v>IM44529008</v>
          </cell>
          <cell r="B476" t="str">
            <v>Closed</v>
          </cell>
          <cell r="D476" t="str">
            <v>4 - Low</v>
          </cell>
        </row>
        <row r="477">
          <cell r="A477" t="str">
            <v>IM44529550</v>
          </cell>
          <cell r="B477" t="str">
            <v>Closed</v>
          </cell>
          <cell r="C477" t="str">
            <v>Resolve - MISSED</v>
          </cell>
          <cell r="D477" t="str">
            <v>3 - Medium</v>
          </cell>
        </row>
        <row r="478">
          <cell r="A478" t="str">
            <v>IM44535591</v>
          </cell>
          <cell r="B478" t="str">
            <v>Closed</v>
          </cell>
          <cell r="D478" t="str">
            <v>4 - Low</v>
          </cell>
        </row>
        <row r="479">
          <cell r="A479" t="str">
            <v>IM44538549</v>
          </cell>
          <cell r="B479" t="str">
            <v>Closed</v>
          </cell>
          <cell r="D479" t="str">
            <v>4 - Low</v>
          </cell>
        </row>
        <row r="480">
          <cell r="A480" t="str">
            <v>IM44541668</v>
          </cell>
          <cell r="B480" t="str">
            <v>Closed</v>
          </cell>
          <cell r="D480" t="str">
            <v>4 - Low</v>
          </cell>
        </row>
        <row r="481">
          <cell r="A481" t="str">
            <v>IM44545714</v>
          </cell>
          <cell r="B481" t="str">
            <v>Closed</v>
          </cell>
          <cell r="D481" t="str">
            <v>4 - Low</v>
          </cell>
        </row>
        <row r="482">
          <cell r="A482" t="str">
            <v>IM44552151</v>
          </cell>
          <cell r="B482" t="str">
            <v>Closed</v>
          </cell>
          <cell r="D482" t="str">
            <v>4 - Low</v>
          </cell>
        </row>
        <row r="483">
          <cell r="A483" t="str">
            <v>IM44552204</v>
          </cell>
          <cell r="B483" t="str">
            <v>Closed</v>
          </cell>
          <cell r="D483" t="str">
            <v>4 - Low</v>
          </cell>
        </row>
        <row r="484">
          <cell r="A484" t="str">
            <v>IM44552899</v>
          </cell>
          <cell r="B484" t="str">
            <v>Closed</v>
          </cell>
          <cell r="D484" t="str">
            <v>4 - Low</v>
          </cell>
        </row>
        <row r="485">
          <cell r="A485" t="str">
            <v>IM44559176</v>
          </cell>
          <cell r="B485" t="str">
            <v>Closed</v>
          </cell>
          <cell r="D485" t="str">
            <v>4 - Low</v>
          </cell>
        </row>
        <row r="486">
          <cell r="A486" t="str">
            <v>IM44560636</v>
          </cell>
          <cell r="B486" t="str">
            <v>Closed</v>
          </cell>
          <cell r="D486" t="str">
            <v>4 - Low</v>
          </cell>
        </row>
        <row r="487">
          <cell r="A487" t="str">
            <v>IM44561047</v>
          </cell>
          <cell r="B487" t="str">
            <v>Closed</v>
          </cell>
          <cell r="D487" t="str">
            <v>4 - Low</v>
          </cell>
        </row>
        <row r="488">
          <cell r="A488" t="str">
            <v>IM44561130</v>
          </cell>
          <cell r="B488" t="str">
            <v>Closed</v>
          </cell>
          <cell r="D488" t="str">
            <v>4 - Low</v>
          </cell>
        </row>
        <row r="489">
          <cell r="A489" t="str">
            <v>IM44564094</v>
          </cell>
          <cell r="B489" t="str">
            <v>Closed</v>
          </cell>
          <cell r="D489" t="str">
            <v>4 - Low</v>
          </cell>
        </row>
        <row r="490">
          <cell r="A490" t="str">
            <v>IM44568335</v>
          </cell>
          <cell r="B490" t="str">
            <v>Closed</v>
          </cell>
          <cell r="D490" t="str">
            <v>4 - Low</v>
          </cell>
        </row>
        <row r="491">
          <cell r="A491" t="str">
            <v>IM44574490</v>
          </cell>
          <cell r="B491" t="str">
            <v>Closed</v>
          </cell>
          <cell r="D491" t="str">
            <v>4 - Low</v>
          </cell>
        </row>
        <row r="492">
          <cell r="A492" t="str">
            <v>IM44588782</v>
          </cell>
          <cell r="B492" t="str">
            <v>Closed</v>
          </cell>
          <cell r="C492" t="str">
            <v>Resolve - MISSED</v>
          </cell>
          <cell r="D492" t="str">
            <v>4 - Low</v>
          </cell>
        </row>
        <row r="493">
          <cell r="A493" t="str">
            <v>IM44592101</v>
          </cell>
          <cell r="B493" t="str">
            <v>Closed</v>
          </cell>
          <cell r="D493" t="str">
            <v>4 - Low</v>
          </cell>
        </row>
        <row r="494">
          <cell r="A494" t="str">
            <v>IM44599798</v>
          </cell>
          <cell r="B494" t="str">
            <v>Closed</v>
          </cell>
          <cell r="C494" t="str">
            <v>Resolve - MISSED</v>
          </cell>
          <cell r="D494" t="str">
            <v>4 - Low</v>
          </cell>
        </row>
        <row r="495">
          <cell r="A495" t="str">
            <v>IM44613563</v>
          </cell>
          <cell r="B495" t="str">
            <v>Closed</v>
          </cell>
          <cell r="D495" t="str">
            <v>4 - Low</v>
          </cell>
        </row>
        <row r="496">
          <cell r="A496" t="str">
            <v>IM44615865</v>
          </cell>
          <cell r="B496" t="str">
            <v>Closed</v>
          </cell>
          <cell r="D496" t="str">
            <v>4 - Low</v>
          </cell>
        </row>
        <row r="497">
          <cell r="A497" t="str">
            <v>IM44625661</v>
          </cell>
          <cell r="B497" t="str">
            <v>Closed</v>
          </cell>
          <cell r="C497" t="str">
            <v>Resolve - MISSED</v>
          </cell>
          <cell r="D497" t="str">
            <v>3 - Medium</v>
          </cell>
        </row>
        <row r="498">
          <cell r="A498" t="str">
            <v>IM44640580</v>
          </cell>
          <cell r="B498" t="str">
            <v>Closed</v>
          </cell>
          <cell r="D498" t="str">
            <v>4 - Low</v>
          </cell>
        </row>
        <row r="499">
          <cell r="A499" t="str">
            <v>IM44641132</v>
          </cell>
          <cell r="B499" t="str">
            <v>Closed</v>
          </cell>
          <cell r="D499" t="str">
            <v>4 - Low</v>
          </cell>
        </row>
        <row r="500">
          <cell r="A500" t="str">
            <v>IM44652938</v>
          </cell>
          <cell r="B500" t="str">
            <v>Closed</v>
          </cell>
          <cell r="D500" t="str">
            <v>4 - Low</v>
          </cell>
        </row>
        <row r="501">
          <cell r="A501" t="str">
            <v>IM44673498</v>
          </cell>
          <cell r="B501" t="str">
            <v>Closed</v>
          </cell>
          <cell r="D501" t="str">
            <v>4 - Low</v>
          </cell>
        </row>
        <row r="502">
          <cell r="A502" t="str">
            <v>IM44673517</v>
          </cell>
          <cell r="B502" t="str">
            <v>Closed</v>
          </cell>
          <cell r="D502" t="str">
            <v>4 - Low</v>
          </cell>
        </row>
        <row r="503">
          <cell r="A503" t="str">
            <v>IM44673525</v>
          </cell>
          <cell r="B503" t="str">
            <v>Closed</v>
          </cell>
          <cell r="D503" t="str">
            <v>4 - Low</v>
          </cell>
        </row>
        <row r="504">
          <cell r="A504" t="str">
            <v>IM44673537</v>
          </cell>
          <cell r="B504" t="str">
            <v>Closed</v>
          </cell>
          <cell r="D504" t="str">
            <v>4 - Low</v>
          </cell>
        </row>
        <row r="505">
          <cell r="A505" t="str">
            <v>IM44673538</v>
          </cell>
          <cell r="B505" t="str">
            <v>Closed</v>
          </cell>
          <cell r="D505" t="str">
            <v>4 - Low</v>
          </cell>
        </row>
        <row r="506">
          <cell r="A506" t="str">
            <v>IM44674141</v>
          </cell>
          <cell r="B506" t="str">
            <v>Closed</v>
          </cell>
          <cell r="D506" t="str">
            <v>4 - Low</v>
          </cell>
        </row>
        <row r="507">
          <cell r="A507" t="str">
            <v>IM44678512</v>
          </cell>
          <cell r="B507" t="str">
            <v>Closed</v>
          </cell>
          <cell r="D507" t="str">
            <v>4 - Low</v>
          </cell>
        </row>
        <row r="508">
          <cell r="A508" t="str">
            <v>IM44687964</v>
          </cell>
          <cell r="B508" t="str">
            <v>Closed</v>
          </cell>
          <cell r="D508" t="str">
            <v>4 - Low</v>
          </cell>
        </row>
        <row r="509">
          <cell r="A509" t="str">
            <v>IM44689647</v>
          </cell>
          <cell r="B509" t="str">
            <v>Closed</v>
          </cell>
          <cell r="C509" t="str">
            <v>Respond - MISSED</v>
          </cell>
          <cell r="D509" t="str">
            <v>4 - Low</v>
          </cell>
        </row>
        <row r="510">
          <cell r="A510" t="str">
            <v>IM44690231</v>
          </cell>
          <cell r="B510" t="str">
            <v>Closed</v>
          </cell>
          <cell r="C510" t="str">
            <v>Respond - MISSED</v>
          </cell>
          <cell r="D510" t="str">
            <v>4 - Low</v>
          </cell>
        </row>
        <row r="511">
          <cell r="A511" t="str">
            <v>IM44690236</v>
          </cell>
          <cell r="B511" t="str">
            <v>Closed</v>
          </cell>
          <cell r="C511" t="str">
            <v>Resolve - Alert 1</v>
          </cell>
          <cell r="D511" t="str">
            <v>3 - Medium</v>
          </cell>
        </row>
        <row r="512">
          <cell r="A512" t="str">
            <v>IM44690943</v>
          </cell>
          <cell r="B512" t="str">
            <v>Closed</v>
          </cell>
          <cell r="C512" t="str">
            <v>Respond - Alert 2</v>
          </cell>
          <cell r="D512" t="str">
            <v>4 - Low</v>
          </cell>
        </row>
        <row r="513">
          <cell r="A513" t="str">
            <v>IM44693859</v>
          </cell>
          <cell r="B513" t="str">
            <v>Closed</v>
          </cell>
          <cell r="D513" t="str">
            <v>4 - Low</v>
          </cell>
        </row>
        <row r="514">
          <cell r="A514" t="str">
            <v>IM44703720</v>
          </cell>
          <cell r="B514" t="str">
            <v>Closed</v>
          </cell>
          <cell r="D514" t="str">
            <v>4 - Low</v>
          </cell>
        </row>
        <row r="515">
          <cell r="A515" t="str">
            <v>IM44704697</v>
          </cell>
          <cell r="B515" t="str">
            <v>Closed</v>
          </cell>
          <cell r="D515" t="str">
            <v>4 - Low</v>
          </cell>
        </row>
        <row r="516">
          <cell r="A516" t="str">
            <v>IM44706737</v>
          </cell>
          <cell r="B516" t="str">
            <v>Closed</v>
          </cell>
          <cell r="C516" t="str">
            <v>Resolve - Alert 1</v>
          </cell>
          <cell r="D516" t="str">
            <v>4 - Low</v>
          </cell>
        </row>
        <row r="517">
          <cell r="A517" t="str">
            <v>IM44707919</v>
          </cell>
          <cell r="B517" t="str">
            <v>Closed</v>
          </cell>
          <cell r="C517" t="str">
            <v>Resolve - MISSED</v>
          </cell>
          <cell r="D517" t="str">
            <v>4 - Low</v>
          </cell>
        </row>
        <row r="518">
          <cell r="A518" t="str">
            <v>IM44710379</v>
          </cell>
          <cell r="B518" t="str">
            <v>Closed</v>
          </cell>
          <cell r="D518" t="str">
            <v>4 - Low</v>
          </cell>
        </row>
        <row r="519">
          <cell r="A519" t="str">
            <v>IM44710439</v>
          </cell>
          <cell r="B519" t="str">
            <v>Closed</v>
          </cell>
          <cell r="C519" t="str">
            <v>Resolve - Alert 1</v>
          </cell>
          <cell r="D519" t="str">
            <v>4 - Low</v>
          </cell>
        </row>
        <row r="520">
          <cell r="A520" t="str">
            <v>IM44714085</v>
          </cell>
          <cell r="B520" t="str">
            <v>Closed</v>
          </cell>
          <cell r="C520" t="str">
            <v>Resolve - Alert 1</v>
          </cell>
          <cell r="D520" t="str">
            <v>4 - Low</v>
          </cell>
        </row>
        <row r="521">
          <cell r="A521" t="str">
            <v>IM44718450</v>
          </cell>
          <cell r="B521" t="str">
            <v>Closed</v>
          </cell>
          <cell r="C521" t="str">
            <v>Resolve - Alert 1</v>
          </cell>
          <cell r="D521" t="str">
            <v>4 - Low</v>
          </cell>
        </row>
        <row r="522">
          <cell r="A522" t="str">
            <v>IM44723023</v>
          </cell>
          <cell r="B522" t="str">
            <v>Closed</v>
          </cell>
          <cell r="D522" t="str">
            <v>4 - Low</v>
          </cell>
        </row>
        <row r="523">
          <cell r="A523" t="str">
            <v>IM44723040</v>
          </cell>
          <cell r="B523" t="str">
            <v>Closed</v>
          </cell>
          <cell r="D523" t="str">
            <v>4 - Low</v>
          </cell>
        </row>
        <row r="524">
          <cell r="A524" t="str">
            <v>IM44726697</v>
          </cell>
          <cell r="B524" t="str">
            <v>Closed</v>
          </cell>
          <cell r="D524" t="str">
            <v>4 - Low</v>
          </cell>
        </row>
        <row r="525">
          <cell r="A525" t="str">
            <v>IM44726724</v>
          </cell>
          <cell r="B525" t="str">
            <v>Closed</v>
          </cell>
          <cell r="D525" t="str">
            <v>4 - Low</v>
          </cell>
        </row>
        <row r="526">
          <cell r="A526" t="str">
            <v>IM44727551</v>
          </cell>
          <cell r="B526" t="str">
            <v>Closed</v>
          </cell>
          <cell r="D526" t="str">
            <v>4 - Low</v>
          </cell>
        </row>
        <row r="527">
          <cell r="A527" t="str">
            <v>IM44751376</v>
          </cell>
          <cell r="B527" t="str">
            <v>Closed</v>
          </cell>
          <cell r="D527" t="str">
            <v>4 - Low</v>
          </cell>
        </row>
        <row r="528">
          <cell r="A528" t="str">
            <v>IM44754354</v>
          </cell>
          <cell r="B528" t="str">
            <v>Closed</v>
          </cell>
          <cell r="C528" t="str">
            <v>Resolve - MISSED</v>
          </cell>
          <cell r="D528" t="str">
            <v>3 - Medium</v>
          </cell>
        </row>
        <row r="529">
          <cell r="A529" t="str">
            <v>IM44762108</v>
          </cell>
          <cell r="B529" t="str">
            <v>Closed</v>
          </cell>
          <cell r="D529" t="str">
            <v>4 - Low</v>
          </cell>
        </row>
        <row r="530">
          <cell r="A530" t="str">
            <v>IM44762261</v>
          </cell>
          <cell r="B530" t="str">
            <v>Closed</v>
          </cell>
          <cell r="D530" t="str">
            <v>4 - Low</v>
          </cell>
        </row>
        <row r="531">
          <cell r="A531" t="str">
            <v>IM44775855</v>
          </cell>
          <cell r="B531" t="str">
            <v>Closed</v>
          </cell>
          <cell r="D531" t="str">
            <v>2 - High</v>
          </cell>
        </row>
        <row r="532">
          <cell r="A532" t="str">
            <v>IM44779443</v>
          </cell>
          <cell r="B532" t="str">
            <v>Closed</v>
          </cell>
          <cell r="D532" t="str">
            <v>4 - Low</v>
          </cell>
        </row>
        <row r="533">
          <cell r="A533" t="str">
            <v>IM44782193</v>
          </cell>
          <cell r="B533" t="str">
            <v>Closed</v>
          </cell>
          <cell r="C533" t="str">
            <v>Resolve - MISSED</v>
          </cell>
          <cell r="D533" t="str">
            <v>4 - Low</v>
          </cell>
        </row>
        <row r="534">
          <cell r="A534" t="str">
            <v>IM44782443</v>
          </cell>
          <cell r="B534" t="str">
            <v>Closed</v>
          </cell>
          <cell r="D534" t="str">
            <v>4 - Low</v>
          </cell>
        </row>
        <row r="535">
          <cell r="A535" t="str">
            <v>IM44784466</v>
          </cell>
          <cell r="B535" t="str">
            <v>Closed</v>
          </cell>
          <cell r="D535" t="str">
            <v>2 - High</v>
          </cell>
        </row>
        <row r="536">
          <cell r="A536" t="str">
            <v>IM44786117</v>
          </cell>
          <cell r="B536" t="str">
            <v>Closed</v>
          </cell>
          <cell r="D536" t="str">
            <v>4 - Low</v>
          </cell>
        </row>
        <row r="537">
          <cell r="A537" t="str">
            <v>IM44791815</v>
          </cell>
          <cell r="B537" t="str">
            <v>Closed</v>
          </cell>
          <cell r="D537" t="str">
            <v>3 - Medium</v>
          </cell>
        </row>
        <row r="538">
          <cell r="A538" t="str">
            <v>IM44793931</v>
          </cell>
          <cell r="B538" t="str">
            <v>Closed</v>
          </cell>
          <cell r="C538" t="str">
            <v>Resolve - Alert 2</v>
          </cell>
          <cell r="D538" t="str">
            <v>3 - Medium</v>
          </cell>
        </row>
        <row r="539">
          <cell r="A539" t="str">
            <v>IM44808379</v>
          </cell>
          <cell r="B539" t="str">
            <v>Closed</v>
          </cell>
          <cell r="D539" t="str">
            <v>4 - Low</v>
          </cell>
        </row>
        <row r="540">
          <cell r="A540" t="str">
            <v>IM44808505</v>
          </cell>
          <cell r="B540" t="str">
            <v>Closed</v>
          </cell>
          <cell r="D540" t="str">
            <v>4 - Low</v>
          </cell>
        </row>
        <row r="541">
          <cell r="A541" t="str">
            <v>IM44820207</v>
          </cell>
          <cell r="B541" t="str">
            <v>Closed</v>
          </cell>
          <cell r="D541" t="str">
            <v>4 - Low</v>
          </cell>
        </row>
        <row r="542">
          <cell r="A542" t="str">
            <v>IM44820974</v>
          </cell>
          <cell r="B542" t="str">
            <v>Closed</v>
          </cell>
          <cell r="D542" t="str">
            <v>4 - Low</v>
          </cell>
        </row>
        <row r="543">
          <cell r="A543" t="str">
            <v>IM44822767</v>
          </cell>
          <cell r="B543" t="str">
            <v>Closed</v>
          </cell>
          <cell r="D543" t="str">
            <v>4 - Low</v>
          </cell>
        </row>
        <row r="544">
          <cell r="A544" t="str">
            <v>IM44826808</v>
          </cell>
          <cell r="B544" t="str">
            <v>Closed</v>
          </cell>
          <cell r="D544" t="str">
            <v>4 - Low</v>
          </cell>
        </row>
        <row r="545">
          <cell r="A545" t="str">
            <v>IM44831076</v>
          </cell>
          <cell r="B545" t="str">
            <v>Closed</v>
          </cell>
          <cell r="D545" t="str">
            <v>4 - Low</v>
          </cell>
        </row>
        <row r="546">
          <cell r="A546" t="str">
            <v>IM44832577</v>
          </cell>
          <cell r="B546" t="str">
            <v>Closed</v>
          </cell>
          <cell r="D546" t="str">
            <v>4 - Low</v>
          </cell>
        </row>
        <row r="547">
          <cell r="A547" t="str">
            <v>IM44836640</v>
          </cell>
          <cell r="B547" t="str">
            <v>Closed</v>
          </cell>
          <cell r="C547" t="str">
            <v>Resolve - MISSED</v>
          </cell>
          <cell r="D547" t="str">
            <v>4 - Low</v>
          </cell>
        </row>
        <row r="548">
          <cell r="A548" t="str">
            <v>IM44837521</v>
          </cell>
          <cell r="B548" t="str">
            <v>Closed</v>
          </cell>
          <cell r="D548" t="str">
            <v>4 - Low</v>
          </cell>
        </row>
        <row r="549">
          <cell r="A549" t="str">
            <v>IM44838337</v>
          </cell>
          <cell r="B549" t="str">
            <v>Closed</v>
          </cell>
          <cell r="C549" t="str">
            <v>Resolve - MISSED</v>
          </cell>
          <cell r="D549" t="str">
            <v>3 - Medium</v>
          </cell>
        </row>
        <row r="550">
          <cell r="A550" t="str">
            <v>IM44838901</v>
          </cell>
          <cell r="B550" t="str">
            <v>Closed</v>
          </cell>
          <cell r="C550" t="str">
            <v>Resolve - MISSED</v>
          </cell>
          <cell r="D550" t="str">
            <v>4 - Low</v>
          </cell>
        </row>
        <row r="551">
          <cell r="A551" t="str">
            <v>IM44841660</v>
          </cell>
          <cell r="B551" t="str">
            <v>Closed</v>
          </cell>
          <cell r="D551" t="str">
            <v>4 - Low</v>
          </cell>
        </row>
        <row r="552">
          <cell r="A552" t="str">
            <v>IM44845649</v>
          </cell>
          <cell r="B552" t="str">
            <v>Closed</v>
          </cell>
          <cell r="D552" t="str">
            <v>4 - Low</v>
          </cell>
        </row>
        <row r="553">
          <cell r="A553" t="str">
            <v>IM44848793</v>
          </cell>
          <cell r="B553" t="str">
            <v>Closed</v>
          </cell>
          <cell r="D553" t="str">
            <v>4 - Low</v>
          </cell>
        </row>
        <row r="554">
          <cell r="A554" t="str">
            <v>IM44849598</v>
          </cell>
          <cell r="B554" t="str">
            <v>Closed</v>
          </cell>
          <cell r="D554" t="str">
            <v>4 - Low</v>
          </cell>
        </row>
        <row r="555">
          <cell r="A555" t="str">
            <v>IM44849936</v>
          </cell>
          <cell r="B555" t="str">
            <v>Closed</v>
          </cell>
          <cell r="D555" t="str">
            <v>4 - Low</v>
          </cell>
        </row>
        <row r="556">
          <cell r="A556" t="str">
            <v>IM44853080</v>
          </cell>
          <cell r="B556" t="str">
            <v>Closed</v>
          </cell>
          <cell r="D556" t="str">
            <v>4 - Low</v>
          </cell>
        </row>
        <row r="557">
          <cell r="A557" t="str">
            <v>IM44853361</v>
          </cell>
          <cell r="B557" t="str">
            <v>Closed</v>
          </cell>
          <cell r="D557" t="str">
            <v>4 - Low</v>
          </cell>
        </row>
        <row r="558">
          <cell r="A558" t="str">
            <v>IM44864606</v>
          </cell>
          <cell r="B558" t="str">
            <v>Closed</v>
          </cell>
          <cell r="C558" t="str">
            <v>Resolve - Alert 1</v>
          </cell>
          <cell r="D558" t="str">
            <v>4 - Low</v>
          </cell>
        </row>
        <row r="559">
          <cell r="A559" t="str">
            <v>IM44874629</v>
          </cell>
          <cell r="B559" t="str">
            <v>Closed</v>
          </cell>
          <cell r="D559" t="str">
            <v>4 - Low</v>
          </cell>
        </row>
        <row r="560">
          <cell r="A560" t="str">
            <v>IM44905083</v>
          </cell>
          <cell r="B560" t="str">
            <v>Closed</v>
          </cell>
          <cell r="D560" t="str">
            <v>3 - Medium</v>
          </cell>
        </row>
        <row r="561">
          <cell r="A561" t="str">
            <v>IM44906241</v>
          </cell>
          <cell r="B561" t="str">
            <v>Closed</v>
          </cell>
          <cell r="D561" t="str">
            <v>3 - Medium</v>
          </cell>
        </row>
        <row r="562">
          <cell r="A562" t="str">
            <v>IM44906264</v>
          </cell>
          <cell r="B562" t="str">
            <v>Closed</v>
          </cell>
          <cell r="C562" t="str">
            <v>Resolve - Alert 1</v>
          </cell>
          <cell r="D562" t="str">
            <v>2 - High</v>
          </cell>
        </row>
        <row r="563">
          <cell r="A563" t="str">
            <v>IM44906286</v>
          </cell>
          <cell r="B563" t="str">
            <v>Closed</v>
          </cell>
          <cell r="D563" t="str">
            <v>2 - High</v>
          </cell>
        </row>
        <row r="564">
          <cell r="A564" t="str">
            <v>IM44906296</v>
          </cell>
          <cell r="B564" t="str">
            <v>Closed</v>
          </cell>
          <cell r="D564" t="str">
            <v>4 - Low</v>
          </cell>
        </row>
        <row r="565">
          <cell r="A565" t="str">
            <v>IM44906309</v>
          </cell>
          <cell r="B565" t="str">
            <v>Closed</v>
          </cell>
          <cell r="D565" t="str">
            <v>4 - Low</v>
          </cell>
        </row>
        <row r="566">
          <cell r="A566" t="str">
            <v>IM44909937</v>
          </cell>
          <cell r="B566" t="str">
            <v>Closed</v>
          </cell>
          <cell r="D566" t="str">
            <v>4 - Low</v>
          </cell>
        </row>
        <row r="567">
          <cell r="A567" t="str">
            <v>IM44910027</v>
          </cell>
          <cell r="B567" t="str">
            <v>Closed</v>
          </cell>
          <cell r="D567" t="str">
            <v>4 - Low</v>
          </cell>
        </row>
        <row r="568">
          <cell r="A568" t="str">
            <v>IM44910095</v>
          </cell>
          <cell r="B568" t="str">
            <v>Closed</v>
          </cell>
          <cell r="D568" t="str">
            <v>4 - Low</v>
          </cell>
        </row>
        <row r="569">
          <cell r="A569" t="str">
            <v>IM44922833</v>
          </cell>
          <cell r="B569" t="str">
            <v>Closed</v>
          </cell>
          <cell r="D569" t="str">
            <v>2 - High</v>
          </cell>
        </row>
        <row r="570">
          <cell r="A570" t="str">
            <v>IM44945050</v>
          </cell>
          <cell r="B570" t="str">
            <v>Closed</v>
          </cell>
          <cell r="D570" t="str">
            <v>4 - Low</v>
          </cell>
        </row>
        <row r="571">
          <cell r="A571" t="str">
            <v>IM44947189</v>
          </cell>
          <cell r="B571" t="str">
            <v>Closed</v>
          </cell>
          <cell r="D571" t="str">
            <v>2 - High</v>
          </cell>
        </row>
        <row r="572">
          <cell r="A572" t="str">
            <v>IM44948319</v>
          </cell>
          <cell r="B572" t="str">
            <v>Closed</v>
          </cell>
          <cell r="C572" t="str">
            <v>Resolve - MISSED</v>
          </cell>
          <cell r="D572" t="str">
            <v>4 - Low</v>
          </cell>
        </row>
        <row r="573">
          <cell r="A573" t="str">
            <v>IM44948338</v>
          </cell>
          <cell r="B573" t="str">
            <v>Closed</v>
          </cell>
          <cell r="D573" t="str">
            <v>4 - Low</v>
          </cell>
        </row>
        <row r="574">
          <cell r="A574" t="str">
            <v>IM44948354</v>
          </cell>
          <cell r="B574" t="str">
            <v>Closed</v>
          </cell>
          <cell r="D574" t="str">
            <v>4 - Low</v>
          </cell>
        </row>
        <row r="575">
          <cell r="A575" t="str">
            <v>IM44960493</v>
          </cell>
          <cell r="B575" t="str">
            <v>Closed</v>
          </cell>
          <cell r="D575" t="str">
            <v>4 - Low</v>
          </cell>
        </row>
        <row r="576">
          <cell r="A576" t="str">
            <v>IM44960870</v>
          </cell>
          <cell r="B576" t="str">
            <v>Closed</v>
          </cell>
          <cell r="D576" t="str">
            <v>4 - Low</v>
          </cell>
        </row>
        <row r="577">
          <cell r="A577" t="str">
            <v>IM44965656</v>
          </cell>
          <cell r="B577" t="str">
            <v>Closed</v>
          </cell>
          <cell r="D577" t="str">
            <v>4 - Low</v>
          </cell>
        </row>
        <row r="578">
          <cell r="A578" t="str">
            <v>IM44978455</v>
          </cell>
          <cell r="B578" t="str">
            <v>Closed</v>
          </cell>
          <cell r="D578" t="str">
            <v>4 - Low</v>
          </cell>
        </row>
        <row r="579">
          <cell r="A579" t="str">
            <v>IM44979703</v>
          </cell>
          <cell r="B579" t="str">
            <v>Closed</v>
          </cell>
          <cell r="D579" t="str">
            <v>4 - Low</v>
          </cell>
        </row>
        <row r="580">
          <cell r="A580" t="str">
            <v>IM44982114</v>
          </cell>
          <cell r="B580" t="str">
            <v>Closed</v>
          </cell>
          <cell r="D580" t="str">
            <v>4 - Low</v>
          </cell>
        </row>
        <row r="581">
          <cell r="A581" t="str">
            <v>IM44982442</v>
          </cell>
          <cell r="B581" t="str">
            <v>Closed</v>
          </cell>
          <cell r="D581" t="str">
            <v>4 - Low</v>
          </cell>
        </row>
        <row r="582">
          <cell r="A582" t="str">
            <v>IM44986396</v>
          </cell>
          <cell r="B582" t="str">
            <v>Closed</v>
          </cell>
          <cell r="D582" t="str">
            <v>4 - Low</v>
          </cell>
        </row>
        <row r="583">
          <cell r="A583" t="str">
            <v>IM44987477</v>
          </cell>
          <cell r="B583" t="str">
            <v>Closed</v>
          </cell>
          <cell r="C583" t="str">
            <v>Resolve - Alert 1</v>
          </cell>
          <cell r="D583" t="str">
            <v>4 - Low</v>
          </cell>
        </row>
        <row r="584">
          <cell r="A584" t="str">
            <v>IM44989994</v>
          </cell>
          <cell r="B584" t="str">
            <v>Closed</v>
          </cell>
          <cell r="D584" t="str">
            <v>4 - Low</v>
          </cell>
        </row>
        <row r="585">
          <cell r="A585" t="str">
            <v>IM44990053</v>
          </cell>
          <cell r="B585" t="str">
            <v>Closed</v>
          </cell>
          <cell r="D585" t="str">
            <v>4 - Low</v>
          </cell>
        </row>
        <row r="586">
          <cell r="A586" t="str">
            <v>IM44995440</v>
          </cell>
          <cell r="B586" t="str">
            <v>Closed</v>
          </cell>
          <cell r="D586" t="str">
            <v>4 - Low</v>
          </cell>
        </row>
        <row r="587">
          <cell r="A587" t="str">
            <v>IM44999523</v>
          </cell>
          <cell r="B587" t="str">
            <v>Closed</v>
          </cell>
          <cell r="D587" t="str">
            <v>4 - Low</v>
          </cell>
        </row>
        <row r="588">
          <cell r="A588" t="str">
            <v>IM45003305</v>
          </cell>
          <cell r="B588" t="str">
            <v>Closed</v>
          </cell>
          <cell r="D588" t="str">
            <v>4 - Low</v>
          </cell>
        </row>
        <row r="589">
          <cell r="A589" t="str">
            <v>IM45006082</v>
          </cell>
          <cell r="B589" t="str">
            <v>Closed</v>
          </cell>
          <cell r="D589" t="str">
            <v>4 - Low</v>
          </cell>
        </row>
        <row r="590">
          <cell r="A590" t="str">
            <v>IM45006445</v>
          </cell>
          <cell r="B590" t="str">
            <v>Closed</v>
          </cell>
          <cell r="D590" t="str">
            <v>4 - Low</v>
          </cell>
        </row>
        <row r="591">
          <cell r="A591" t="str">
            <v>IM45013808</v>
          </cell>
          <cell r="B591" t="str">
            <v>Closed</v>
          </cell>
          <cell r="D591" t="str">
            <v>4 - Low</v>
          </cell>
        </row>
        <row r="592">
          <cell r="A592" t="str">
            <v>IM45016941</v>
          </cell>
          <cell r="B592" t="str">
            <v>Closed</v>
          </cell>
          <cell r="D592" t="str">
            <v>4 - Low</v>
          </cell>
        </row>
        <row r="593">
          <cell r="A593" t="str">
            <v>IM45033305</v>
          </cell>
          <cell r="B593" t="str">
            <v>Closed</v>
          </cell>
          <cell r="C593" t="str">
            <v>Resolve - MISSED</v>
          </cell>
          <cell r="D593" t="str">
            <v>4 - Low</v>
          </cell>
        </row>
        <row r="594">
          <cell r="A594" t="str">
            <v>IM45041940</v>
          </cell>
          <cell r="B594" t="str">
            <v>Closed</v>
          </cell>
          <cell r="C594" t="str">
            <v>Resolve - Alert 1</v>
          </cell>
          <cell r="D594" t="str">
            <v>2 - High</v>
          </cell>
        </row>
        <row r="595">
          <cell r="A595" t="str">
            <v>IM45042035</v>
          </cell>
          <cell r="B595" t="str">
            <v>Closed</v>
          </cell>
          <cell r="C595" t="str">
            <v>Resolve - MISSED</v>
          </cell>
          <cell r="D595" t="str">
            <v>4 - Low</v>
          </cell>
        </row>
        <row r="596">
          <cell r="A596" t="str">
            <v>IM45042077</v>
          </cell>
          <cell r="B596" t="str">
            <v>Closed</v>
          </cell>
          <cell r="C596" t="str">
            <v>Resolve - Alert 1</v>
          </cell>
          <cell r="D596" t="str">
            <v>2 - High</v>
          </cell>
        </row>
        <row r="597">
          <cell r="A597" t="str">
            <v>IM45044576</v>
          </cell>
          <cell r="B597" t="str">
            <v>Closed</v>
          </cell>
          <cell r="D597" t="str">
            <v>4 - Low</v>
          </cell>
        </row>
        <row r="598">
          <cell r="A598" t="str">
            <v>IM45052531</v>
          </cell>
          <cell r="B598" t="str">
            <v>Closed</v>
          </cell>
          <cell r="D598" t="str">
            <v>4 - Low</v>
          </cell>
        </row>
        <row r="599">
          <cell r="A599" t="str">
            <v>IM45061416</v>
          </cell>
          <cell r="B599" t="str">
            <v>Closed</v>
          </cell>
          <cell r="D599" t="str">
            <v>4 - Low</v>
          </cell>
        </row>
        <row r="600">
          <cell r="A600" t="str">
            <v>IM45074376</v>
          </cell>
          <cell r="B600" t="str">
            <v>Closed</v>
          </cell>
          <cell r="C600" t="str">
            <v>Resolve - Alert 2</v>
          </cell>
          <cell r="D600" t="str">
            <v>4 - Low</v>
          </cell>
        </row>
        <row r="601">
          <cell r="A601" t="str">
            <v>IM45074599</v>
          </cell>
          <cell r="B601" t="str">
            <v>Closed</v>
          </cell>
          <cell r="D601" t="str">
            <v>4 - Low</v>
          </cell>
        </row>
        <row r="602">
          <cell r="A602" t="str">
            <v>IM45074632</v>
          </cell>
          <cell r="B602" t="str">
            <v>Closed</v>
          </cell>
          <cell r="D602" t="str">
            <v>4 - Low</v>
          </cell>
        </row>
        <row r="603">
          <cell r="A603" t="str">
            <v>IM45075592</v>
          </cell>
          <cell r="B603" t="str">
            <v>Closed</v>
          </cell>
          <cell r="C603" t="str">
            <v>Resolve - Alert 1</v>
          </cell>
          <cell r="D603" t="str">
            <v>2 - High</v>
          </cell>
        </row>
        <row r="604">
          <cell r="A604" t="str">
            <v>IM45075647</v>
          </cell>
          <cell r="B604" t="str">
            <v>Closed</v>
          </cell>
          <cell r="D604" t="str">
            <v>2 - High</v>
          </cell>
        </row>
        <row r="605">
          <cell r="A605" t="str">
            <v>IM45075681</v>
          </cell>
          <cell r="B605" t="str">
            <v>Closed</v>
          </cell>
          <cell r="C605" t="str">
            <v>Resolve - Alert 2</v>
          </cell>
          <cell r="D605" t="str">
            <v>2 - High</v>
          </cell>
        </row>
        <row r="606">
          <cell r="A606" t="str">
            <v>IM45082933</v>
          </cell>
          <cell r="B606" t="str">
            <v>Closed</v>
          </cell>
          <cell r="D606" t="str">
            <v>4 - Low</v>
          </cell>
        </row>
        <row r="607">
          <cell r="A607" t="str">
            <v>IM45086177</v>
          </cell>
          <cell r="B607" t="str">
            <v>Closed</v>
          </cell>
          <cell r="D607" t="str">
            <v>4 - Low</v>
          </cell>
        </row>
        <row r="608">
          <cell r="A608" t="str">
            <v>IM45086368</v>
          </cell>
          <cell r="B608" t="str">
            <v>Closed</v>
          </cell>
          <cell r="D608" t="str">
            <v>4 - Low</v>
          </cell>
        </row>
        <row r="609">
          <cell r="A609" t="str">
            <v>IM45090314</v>
          </cell>
          <cell r="B609" t="str">
            <v>Closed</v>
          </cell>
          <cell r="D609" t="str">
            <v>4 - Low</v>
          </cell>
        </row>
        <row r="610">
          <cell r="A610" t="str">
            <v>IM45091088</v>
          </cell>
          <cell r="B610" t="str">
            <v>Closed</v>
          </cell>
          <cell r="C610" t="str">
            <v>Resolve - MISSED</v>
          </cell>
          <cell r="D610" t="str">
            <v>4 - Low</v>
          </cell>
        </row>
        <row r="611">
          <cell r="A611" t="str">
            <v>IM45093342</v>
          </cell>
          <cell r="B611" t="str">
            <v>Closed</v>
          </cell>
          <cell r="D611" t="str">
            <v>4 - Low</v>
          </cell>
        </row>
        <row r="612">
          <cell r="A612" t="str">
            <v>IM45096090</v>
          </cell>
          <cell r="B612" t="str">
            <v>Closed</v>
          </cell>
          <cell r="D612" t="str">
            <v>4 - Low</v>
          </cell>
        </row>
        <row r="613">
          <cell r="A613" t="str">
            <v>IM45096999</v>
          </cell>
          <cell r="B613" t="str">
            <v>Closed</v>
          </cell>
          <cell r="D613" t="str">
            <v>4 - Low</v>
          </cell>
        </row>
        <row r="614">
          <cell r="A614" t="str">
            <v>IM45107059</v>
          </cell>
          <cell r="B614" t="str">
            <v>Closed</v>
          </cell>
          <cell r="D614" t="str">
            <v>2 - High</v>
          </cell>
        </row>
        <row r="615">
          <cell r="A615" t="str">
            <v>IM45107783</v>
          </cell>
          <cell r="B615" t="str">
            <v>Closed</v>
          </cell>
          <cell r="D615" t="str">
            <v>4 - Low</v>
          </cell>
        </row>
        <row r="616">
          <cell r="A616" t="str">
            <v>IM45107993</v>
          </cell>
          <cell r="B616" t="str">
            <v>Closed</v>
          </cell>
          <cell r="D616" t="str">
            <v>4 - Low</v>
          </cell>
        </row>
        <row r="617">
          <cell r="A617" t="str">
            <v>IM45111282</v>
          </cell>
          <cell r="B617" t="str">
            <v>Closed</v>
          </cell>
          <cell r="C617" t="str">
            <v>Resolve - MISSED</v>
          </cell>
          <cell r="D617" t="str">
            <v>3 - Medium</v>
          </cell>
        </row>
        <row r="618">
          <cell r="A618" t="str">
            <v>IM45112040</v>
          </cell>
          <cell r="B618" t="str">
            <v>Closed</v>
          </cell>
          <cell r="D618" t="str">
            <v>4 - Low</v>
          </cell>
        </row>
        <row r="619">
          <cell r="A619" t="str">
            <v>IM45112154</v>
          </cell>
          <cell r="B619" t="str">
            <v>Closed</v>
          </cell>
          <cell r="D619" t="str">
            <v>4 - Low</v>
          </cell>
        </row>
        <row r="620">
          <cell r="A620" t="str">
            <v>IM45115874</v>
          </cell>
          <cell r="B620" t="str">
            <v>Closed</v>
          </cell>
          <cell r="D620" t="str">
            <v>4 - Low</v>
          </cell>
        </row>
        <row r="621">
          <cell r="A621" t="str">
            <v>IM45120804</v>
          </cell>
          <cell r="B621" t="str">
            <v>Closed</v>
          </cell>
          <cell r="C621" t="str">
            <v>Resolve - MISSED</v>
          </cell>
          <cell r="D621" t="str">
            <v>4 - Low</v>
          </cell>
        </row>
        <row r="622">
          <cell r="A622" t="str">
            <v>IM45120828</v>
          </cell>
          <cell r="B622" t="str">
            <v>Closed</v>
          </cell>
          <cell r="C622" t="str">
            <v>Resolve - MISSED</v>
          </cell>
          <cell r="D622" t="str">
            <v>4 - Low</v>
          </cell>
        </row>
        <row r="623">
          <cell r="A623" t="str">
            <v>IM45120841</v>
          </cell>
          <cell r="B623" t="str">
            <v>Closed</v>
          </cell>
          <cell r="C623" t="str">
            <v>Resolve - MISSED</v>
          </cell>
          <cell r="D623" t="str">
            <v>4 - Low</v>
          </cell>
        </row>
        <row r="624">
          <cell r="A624" t="str">
            <v>IM45121359</v>
          </cell>
          <cell r="B624" t="str">
            <v>Closed</v>
          </cell>
          <cell r="C624" t="str">
            <v>Resolve - MISSED</v>
          </cell>
          <cell r="D624" t="str">
            <v>4 - Low</v>
          </cell>
        </row>
        <row r="625">
          <cell r="A625" t="str">
            <v>IM45128411</v>
          </cell>
          <cell r="B625" t="str">
            <v>Closed</v>
          </cell>
          <cell r="C625" t="str">
            <v>Respond - Alert 2</v>
          </cell>
          <cell r="D625" t="str">
            <v>3 - Medium</v>
          </cell>
        </row>
        <row r="626">
          <cell r="A626" t="str">
            <v>IM45135126</v>
          </cell>
          <cell r="B626" t="str">
            <v>Closed</v>
          </cell>
          <cell r="C626" t="str">
            <v>Resolve - Alert 2</v>
          </cell>
          <cell r="D626" t="str">
            <v>2 - High</v>
          </cell>
        </row>
        <row r="627">
          <cell r="A627" t="str">
            <v>IM45135442</v>
          </cell>
          <cell r="B627" t="str">
            <v>Closed</v>
          </cell>
          <cell r="C627" t="str">
            <v>Resolve - MISSED</v>
          </cell>
          <cell r="D627" t="str">
            <v>3 - Medium</v>
          </cell>
        </row>
        <row r="628">
          <cell r="A628" t="str">
            <v>IM45150287</v>
          </cell>
          <cell r="B628" t="str">
            <v>Closed</v>
          </cell>
          <cell r="C628" t="str">
            <v>Resolve - MISSED</v>
          </cell>
          <cell r="D628" t="str">
            <v>2 - High</v>
          </cell>
        </row>
        <row r="629">
          <cell r="A629" t="str">
            <v>IM45168228</v>
          </cell>
          <cell r="B629" t="str">
            <v>Closed</v>
          </cell>
          <cell r="D629" t="str">
            <v>4 - Low</v>
          </cell>
        </row>
        <row r="630">
          <cell r="A630" t="str">
            <v>IM45175397</v>
          </cell>
          <cell r="B630" t="str">
            <v>Closed</v>
          </cell>
          <cell r="D630" t="str">
            <v>4 - Low</v>
          </cell>
        </row>
        <row r="631">
          <cell r="A631" t="str">
            <v>IM45180597</v>
          </cell>
          <cell r="B631" t="str">
            <v>Closed</v>
          </cell>
          <cell r="D631" t="str">
            <v>4 - Low</v>
          </cell>
        </row>
        <row r="632">
          <cell r="A632" t="str">
            <v>IM45181910</v>
          </cell>
          <cell r="B632" t="str">
            <v>Closed</v>
          </cell>
          <cell r="C632" t="str">
            <v>Resolve - Alert 1</v>
          </cell>
          <cell r="D632" t="str">
            <v>4 - Low</v>
          </cell>
        </row>
        <row r="633">
          <cell r="A633" t="str">
            <v>IM45185205</v>
          </cell>
          <cell r="B633" t="str">
            <v>Closed</v>
          </cell>
          <cell r="D633" t="str">
            <v>4 - Low</v>
          </cell>
        </row>
        <row r="634">
          <cell r="A634" t="str">
            <v>IM45185206</v>
          </cell>
          <cell r="B634" t="str">
            <v>Closed</v>
          </cell>
          <cell r="D634" t="str">
            <v>4 - Low</v>
          </cell>
        </row>
        <row r="635">
          <cell r="A635" t="str">
            <v>IM45187518</v>
          </cell>
          <cell r="B635" t="str">
            <v>Closed</v>
          </cell>
          <cell r="D635" t="str">
            <v>4 - Low</v>
          </cell>
        </row>
        <row r="636">
          <cell r="A636" t="str">
            <v>IM45191186</v>
          </cell>
          <cell r="B636" t="str">
            <v>Closed</v>
          </cell>
          <cell r="C636" t="str">
            <v>Resolve - MISSED</v>
          </cell>
          <cell r="D636" t="str">
            <v>3 - Medium</v>
          </cell>
        </row>
        <row r="637">
          <cell r="A637" t="str">
            <v>IM45198941</v>
          </cell>
          <cell r="B637" t="str">
            <v>Closed</v>
          </cell>
          <cell r="D637" t="str">
            <v>3 - Medium</v>
          </cell>
        </row>
        <row r="638">
          <cell r="A638" t="str">
            <v>IM45210734</v>
          </cell>
          <cell r="B638" t="str">
            <v>Closed</v>
          </cell>
          <cell r="D638" t="str">
            <v>2 - High</v>
          </cell>
        </row>
        <row r="639">
          <cell r="A639" t="str">
            <v>IM45221191</v>
          </cell>
          <cell r="B639" t="str">
            <v>Closed</v>
          </cell>
          <cell r="C639" t="str">
            <v>Resolve - Alert 1</v>
          </cell>
          <cell r="D639" t="str">
            <v>4 - Low</v>
          </cell>
        </row>
        <row r="640">
          <cell r="A640" t="str">
            <v>IM45222916</v>
          </cell>
          <cell r="B640" t="str">
            <v>Closed</v>
          </cell>
          <cell r="D640" t="str">
            <v>4 - Low</v>
          </cell>
        </row>
        <row r="641">
          <cell r="A641" t="str">
            <v>IM45227771</v>
          </cell>
          <cell r="B641" t="str">
            <v>Closed</v>
          </cell>
          <cell r="D641" t="str">
            <v>4 - Low</v>
          </cell>
        </row>
        <row r="642">
          <cell r="A642" t="str">
            <v>IM45227981</v>
          </cell>
          <cell r="B642" t="str">
            <v>Closed</v>
          </cell>
          <cell r="D642" t="str">
            <v>4 - Low</v>
          </cell>
        </row>
        <row r="643">
          <cell r="A643" t="str">
            <v>IM45232194</v>
          </cell>
          <cell r="B643" t="str">
            <v>Closed</v>
          </cell>
          <cell r="D643" t="str">
            <v>4 - Low</v>
          </cell>
        </row>
        <row r="644">
          <cell r="A644" t="str">
            <v>IM45233229</v>
          </cell>
          <cell r="B644" t="str">
            <v>Closed</v>
          </cell>
          <cell r="C644" t="str">
            <v>Resolve - MISSED</v>
          </cell>
          <cell r="D644" t="str">
            <v>2 - High</v>
          </cell>
        </row>
        <row r="645">
          <cell r="A645" t="str">
            <v>IM45238566</v>
          </cell>
          <cell r="B645" t="str">
            <v>Closed</v>
          </cell>
          <cell r="C645" t="str">
            <v>Resolve - Alert 1</v>
          </cell>
          <cell r="D645" t="str">
            <v>4 - Low</v>
          </cell>
        </row>
        <row r="646">
          <cell r="A646" t="str">
            <v>IM45238572</v>
          </cell>
          <cell r="B646" t="str">
            <v>Closed</v>
          </cell>
          <cell r="C646" t="str">
            <v>Resolve - MISSED</v>
          </cell>
          <cell r="D646" t="str">
            <v>4 - Low</v>
          </cell>
        </row>
        <row r="647">
          <cell r="A647" t="str">
            <v>IM45239589</v>
          </cell>
          <cell r="B647" t="str">
            <v>Closed</v>
          </cell>
          <cell r="D647" t="str">
            <v>4 - Low</v>
          </cell>
        </row>
        <row r="648">
          <cell r="A648" t="str">
            <v>IM45242042</v>
          </cell>
          <cell r="B648" t="str">
            <v>Closed</v>
          </cell>
          <cell r="D648" t="str">
            <v>2 - High</v>
          </cell>
        </row>
        <row r="649">
          <cell r="A649" t="str">
            <v>IM45243138</v>
          </cell>
          <cell r="B649" t="str">
            <v>Closed</v>
          </cell>
          <cell r="D649" t="str">
            <v>2 - High</v>
          </cell>
        </row>
        <row r="650">
          <cell r="A650" t="str">
            <v>IM45243327</v>
          </cell>
          <cell r="B650" t="str">
            <v>Closed</v>
          </cell>
          <cell r="D650" t="str">
            <v>2 - High</v>
          </cell>
        </row>
        <row r="651">
          <cell r="A651" t="str">
            <v>IM45245485</v>
          </cell>
          <cell r="B651" t="str">
            <v>Closed</v>
          </cell>
          <cell r="C651" t="str">
            <v>Resolve - Alert 2</v>
          </cell>
          <cell r="D651" t="str">
            <v>2 - High</v>
          </cell>
        </row>
        <row r="652">
          <cell r="A652" t="str">
            <v>IM45245812</v>
          </cell>
          <cell r="B652" t="str">
            <v>Closed</v>
          </cell>
          <cell r="D652" t="str">
            <v>2 - High</v>
          </cell>
        </row>
        <row r="653">
          <cell r="A653" t="str">
            <v>IM45245815</v>
          </cell>
          <cell r="B653" t="str">
            <v>Closed</v>
          </cell>
          <cell r="C653" t="str">
            <v>Resolve - MISSED</v>
          </cell>
          <cell r="D653" t="str">
            <v>4 - Low</v>
          </cell>
        </row>
        <row r="654">
          <cell r="A654" t="str">
            <v>IM45246366</v>
          </cell>
          <cell r="B654" t="str">
            <v>Closed</v>
          </cell>
          <cell r="D654" t="str">
            <v>2 - High</v>
          </cell>
        </row>
        <row r="655">
          <cell r="A655" t="str">
            <v>IM45246920</v>
          </cell>
          <cell r="B655" t="str">
            <v>Closed</v>
          </cell>
          <cell r="C655" t="str">
            <v>Resolve - Alert 1</v>
          </cell>
          <cell r="D655" t="str">
            <v>4 - Low</v>
          </cell>
        </row>
        <row r="656">
          <cell r="A656" t="str">
            <v>IM45246932</v>
          </cell>
          <cell r="B656" t="str">
            <v>Closed</v>
          </cell>
          <cell r="C656" t="str">
            <v>Resolve - MISSED</v>
          </cell>
          <cell r="D656" t="str">
            <v>4 - Low</v>
          </cell>
        </row>
        <row r="657">
          <cell r="A657" t="str">
            <v>IM45249196</v>
          </cell>
          <cell r="B657" t="str">
            <v>Closed</v>
          </cell>
          <cell r="C657" t="str">
            <v>Resolve - MISSED</v>
          </cell>
          <cell r="D657" t="str">
            <v>4 - Low</v>
          </cell>
        </row>
        <row r="658">
          <cell r="A658" t="str">
            <v>IM45251523</v>
          </cell>
          <cell r="B658" t="str">
            <v>Closed</v>
          </cell>
          <cell r="D658" t="str">
            <v>2 - High</v>
          </cell>
        </row>
        <row r="659">
          <cell r="A659" t="str">
            <v>IM45255005</v>
          </cell>
          <cell r="B659" t="str">
            <v>Closed</v>
          </cell>
          <cell r="D659" t="str">
            <v>2 - High</v>
          </cell>
        </row>
        <row r="660">
          <cell r="A660" t="str">
            <v>IM45255965</v>
          </cell>
          <cell r="B660" t="str">
            <v>Closed</v>
          </cell>
          <cell r="D660" t="str">
            <v>4 - Low</v>
          </cell>
        </row>
        <row r="661">
          <cell r="A661" t="str">
            <v>IM45263099</v>
          </cell>
          <cell r="B661" t="str">
            <v>Closed</v>
          </cell>
          <cell r="C661" t="str">
            <v>Resolve - Alert 1</v>
          </cell>
          <cell r="D661" t="str">
            <v>2 - High</v>
          </cell>
        </row>
        <row r="662">
          <cell r="A662" t="str">
            <v>IM45263137</v>
          </cell>
          <cell r="B662" t="str">
            <v>Closed</v>
          </cell>
          <cell r="C662" t="str">
            <v>Resolve - Alert 1</v>
          </cell>
          <cell r="D662" t="str">
            <v>2 - High</v>
          </cell>
        </row>
        <row r="663">
          <cell r="A663" t="str">
            <v>IM45265995</v>
          </cell>
          <cell r="B663" t="str">
            <v>Closed</v>
          </cell>
          <cell r="D663" t="str">
            <v>4 - Low</v>
          </cell>
        </row>
        <row r="664">
          <cell r="A664" t="str">
            <v>IM45265997</v>
          </cell>
          <cell r="B664" t="str">
            <v>Closed</v>
          </cell>
          <cell r="C664" t="str">
            <v>Resolve - MISSED</v>
          </cell>
          <cell r="D664" t="str">
            <v>4 - Low</v>
          </cell>
        </row>
        <row r="665">
          <cell r="A665" t="str">
            <v>IM45269333</v>
          </cell>
          <cell r="B665" t="str">
            <v>Closed</v>
          </cell>
          <cell r="D665" t="str">
            <v>4 - Low</v>
          </cell>
        </row>
        <row r="666">
          <cell r="A666" t="str">
            <v>IM45269334</v>
          </cell>
          <cell r="B666" t="str">
            <v>Closed</v>
          </cell>
          <cell r="C666" t="str">
            <v>Resolve - MISSED</v>
          </cell>
          <cell r="D666" t="str">
            <v>4 - Low</v>
          </cell>
        </row>
        <row r="667">
          <cell r="A667" t="str">
            <v>IM45271072</v>
          </cell>
          <cell r="B667" t="str">
            <v>Closed</v>
          </cell>
          <cell r="D667" t="str">
            <v>4 - Low</v>
          </cell>
        </row>
        <row r="668">
          <cell r="A668" t="str">
            <v>IM45272323</v>
          </cell>
          <cell r="B668" t="str">
            <v>Closed</v>
          </cell>
          <cell r="D668" t="str">
            <v>4 - Low</v>
          </cell>
        </row>
        <row r="669">
          <cell r="A669" t="str">
            <v>IM45272330</v>
          </cell>
          <cell r="B669" t="str">
            <v>Closed</v>
          </cell>
          <cell r="C669" t="str">
            <v>Resolve - Alert 2</v>
          </cell>
          <cell r="D669" t="str">
            <v>4 - Low</v>
          </cell>
        </row>
        <row r="670">
          <cell r="A670" t="str">
            <v>IM45276635</v>
          </cell>
          <cell r="B670" t="str">
            <v>Closed</v>
          </cell>
          <cell r="D670" t="str">
            <v>4 - Low</v>
          </cell>
        </row>
        <row r="671">
          <cell r="A671" t="str">
            <v>IM45277621</v>
          </cell>
          <cell r="B671" t="str">
            <v>Closed</v>
          </cell>
          <cell r="C671" t="str">
            <v>Resolve - MISSED</v>
          </cell>
          <cell r="D671" t="str">
            <v>2 - High</v>
          </cell>
        </row>
        <row r="672">
          <cell r="A672" t="str">
            <v>IM45278261</v>
          </cell>
          <cell r="B672" t="str">
            <v>Closed</v>
          </cell>
          <cell r="D672" t="str">
            <v>4 - Low</v>
          </cell>
        </row>
        <row r="673">
          <cell r="A673" t="str">
            <v>IM45278264</v>
          </cell>
          <cell r="B673" t="str">
            <v>Closed</v>
          </cell>
          <cell r="C673" t="str">
            <v>Restore - MISSED</v>
          </cell>
          <cell r="D673" t="str">
            <v>4 - Low</v>
          </cell>
        </row>
        <row r="674">
          <cell r="A674" t="str">
            <v>IM45278574</v>
          </cell>
          <cell r="B674" t="str">
            <v>Closed</v>
          </cell>
          <cell r="D674" t="str">
            <v>4 - Low</v>
          </cell>
        </row>
        <row r="675">
          <cell r="A675" t="str">
            <v>IM45278579</v>
          </cell>
          <cell r="B675" t="str">
            <v>Closed</v>
          </cell>
          <cell r="C675" t="str">
            <v>Resolve - Alert 1</v>
          </cell>
          <cell r="D675" t="str">
            <v>4 - Low</v>
          </cell>
        </row>
        <row r="676">
          <cell r="A676" t="str">
            <v>IM45279941</v>
          </cell>
          <cell r="B676" t="str">
            <v>Closed</v>
          </cell>
          <cell r="D676" t="str">
            <v>4 - Low</v>
          </cell>
        </row>
        <row r="677">
          <cell r="A677" t="str">
            <v>IM45282484</v>
          </cell>
          <cell r="B677" t="str">
            <v>Closed</v>
          </cell>
          <cell r="D677" t="str">
            <v>4 - Low</v>
          </cell>
        </row>
        <row r="678">
          <cell r="A678" t="str">
            <v>IM45285299</v>
          </cell>
          <cell r="B678" t="str">
            <v>Closed</v>
          </cell>
          <cell r="D678" t="str">
            <v>2 - High</v>
          </cell>
        </row>
        <row r="679">
          <cell r="A679" t="str">
            <v>IM45285776</v>
          </cell>
          <cell r="B679" t="str">
            <v>Closed</v>
          </cell>
          <cell r="C679" t="str">
            <v>Resolve - MISSED</v>
          </cell>
          <cell r="D679" t="str">
            <v>2 - High</v>
          </cell>
        </row>
        <row r="680">
          <cell r="A680" t="str">
            <v>IM45286173</v>
          </cell>
          <cell r="B680" t="str">
            <v>Closed</v>
          </cell>
          <cell r="D680" t="str">
            <v>2 - High</v>
          </cell>
        </row>
        <row r="681">
          <cell r="A681" t="str">
            <v>IM45286180</v>
          </cell>
          <cell r="B681" t="str">
            <v>Closed</v>
          </cell>
          <cell r="D681" t="str">
            <v>2 - High</v>
          </cell>
        </row>
        <row r="682">
          <cell r="A682" t="str">
            <v>IM45286224</v>
          </cell>
          <cell r="B682" t="str">
            <v>Closed</v>
          </cell>
          <cell r="D682" t="str">
            <v>4 - Low</v>
          </cell>
        </row>
        <row r="683">
          <cell r="A683" t="str">
            <v>IM45287172</v>
          </cell>
          <cell r="B683" t="str">
            <v>Closed</v>
          </cell>
          <cell r="D683" t="str">
            <v>4 - Low</v>
          </cell>
        </row>
        <row r="684">
          <cell r="A684" t="str">
            <v>IM45289084</v>
          </cell>
          <cell r="B684" t="str">
            <v>Closed</v>
          </cell>
          <cell r="D684" t="str">
            <v>3 - Medium</v>
          </cell>
        </row>
        <row r="685">
          <cell r="A685" t="str">
            <v>IM45290538</v>
          </cell>
          <cell r="B685" t="str">
            <v>Closed</v>
          </cell>
          <cell r="C685" t="str">
            <v>Resolve - Alert 2</v>
          </cell>
          <cell r="D685" t="str">
            <v>2 - High</v>
          </cell>
        </row>
        <row r="686">
          <cell r="A686" t="str">
            <v>IM45290548</v>
          </cell>
          <cell r="B686" t="str">
            <v>Closed</v>
          </cell>
          <cell r="C686" t="str">
            <v>Resolve - Alert 1</v>
          </cell>
          <cell r="D686" t="str">
            <v>2 - High</v>
          </cell>
        </row>
        <row r="687">
          <cell r="A687" t="str">
            <v>IM45291325</v>
          </cell>
          <cell r="B687" t="str">
            <v>Closed</v>
          </cell>
          <cell r="D687" t="str">
            <v>4 - Low</v>
          </cell>
        </row>
        <row r="688">
          <cell r="A688" t="str">
            <v>IM45294035</v>
          </cell>
          <cell r="B688" t="str">
            <v>Closed</v>
          </cell>
          <cell r="C688" t="str">
            <v>Resolve - Alert 2</v>
          </cell>
          <cell r="D688" t="str">
            <v>4 - Low</v>
          </cell>
        </row>
        <row r="689">
          <cell r="A689" t="str">
            <v>IM45296337</v>
          </cell>
          <cell r="B689" t="str">
            <v>Closed</v>
          </cell>
          <cell r="D689" t="str">
            <v>2 - High</v>
          </cell>
        </row>
        <row r="690">
          <cell r="A690" t="str">
            <v>IM45298499</v>
          </cell>
          <cell r="B690" t="str">
            <v>Closed</v>
          </cell>
          <cell r="C690" t="str">
            <v>Resolve - MISSED</v>
          </cell>
          <cell r="D690" t="str">
            <v>2 - High</v>
          </cell>
        </row>
        <row r="691">
          <cell r="A691" t="str">
            <v>IM45300576</v>
          </cell>
          <cell r="B691" t="str">
            <v>Closed</v>
          </cell>
          <cell r="D691" t="str">
            <v>2 - High</v>
          </cell>
        </row>
        <row r="692">
          <cell r="A692" t="str">
            <v>IM45300662</v>
          </cell>
          <cell r="B692" t="str">
            <v>Closed</v>
          </cell>
          <cell r="D692" t="str">
            <v>2 - High</v>
          </cell>
        </row>
        <row r="693">
          <cell r="A693" t="str">
            <v>IM45303177</v>
          </cell>
          <cell r="B693" t="str">
            <v>Closed</v>
          </cell>
          <cell r="D693" t="str">
            <v>3 - Medium</v>
          </cell>
        </row>
        <row r="694">
          <cell r="A694" t="str">
            <v>IM45303667</v>
          </cell>
          <cell r="B694" t="str">
            <v>Closed</v>
          </cell>
          <cell r="D694" t="str">
            <v>4 - Low</v>
          </cell>
        </row>
        <row r="695">
          <cell r="A695" t="str">
            <v>IM45303675</v>
          </cell>
          <cell r="B695" t="str">
            <v>Closed</v>
          </cell>
          <cell r="C695" t="str">
            <v>Resolve - MISSED</v>
          </cell>
          <cell r="D695" t="str">
            <v>4 - Low</v>
          </cell>
        </row>
        <row r="696">
          <cell r="A696" t="str">
            <v>IM45303717</v>
          </cell>
          <cell r="B696" t="str">
            <v>Closed</v>
          </cell>
          <cell r="D696" t="str">
            <v>4 - Low</v>
          </cell>
        </row>
        <row r="697">
          <cell r="A697" t="str">
            <v>IM45303723</v>
          </cell>
          <cell r="B697" t="str">
            <v>Closed</v>
          </cell>
          <cell r="C697" t="str">
            <v>Resolve - MISSED</v>
          </cell>
          <cell r="D697" t="str">
            <v>4 - Low</v>
          </cell>
        </row>
        <row r="698">
          <cell r="A698" t="str">
            <v>IM45303764</v>
          </cell>
          <cell r="B698" t="str">
            <v>Closed</v>
          </cell>
          <cell r="C698" t="str">
            <v>Resolve - Alert 2</v>
          </cell>
          <cell r="D698" t="str">
            <v>4 - Low</v>
          </cell>
        </row>
        <row r="699">
          <cell r="A699" t="str">
            <v>IM45310930</v>
          </cell>
          <cell r="B699" t="str">
            <v>Closed</v>
          </cell>
          <cell r="D699" t="str">
            <v>4 - Low</v>
          </cell>
        </row>
        <row r="700">
          <cell r="A700" t="str">
            <v>IM45311677</v>
          </cell>
          <cell r="B700" t="str">
            <v>Closed</v>
          </cell>
          <cell r="C700" t="str">
            <v>Resolve - Alert 1</v>
          </cell>
          <cell r="D700" t="str">
            <v>4 - Low</v>
          </cell>
        </row>
        <row r="701">
          <cell r="A701" t="str">
            <v>IM45315511</v>
          </cell>
          <cell r="B701" t="str">
            <v>Closed</v>
          </cell>
          <cell r="C701" t="str">
            <v>Resolve - Alert 1</v>
          </cell>
          <cell r="D701" t="str">
            <v>4 - Low</v>
          </cell>
        </row>
        <row r="702">
          <cell r="A702" t="str">
            <v>IM45317294</v>
          </cell>
          <cell r="B702" t="str">
            <v>Closed</v>
          </cell>
          <cell r="D702" t="str">
            <v>4 - Low</v>
          </cell>
        </row>
        <row r="703">
          <cell r="A703" t="str">
            <v>IM45317375</v>
          </cell>
          <cell r="B703" t="str">
            <v>Closed</v>
          </cell>
          <cell r="C703" t="str">
            <v>Resolve - MISSED</v>
          </cell>
          <cell r="D703" t="str">
            <v>2 - High</v>
          </cell>
        </row>
        <row r="704">
          <cell r="A704" t="str">
            <v>IM45317517</v>
          </cell>
          <cell r="B704" t="str">
            <v>Closed</v>
          </cell>
          <cell r="C704" t="str">
            <v>Resolve - Alert 1</v>
          </cell>
          <cell r="D704" t="str">
            <v>4 - Low</v>
          </cell>
        </row>
        <row r="705">
          <cell r="A705" t="str">
            <v>IM45332214</v>
          </cell>
          <cell r="B705" t="str">
            <v>Closed</v>
          </cell>
          <cell r="C705" t="str">
            <v>Resolve - Alert 2</v>
          </cell>
          <cell r="D705" t="str">
            <v>3 - Medium</v>
          </cell>
        </row>
        <row r="706">
          <cell r="A706" t="str">
            <v>IM45335600</v>
          </cell>
          <cell r="B706" t="str">
            <v>Closed</v>
          </cell>
          <cell r="C706" t="str">
            <v>Resolve - Alert 1</v>
          </cell>
          <cell r="D706" t="str">
            <v>4 - Low</v>
          </cell>
        </row>
        <row r="707">
          <cell r="A707" t="str">
            <v>IM45342053</v>
          </cell>
          <cell r="B707" t="str">
            <v>Closed</v>
          </cell>
          <cell r="C707" t="str">
            <v>Resolve - MISSED</v>
          </cell>
          <cell r="D707" t="str">
            <v>3 - Medium</v>
          </cell>
        </row>
        <row r="708">
          <cell r="A708" t="str">
            <v>IM45346589</v>
          </cell>
          <cell r="B708" t="str">
            <v>Closed</v>
          </cell>
          <cell r="C708" t="str">
            <v>Respond - Alert 2</v>
          </cell>
          <cell r="D708" t="str">
            <v>4 - Low</v>
          </cell>
        </row>
        <row r="709">
          <cell r="A709" t="str">
            <v>IM45350064</v>
          </cell>
          <cell r="B709" t="str">
            <v>Closed</v>
          </cell>
          <cell r="C709" t="str">
            <v>Resolve - MISSED</v>
          </cell>
          <cell r="D709" t="str">
            <v>2 - High</v>
          </cell>
        </row>
        <row r="710">
          <cell r="A710" t="str">
            <v>IM45350118</v>
          </cell>
          <cell r="B710" t="str">
            <v>Closed</v>
          </cell>
          <cell r="D710" t="str">
            <v>4 - Low</v>
          </cell>
        </row>
        <row r="711">
          <cell r="A711" t="str">
            <v>IM45350126</v>
          </cell>
          <cell r="B711" t="str">
            <v>Closed</v>
          </cell>
          <cell r="C711" t="str">
            <v>Resolve - MISSED</v>
          </cell>
          <cell r="D711" t="str">
            <v>4 - Low</v>
          </cell>
        </row>
        <row r="712">
          <cell r="A712" t="str">
            <v>IM45351180</v>
          </cell>
          <cell r="B712" t="str">
            <v>Closed</v>
          </cell>
          <cell r="D712" t="str">
            <v>4 - Low</v>
          </cell>
        </row>
        <row r="713">
          <cell r="A713" t="str">
            <v>IM45362450</v>
          </cell>
          <cell r="B713" t="str">
            <v>Closed</v>
          </cell>
          <cell r="D713" t="str">
            <v>4 - Low</v>
          </cell>
        </row>
        <row r="714">
          <cell r="A714" t="str">
            <v>IM45365784</v>
          </cell>
          <cell r="B714" t="str">
            <v>Closed</v>
          </cell>
          <cell r="D714" t="str">
            <v>4 - Low</v>
          </cell>
        </row>
        <row r="715">
          <cell r="A715" t="str">
            <v>IM45365788</v>
          </cell>
          <cell r="B715" t="str">
            <v>Closed</v>
          </cell>
          <cell r="C715" t="str">
            <v>Restore - MISSED</v>
          </cell>
          <cell r="D715" t="str">
            <v>4 - Low</v>
          </cell>
        </row>
        <row r="716">
          <cell r="A716" t="str">
            <v>IM45366273</v>
          </cell>
          <cell r="B716" t="str">
            <v>Closed</v>
          </cell>
          <cell r="C716" t="str">
            <v>Resolve - MISSED</v>
          </cell>
          <cell r="D716" t="str">
            <v>2 - High</v>
          </cell>
        </row>
        <row r="717">
          <cell r="A717" t="str">
            <v>IM45372987</v>
          </cell>
          <cell r="B717" t="str">
            <v>Closed</v>
          </cell>
          <cell r="D717" t="str">
            <v>4 - Low</v>
          </cell>
        </row>
        <row r="718">
          <cell r="A718" t="str">
            <v>IM45399734</v>
          </cell>
          <cell r="B718" t="str">
            <v>Closed</v>
          </cell>
          <cell r="C718" t="str">
            <v>Resolve - Alert 1</v>
          </cell>
          <cell r="D718" t="str">
            <v>3 - Medium</v>
          </cell>
        </row>
        <row r="719">
          <cell r="A719" t="str">
            <v>IM45399784</v>
          </cell>
          <cell r="B719" t="str">
            <v>Closed</v>
          </cell>
          <cell r="C719" t="str">
            <v>Respond - Alert 1</v>
          </cell>
          <cell r="D719" t="str">
            <v>2 - High</v>
          </cell>
        </row>
        <row r="720">
          <cell r="A720" t="str">
            <v>IM45403030</v>
          </cell>
          <cell r="B720" t="str">
            <v>Closed</v>
          </cell>
          <cell r="D720" t="str">
            <v>4 - Low</v>
          </cell>
        </row>
        <row r="721">
          <cell r="A721" t="str">
            <v>IM45403031</v>
          </cell>
          <cell r="B721" t="str">
            <v>Closed</v>
          </cell>
          <cell r="C721" t="str">
            <v>Restore - MISSED</v>
          </cell>
          <cell r="D721" t="str">
            <v>4 - Low</v>
          </cell>
        </row>
        <row r="722">
          <cell r="A722" t="str">
            <v>IM45408315</v>
          </cell>
          <cell r="B722" t="str">
            <v>Closed</v>
          </cell>
          <cell r="C722" t="str">
            <v>Respond - Alert 1</v>
          </cell>
          <cell r="D722" t="str">
            <v>2 - High</v>
          </cell>
        </row>
        <row r="723">
          <cell r="A723" t="str">
            <v>IM45408355</v>
          </cell>
          <cell r="B723" t="str">
            <v>Closed</v>
          </cell>
          <cell r="D723" t="str">
            <v>3 - Medium</v>
          </cell>
        </row>
        <row r="724">
          <cell r="A724" t="str">
            <v>IM45417764</v>
          </cell>
          <cell r="B724" t="str">
            <v>Closed</v>
          </cell>
          <cell r="D724" t="str">
            <v>4 - Low</v>
          </cell>
        </row>
        <row r="725">
          <cell r="A725" t="str">
            <v>IM45436273</v>
          </cell>
          <cell r="B725" t="str">
            <v>Closed</v>
          </cell>
          <cell r="D725" t="str">
            <v>2 - High</v>
          </cell>
        </row>
        <row r="726">
          <cell r="A726" t="str">
            <v>IM45447567</v>
          </cell>
          <cell r="B726" t="str">
            <v>Work in progress</v>
          </cell>
          <cell r="C726" t="str">
            <v>Resolve - MISSED</v>
          </cell>
          <cell r="D726" t="str">
            <v>4 - Low</v>
          </cell>
        </row>
        <row r="727">
          <cell r="A727" t="str">
            <v>IM45452287</v>
          </cell>
          <cell r="B727" t="str">
            <v>Closed</v>
          </cell>
          <cell r="C727" t="str">
            <v>Resolve - MISSED</v>
          </cell>
          <cell r="D727" t="str">
            <v>3 - Medium</v>
          </cell>
        </row>
        <row r="728">
          <cell r="A728" t="str">
            <v>IM45457423</v>
          </cell>
          <cell r="B728" t="str">
            <v>Closed</v>
          </cell>
          <cell r="D728" t="str">
            <v>4 - Low</v>
          </cell>
        </row>
        <row r="729">
          <cell r="A729" t="str">
            <v>IM45457451</v>
          </cell>
          <cell r="B729" t="str">
            <v>Closed</v>
          </cell>
          <cell r="D729" t="str">
            <v>4 - Low</v>
          </cell>
        </row>
        <row r="730">
          <cell r="A730" t="str">
            <v>IM45470933</v>
          </cell>
          <cell r="B730" t="str">
            <v>Closed</v>
          </cell>
          <cell r="D730" t="str">
            <v>3 - Medium</v>
          </cell>
        </row>
        <row r="731">
          <cell r="A731" t="str">
            <v>IM45475978</v>
          </cell>
          <cell r="B731" t="str">
            <v>Closed</v>
          </cell>
          <cell r="D731" t="str">
            <v>4 - Low</v>
          </cell>
        </row>
        <row r="732">
          <cell r="A732" t="str">
            <v>IM45478720</v>
          </cell>
          <cell r="B732" t="str">
            <v>Closed</v>
          </cell>
          <cell r="C732" t="str">
            <v>Resolve - MISSED</v>
          </cell>
          <cell r="D732" t="str">
            <v>2 - High</v>
          </cell>
        </row>
        <row r="733">
          <cell r="A733" t="str">
            <v>IM45494091</v>
          </cell>
          <cell r="B733" t="str">
            <v>Closed</v>
          </cell>
          <cell r="D733" t="str">
            <v>4 - Low</v>
          </cell>
        </row>
        <row r="734">
          <cell r="A734" t="str">
            <v>IM45515159</v>
          </cell>
          <cell r="B734" t="str">
            <v>Closed</v>
          </cell>
          <cell r="D734" t="str">
            <v>4 - Low</v>
          </cell>
        </row>
        <row r="735">
          <cell r="A735" t="str">
            <v>IM45522580</v>
          </cell>
          <cell r="B735" t="str">
            <v>Closed</v>
          </cell>
          <cell r="D735" t="str">
            <v>4 - Low</v>
          </cell>
        </row>
        <row r="736">
          <cell r="A736" t="str">
            <v>IM45523801</v>
          </cell>
          <cell r="B736" t="str">
            <v>Closed</v>
          </cell>
          <cell r="D736" t="str">
            <v>4 - Low</v>
          </cell>
        </row>
        <row r="737">
          <cell r="A737" t="str">
            <v>IM45528616</v>
          </cell>
          <cell r="B737" t="str">
            <v>Pending Customer</v>
          </cell>
          <cell r="C737" t="str">
            <v>Resolve - MISSED</v>
          </cell>
          <cell r="D737" t="str">
            <v>4 - Low</v>
          </cell>
        </row>
        <row r="738">
          <cell r="A738" t="str">
            <v>IM45529964</v>
          </cell>
          <cell r="B738" t="str">
            <v>Closed</v>
          </cell>
          <cell r="D738" t="str">
            <v>3 - Medium</v>
          </cell>
        </row>
        <row r="739">
          <cell r="A739" t="str">
            <v>IM45541458</v>
          </cell>
          <cell r="B739" t="str">
            <v>Closed</v>
          </cell>
          <cell r="D739" t="str">
            <v>4 - Low</v>
          </cell>
        </row>
        <row r="740">
          <cell r="A740" t="str">
            <v>IM45541465</v>
          </cell>
          <cell r="B740" t="str">
            <v>Closed</v>
          </cell>
          <cell r="D740" t="str">
            <v>4 - Low</v>
          </cell>
        </row>
        <row r="741">
          <cell r="A741" t="str">
            <v>IM45547767</v>
          </cell>
          <cell r="B741" t="str">
            <v>Closed</v>
          </cell>
          <cell r="C741" t="str">
            <v>Resolve - Alert 2</v>
          </cell>
          <cell r="D741" t="str">
            <v>4 - Low</v>
          </cell>
        </row>
        <row r="742">
          <cell r="A742" t="str">
            <v>IM45553304</v>
          </cell>
          <cell r="B742" t="str">
            <v>Closed</v>
          </cell>
          <cell r="C742" t="str">
            <v>Resolve - Alert 2</v>
          </cell>
          <cell r="D742" t="str">
            <v>3 - Medium</v>
          </cell>
        </row>
        <row r="743">
          <cell r="A743" t="str">
            <v>IM45553456</v>
          </cell>
          <cell r="B743" t="str">
            <v>Closed</v>
          </cell>
          <cell r="D743" t="str">
            <v>4 - Low</v>
          </cell>
        </row>
        <row r="744">
          <cell r="A744" t="str">
            <v>IM45557205</v>
          </cell>
          <cell r="B744" t="str">
            <v>Closed</v>
          </cell>
          <cell r="C744" t="str">
            <v>Resolve - MISSED</v>
          </cell>
          <cell r="D744" t="str">
            <v>3 - Medium</v>
          </cell>
        </row>
        <row r="745">
          <cell r="A745" t="str">
            <v>IM45561333</v>
          </cell>
          <cell r="B745" t="str">
            <v>Closed</v>
          </cell>
          <cell r="C745" t="str">
            <v>Respond - Alert 2</v>
          </cell>
          <cell r="D745" t="str">
            <v>4 - Low</v>
          </cell>
        </row>
        <row r="746">
          <cell r="A746" t="str">
            <v>IM45564689</v>
          </cell>
          <cell r="B746" t="str">
            <v>Resolved</v>
          </cell>
          <cell r="D746" t="str">
            <v>2 - High</v>
          </cell>
        </row>
        <row r="747">
          <cell r="A747" t="str">
            <v>IM45567472</v>
          </cell>
          <cell r="B747" t="str">
            <v>Closed</v>
          </cell>
          <cell r="C747" t="str">
            <v>Resolve - Alert 2</v>
          </cell>
          <cell r="D747" t="str">
            <v>4 - Low</v>
          </cell>
        </row>
        <row r="748">
          <cell r="A748" t="str">
            <v>IM45567597</v>
          </cell>
          <cell r="B748" t="str">
            <v>Closed</v>
          </cell>
          <cell r="C748" t="str">
            <v>Respond - Alert 1</v>
          </cell>
          <cell r="D748" t="str">
            <v>2 - High</v>
          </cell>
        </row>
        <row r="749">
          <cell r="A749" t="str">
            <v>IM45571715</v>
          </cell>
          <cell r="B749" t="str">
            <v>Closed</v>
          </cell>
          <cell r="D749" t="str">
            <v>4 - Low</v>
          </cell>
        </row>
        <row r="750">
          <cell r="A750" t="str">
            <v>IM45576837</v>
          </cell>
          <cell r="B750" t="str">
            <v>Closed</v>
          </cell>
          <cell r="C750" t="str">
            <v>Resolve - Alert 1</v>
          </cell>
          <cell r="D750" t="str">
            <v>2 - High</v>
          </cell>
        </row>
        <row r="751">
          <cell r="A751" t="str">
            <v>IM45577821</v>
          </cell>
          <cell r="B751" t="str">
            <v>Closed</v>
          </cell>
          <cell r="D751" t="str">
            <v>2 - High</v>
          </cell>
        </row>
        <row r="752">
          <cell r="A752" t="str">
            <v>IM45580453</v>
          </cell>
          <cell r="B752" t="str">
            <v>Closed</v>
          </cell>
          <cell r="D752" t="str">
            <v>4 - Low</v>
          </cell>
        </row>
        <row r="753">
          <cell r="A753" t="str">
            <v>IM45590557</v>
          </cell>
          <cell r="B753" t="str">
            <v>Closed</v>
          </cell>
          <cell r="C753" t="str">
            <v>Resolve - Alert 2</v>
          </cell>
          <cell r="D753" t="str">
            <v>3 - Medium</v>
          </cell>
        </row>
        <row r="754">
          <cell r="A754" t="str">
            <v>IM45592617</v>
          </cell>
          <cell r="B754" t="str">
            <v>Closed</v>
          </cell>
          <cell r="D754" t="str">
            <v>4 - Low</v>
          </cell>
        </row>
        <row r="755">
          <cell r="A755" t="str">
            <v>IM45593410</v>
          </cell>
          <cell r="B755" t="str">
            <v>Closed</v>
          </cell>
          <cell r="C755" t="str">
            <v>Resolve - Alert 2</v>
          </cell>
          <cell r="D755" t="str">
            <v>3 - Medium</v>
          </cell>
        </row>
        <row r="756">
          <cell r="A756" t="str">
            <v>IM45596621</v>
          </cell>
          <cell r="B756" t="str">
            <v>Closed</v>
          </cell>
          <cell r="C756" t="str">
            <v>Resolve - MISSED</v>
          </cell>
          <cell r="D756" t="str">
            <v>2 - High</v>
          </cell>
        </row>
        <row r="757">
          <cell r="A757" t="str">
            <v>IM45629167</v>
          </cell>
          <cell r="B757" t="str">
            <v>Closed</v>
          </cell>
          <cell r="D757" t="str">
            <v>4 - Low</v>
          </cell>
        </row>
        <row r="758">
          <cell r="A758" t="str">
            <v>IM45630859</v>
          </cell>
          <cell r="B758" t="str">
            <v>Closed</v>
          </cell>
          <cell r="D758" t="str">
            <v>4 - Low</v>
          </cell>
        </row>
        <row r="759">
          <cell r="A759" t="str">
            <v>IM45630863</v>
          </cell>
          <cell r="B759" t="str">
            <v>Closed</v>
          </cell>
          <cell r="C759" t="str">
            <v>Restore - Alert 1</v>
          </cell>
          <cell r="D759" t="str">
            <v>4 - Low</v>
          </cell>
        </row>
        <row r="760">
          <cell r="A760" t="str">
            <v>IM45637328</v>
          </cell>
          <cell r="B760" t="str">
            <v>Pending Customer</v>
          </cell>
          <cell r="C760" t="str">
            <v>Resolve - Alert 1</v>
          </cell>
          <cell r="D760" t="str">
            <v>4 - Low</v>
          </cell>
        </row>
        <row r="761">
          <cell r="A761" t="str">
            <v>IM45638606</v>
          </cell>
          <cell r="B761" t="str">
            <v>Pending RFC</v>
          </cell>
          <cell r="C761" t="str">
            <v>Resolve - MISSED</v>
          </cell>
          <cell r="D761" t="str">
            <v>3 - Medium</v>
          </cell>
        </row>
        <row r="762">
          <cell r="A762" t="str">
            <v>IM45648331</v>
          </cell>
          <cell r="B762" t="str">
            <v>Pending Pfizer</v>
          </cell>
          <cell r="D762" t="str">
            <v>4 - Low</v>
          </cell>
        </row>
        <row r="763">
          <cell r="A763" t="str">
            <v>IM45663953</v>
          </cell>
          <cell r="B763" t="str">
            <v>Work in progress</v>
          </cell>
          <cell r="D763" t="str">
            <v>3 - Medium</v>
          </cell>
        </row>
        <row r="764">
          <cell r="A764" t="str">
            <v>IM45664641</v>
          </cell>
          <cell r="B764" t="str">
            <v>Work in progress</v>
          </cell>
          <cell r="C764" t="str">
            <v>Resolve - MISSED</v>
          </cell>
          <cell r="D764" t="str">
            <v>2 - High</v>
          </cell>
        </row>
        <row r="765">
          <cell r="A765" t="str">
            <v>IM45668473</v>
          </cell>
          <cell r="B765" t="str">
            <v>Resolved</v>
          </cell>
          <cell r="D765" t="str">
            <v>2 - High</v>
          </cell>
        </row>
        <row r="766">
          <cell r="A766" t="str">
            <v>IM45671298</v>
          </cell>
          <cell r="B766" t="str">
            <v>Pending Pfizer</v>
          </cell>
          <cell r="D766" t="str">
            <v>4 - Low</v>
          </cell>
        </row>
        <row r="767">
          <cell r="A767" t="str">
            <v>IM43529841</v>
          </cell>
          <cell r="B767" t="str">
            <v>Closed</v>
          </cell>
          <cell r="C767" t="str">
            <v>Resolve - MISSED</v>
          </cell>
          <cell r="D767" t="str">
            <v>2 - High</v>
          </cell>
        </row>
        <row r="768">
          <cell r="A768" t="str">
            <v>IM44112546</v>
          </cell>
          <cell r="B768" t="str">
            <v>Closed</v>
          </cell>
          <cell r="D768" t="str">
            <v>4 - Low</v>
          </cell>
        </row>
        <row r="769">
          <cell r="A769" t="str">
            <v>IM44117286</v>
          </cell>
          <cell r="B769" t="str">
            <v>Closed</v>
          </cell>
          <cell r="C769" t="str">
            <v>Resolve - MISSED</v>
          </cell>
          <cell r="D769" t="str">
            <v>3 - Medium</v>
          </cell>
        </row>
        <row r="770">
          <cell r="A770" t="str">
            <v>IM44169034</v>
          </cell>
          <cell r="B770" t="str">
            <v>Closed</v>
          </cell>
          <cell r="C770" t="str">
            <v>Resolve - MISSED</v>
          </cell>
          <cell r="D770" t="str">
            <v>3 - Medium</v>
          </cell>
        </row>
        <row r="771">
          <cell r="A771" t="str">
            <v>IM44175761</v>
          </cell>
          <cell r="B771" t="str">
            <v>Closed</v>
          </cell>
          <cell r="D771" t="str">
            <v>4 - Low</v>
          </cell>
        </row>
        <row r="772">
          <cell r="A772" t="str">
            <v>IM44175818</v>
          </cell>
          <cell r="B772" t="str">
            <v>Closed</v>
          </cell>
          <cell r="D772" t="str">
            <v>4 - Low</v>
          </cell>
        </row>
        <row r="773">
          <cell r="A773" t="str">
            <v>IM44184387</v>
          </cell>
          <cell r="B773" t="str">
            <v>Closed</v>
          </cell>
          <cell r="D773" t="str">
            <v>3 - Medium</v>
          </cell>
        </row>
        <row r="774">
          <cell r="A774" t="str">
            <v>IM44194762</v>
          </cell>
          <cell r="B774" t="str">
            <v>Closed</v>
          </cell>
          <cell r="D774" t="str">
            <v>4 - Low</v>
          </cell>
        </row>
        <row r="775">
          <cell r="A775" t="str">
            <v>IM44239566</v>
          </cell>
          <cell r="B775" t="str">
            <v>Closed</v>
          </cell>
          <cell r="D775" t="str">
            <v>2 - High</v>
          </cell>
        </row>
        <row r="776">
          <cell r="A776" t="str">
            <v>IM44248027</v>
          </cell>
          <cell r="B776" t="str">
            <v>Closed</v>
          </cell>
          <cell r="C776" t="str">
            <v>Resolve - Alert 2</v>
          </cell>
          <cell r="D776" t="str">
            <v>3 - Medium</v>
          </cell>
        </row>
        <row r="777">
          <cell r="A777" t="str">
            <v>IM44256640</v>
          </cell>
          <cell r="B777" t="str">
            <v>Closed</v>
          </cell>
          <cell r="D777" t="str">
            <v>4 - Low</v>
          </cell>
        </row>
        <row r="778">
          <cell r="A778" t="str">
            <v>IM44329326</v>
          </cell>
          <cell r="B778" t="str">
            <v>Closed</v>
          </cell>
          <cell r="C778" t="str">
            <v>Resolve - Alert 1</v>
          </cell>
          <cell r="D778" t="str">
            <v>4 - Low</v>
          </cell>
        </row>
        <row r="779">
          <cell r="A779" t="str">
            <v>IM44544687</v>
          </cell>
          <cell r="B779" t="str">
            <v>Closed</v>
          </cell>
          <cell r="C779" t="str">
            <v>Resolve - Alert 2</v>
          </cell>
          <cell r="D779" t="str">
            <v>2 - High</v>
          </cell>
        </row>
        <row r="780">
          <cell r="A780" t="str">
            <v>IM44545871</v>
          </cell>
          <cell r="B780" t="str">
            <v>Closed</v>
          </cell>
          <cell r="D780" t="str">
            <v>4 - Low</v>
          </cell>
        </row>
        <row r="781">
          <cell r="A781" t="str">
            <v>IM44561005</v>
          </cell>
          <cell r="B781" t="str">
            <v>Closed</v>
          </cell>
          <cell r="C781" t="str">
            <v>Resolve - MISSED</v>
          </cell>
          <cell r="D781" t="str">
            <v>4 - Low</v>
          </cell>
        </row>
        <row r="782">
          <cell r="A782" t="str">
            <v>IM44591811</v>
          </cell>
          <cell r="B782" t="str">
            <v>Closed</v>
          </cell>
          <cell r="C782" t="str">
            <v>Resolve - Alert 2</v>
          </cell>
          <cell r="D782" t="str">
            <v>4 - Low</v>
          </cell>
        </row>
        <row r="783">
          <cell r="A783" t="str">
            <v>IM44630935</v>
          </cell>
          <cell r="B783" t="str">
            <v>Closed</v>
          </cell>
          <cell r="C783" t="str">
            <v>Respond - Alert 1</v>
          </cell>
          <cell r="D783" t="str">
            <v>4 - Low</v>
          </cell>
        </row>
        <row r="784">
          <cell r="A784" t="str">
            <v>IM44643718</v>
          </cell>
          <cell r="B784" t="str">
            <v>Closed</v>
          </cell>
          <cell r="C784" t="str">
            <v>Resolve - MISSED</v>
          </cell>
          <cell r="D784" t="str">
            <v>2 - High</v>
          </cell>
        </row>
        <row r="785">
          <cell r="A785" t="str">
            <v>IM44718929</v>
          </cell>
          <cell r="B785" t="str">
            <v>Closed</v>
          </cell>
          <cell r="D785" t="str">
            <v>4 - Low</v>
          </cell>
        </row>
        <row r="786">
          <cell r="A786" t="str">
            <v>IM44850476</v>
          </cell>
          <cell r="B786" t="str">
            <v>Closed</v>
          </cell>
          <cell r="C786" t="str">
            <v>Resolve - MISSED</v>
          </cell>
          <cell r="D786" t="str">
            <v>3 - Medium</v>
          </cell>
        </row>
        <row r="787">
          <cell r="A787" t="str">
            <v>IM44959265</v>
          </cell>
          <cell r="B787" t="str">
            <v>Closed</v>
          </cell>
          <cell r="C787" t="str">
            <v>Resolve - Alert 2</v>
          </cell>
          <cell r="D787" t="str">
            <v>3 - Medium</v>
          </cell>
        </row>
        <row r="788">
          <cell r="A788" t="str">
            <v>IM45006092</v>
          </cell>
          <cell r="B788" t="str">
            <v>Closed</v>
          </cell>
          <cell r="C788" t="str">
            <v>Resolve - Alert 1</v>
          </cell>
          <cell r="D788" t="str">
            <v>4 - Low</v>
          </cell>
        </row>
        <row r="789">
          <cell r="A789" t="str">
            <v>IM45006145</v>
          </cell>
          <cell r="B789" t="str">
            <v>Closed</v>
          </cell>
          <cell r="C789" t="str">
            <v>Resolve - Alert 1</v>
          </cell>
          <cell r="D789" t="str">
            <v>4 - Low</v>
          </cell>
        </row>
        <row r="790">
          <cell r="A790" t="str">
            <v>IM45059933</v>
          </cell>
          <cell r="B790" t="str">
            <v>Closed</v>
          </cell>
          <cell r="D790" t="str">
            <v>4 - Low</v>
          </cell>
        </row>
        <row r="791">
          <cell r="A791" t="str">
            <v>IM45063760</v>
          </cell>
          <cell r="B791" t="str">
            <v>Closed</v>
          </cell>
          <cell r="D791" t="str">
            <v>4 - Low</v>
          </cell>
        </row>
        <row r="792">
          <cell r="A792" t="str">
            <v>IM45078592</v>
          </cell>
          <cell r="B792" t="str">
            <v>Closed</v>
          </cell>
          <cell r="D792" t="str">
            <v>2 - High</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quests"/>
    </sheetNames>
    <sheetDataSet>
      <sheetData sheetId="0" refreshError="1">
        <row r="2">
          <cell r="A2" t="str">
            <v>RF4993760</v>
          </cell>
          <cell r="B2" t="str">
            <v>Closed</v>
          </cell>
          <cell r="C2" t="str">
            <v>Complete - MISSED</v>
          </cell>
          <cell r="D2" t="str">
            <v>4 - Low</v>
          </cell>
        </row>
        <row r="3">
          <cell r="A3" t="str">
            <v>RF5517462</v>
          </cell>
          <cell r="B3" t="str">
            <v>Pending Customer</v>
          </cell>
          <cell r="D3" t="str">
            <v>4 - Low</v>
          </cell>
        </row>
        <row r="4">
          <cell r="A4" t="str">
            <v>RF5569850</v>
          </cell>
          <cell r="B4" t="str">
            <v>Closed</v>
          </cell>
          <cell r="C4" t="str">
            <v>Complete - Alert 2</v>
          </cell>
          <cell r="D4" t="str">
            <v>4 - Low</v>
          </cell>
        </row>
        <row r="5">
          <cell r="A5" t="str">
            <v>RF5023510</v>
          </cell>
          <cell r="B5" t="str">
            <v>Closed</v>
          </cell>
          <cell r="D5" t="str">
            <v>4 - Low</v>
          </cell>
        </row>
        <row r="6">
          <cell r="A6" t="str">
            <v>RF5031974</v>
          </cell>
          <cell r="B6" t="str">
            <v>Closed</v>
          </cell>
          <cell r="D6" t="str">
            <v>4 - Low</v>
          </cell>
        </row>
        <row r="7">
          <cell r="A7" t="str">
            <v>RF5312509</v>
          </cell>
          <cell r="B7" t="str">
            <v>Closed</v>
          </cell>
          <cell r="D7" t="str">
            <v>4 - Low</v>
          </cell>
        </row>
        <row r="8">
          <cell r="A8" t="str">
            <v>RF5432508</v>
          </cell>
          <cell r="B8" t="str">
            <v>Closed</v>
          </cell>
          <cell r="D8" t="str">
            <v>4 - Low</v>
          </cell>
        </row>
        <row r="9">
          <cell r="A9" t="str">
            <v>RF5496497</v>
          </cell>
          <cell r="B9" t="str">
            <v>Closed</v>
          </cell>
          <cell r="D9" t="str">
            <v>4 - Low</v>
          </cell>
        </row>
        <row r="10">
          <cell r="A10" t="str">
            <v>RF5517626</v>
          </cell>
          <cell r="B10" t="str">
            <v>Closed</v>
          </cell>
          <cell r="D10" t="str">
            <v>4 - Low</v>
          </cell>
        </row>
        <row r="11">
          <cell r="A11" t="str">
            <v>RF5523961</v>
          </cell>
          <cell r="B11" t="str">
            <v>Closed</v>
          </cell>
          <cell r="D11" t="str">
            <v>4 - Low</v>
          </cell>
        </row>
        <row r="12">
          <cell r="A12" t="str">
            <v>RF5574560</v>
          </cell>
          <cell r="B12" t="str">
            <v>Closed</v>
          </cell>
          <cell r="D12" t="str">
            <v>4 - Low</v>
          </cell>
        </row>
        <row r="13">
          <cell r="A13" t="str">
            <v>RF3622712</v>
          </cell>
          <cell r="B13" t="str">
            <v>Closed</v>
          </cell>
          <cell r="D13" t="str">
            <v>4 - Low</v>
          </cell>
        </row>
        <row r="14">
          <cell r="A14" t="str">
            <v>RF3658439</v>
          </cell>
          <cell r="B14" t="str">
            <v>Closed</v>
          </cell>
          <cell r="C14" t="str">
            <v>Complete - Alert 1</v>
          </cell>
          <cell r="D14" t="str">
            <v>4 - Low</v>
          </cell>
        </row>
        <row r="15">
          <cell r="A15" t="str">
            <v>RF3818389</v>
          </cell>
          <cell r="B15" t="str">
            <v>Closed</v>
          </cell>
          <cell r="D15" t="str">
            <v>4 - Low</v>
          </cell>
        </row>
        <row r="16">
          <cell r="A16" t="str">
            <v>RF3833207</v>
          </cell>
          <cell r="B16" t="str">
            <v>Closed</v>
          </cell>
          <cell r="D16" t="str">
            <v>4 - Low</v>
          </cell>
        </row>
        <row r="17">
          <cell r="A17" t="str">
            <v>RF3847340</v>
          </cell>
          <cell r="B17" t="str">
            <v>Closed</v>
          </cell>
          <cell r="D17" t="str">
            <v>4 - Low</v>
          </cell>
        </row>
        <row r="18">
          <cell r="A18" t="str">
            <v>RF3868923</v>
          </cell>
          <cell r="B18" t="str">
            <v>Closed</v>
          </cell>
          <cell r="D18" t="str">
            <v>3 - Medium</v>
          </cell>
        </row>
        <row r="19">
          <cell r="A19" t="str">
            <v>RF3879799</v>
          </cell>
          <cell r="B19" t="str">
            <v>Closed</v>
          </cell>
          <cell r="C19" t="str">
            <v>Complete - Alert 1</v>
          </cell>
          <cell r="D19" t="str">
            <v>4 - Low</v>
          </cell>
        </row>
        <row r="20">
          <cell r="A20" t="str">
            <v>RF3891413</v>
          </cell>
          <cell r="B20" t="str">
            <v>Closed</v>
          </cell>
          <cell r="D20" t="str">
            <v>4 - Low</v>
          </cell>
        </row>
        <row r="21">
          <cell r="A21" t="str">
            <v>RF3892187</v>
          </cell>
          <cell r="B21" t="str">
            <v>Closed</v>
          </cell>
          <cell r="D21" t="str">
            <v>4 - Low</v>
          </cell>
        </row>
        <row r="22">
          <cell r="A22" t="str">
            <v>RF3892781</v>
          </cell>
          <cell r="B22" t="str">
            <v>Closed</v>
          </cell>
          <cell r="D22" t="str">
            <v>4 - Low</v>
          </cell>
        </row>
        <row r="23">
          <cell r="A23" t="str">
            <v>RF3893669</v>
          </cell>
          <cell r="B23" t="str">
            <v>Closed</v>
          </cell>
          <cell r="D23" t="str">
            <v>4 - Low</v>
          </cell>
        </row>
        <row r="24">
          <cell r="A24" t="str">
            <v>RF3897752</v>
          </cell>
          <cell r="B24" t="str">
            <v>Closed</v>
          </cell>
          <cell r="D24" t="str">
            <v>4 - Low</v>
          </cell>
        </row>
        <row r="25">
          <cell r="A25" t="str">
            <v>RF3899347</v>
          </cell>
          <cell r="B25" t="str">
            <v>Closed</v>
          </cell>
          <cell r="D25" t="str">
            <v>4 - Low</v>
          </cell>
        </row>
        <row r="26">
          <cell r="A26" t="str">
            <v>RF3903071</v>
          </cell>
          <cell r="B26" t="str">
            <v>Closed</v>
          </cell>
          <cell r="D26" t="str">
            <v>4 - Low</v>
          </cell>
        </row>
        <row r="27">
          <cell r="A27" t="str">
            <v>RF3903916</v>
          </cell>
          <cell r="B27" t="str">
            <v>Closed</v>
          </cell>
          <cell r="D27" t="str">
            <v>4 - Low</v>
          </cell>
        </row>
        <row r="28">
          <cell r="A28" t="str">
            <v>RF3903926</v>
          </cell>
          <cell r="B28" t="str">
            <v>Closed</v>
          </cell>
          <cell r="D28" t="str">
            <v>4 - Low</v>
          </cell>
        </row>
        <row r="29">
          <cell r="A29" t="str">
            <v>RF3911553</v>
          </cell>
          <cell r="B29" t="str">
            <v>Closed</v>
          </cell>
          <cell r="C29" t="str">
            <v>Complete - Alert 2</v>
          </cell>
          <cell r="D29" t="str">
            <v>4 - Low</v>
          </cell>
        </row>
        <row r="30">
          <cell r="A30" t="str">
            <v>RF3914577</v>
          </cell>
          <cell r="B30" t="str">
            <v>Closed</v>
          </cell>
          <cell r="D30" t="str">
            <v>4 - Low</v>
          </cell>
        </row>
        <row r="31">
          <cell r="A31" t="str">
            <v>RF3935930</v>
          </cell>
          <cell r="B31" t="str">
            <v>Closed</v>
          </cell>
          <cell r="D31" t="str">
            <v>4 - Low</v>
          </cell>
        </row>
        <row r="32">
          <cell r="A32" t="str">
            <v>RF3937460</v>
          </cell>
          <cell r="B32" t="str">
            <v>Closed</v>
          </cell>
          <cell r="D32" t="str">
            <v>4 - Low</v>
          </cell>
        </row>
        <row r="33">
          <cell r="A33" t="str">
            <v>RF3939060</v>
          </cell>
          <cell r="B33" t="str">
            <v>Closed</v>
          </cell>
          <cell r="D33" t="str">
            <v>4 - Low</v>
          </cell>
        </row>
        <row r="34">
          <cell r="A34" t="str">
            <v>RF3939100</v>
          </cell>
          <cell r="B34" t="str">
            <v>Closed</v>
          </cell>
          <cell r="D34" t="str">
            <v>4 - Low</v>
          </cell>
        </row>
        <row r="35">
          <cell r="A35" t="str">
            <v>RF3940825</v>
          </cell>
          <cell r="B35" t="str">
            <v>Closed</v>
          </cell>
          <cell r="C35" t="str">
            <v>Complete - Alert 1</v>
          </cell>
          <cell r="D35" t="str">
            <v>4 - Low</v>
          </cell>
        </row>
        <row r="36">
          <cell r="A36" t="str">
            <v>RF3946394</v>
          </cell>
          <cell r="B36" t="str">
            <v>Closed</v>
          </cell>
          <cell r="D36" t="str">
            <v>4 - Low</v>
          </cell>
        </row>
        <row r="37">
          <cell r="A37" t="str">
            <v>RF3958862</v>
          </cell>
          <cell r="B37" t="str">
            <v>Closed</v>
          </cell>
          <cell r="D37" t="str">
            <v>4 - Low</v>
          </cell>
        </row>
        <row r="38">
          <cell r="A38" t="str">
            <v>RF3959185</v>
          </cell>
          <cell r="B38" t="str">
            <v>Closed</v>
          </cell>
          <cell r="D38" t="str">
            <v>4 - Low</v>
          </cell>
        </row>
        <row r="39">
          <cell r="A39" t="str">
            <v>RF3967442</v>
          </cell>
          <cell r="B39" t="str">
            <v>Closed</v>
          </cell>
          <cell r="D39" t="str">
            <v>4 - Low</v>
          </cell>
        </row>
        <row r="40">
          <cell r="A40" t="str">
            <v>RF3972009</v>
          </cell>
          <cell r="B40" t="str">
            <v>Closed</v>
          </cell>
          <cell r="D40" t="str">
            <v>4 - Low</v>
          </cell>
        </row>
        <row r="41">
          <cell r="A41" t="str">
            <v>RF3992134</v>
          </cell>
          <cell r="B41" t="str">
            <v>Closed</v>
          </cell>
          <cell r="D41" t="str">
            <v>4 - Low</v>
          </cell>
        </row>
        <row r="42">
          <cell r="A42" t="str">
            <v>RF3997188</v>
          </cell>
          <cell r="B42" t="str">
            <v>Closed</v>
          </cell>
          <cell r="D42" t="str">
            <v>4 - Low</v>
          </cell>
        </row>
        <row r="43">
          <cell r="A43" t="str">
            <v>RF4001605</v>
          </cell>
          <cell r="B43" t="str">
            <v>Closed</v>
          </cell>
          <cell r="D43" t="str">
            <v>4 - Low</v>
          </cell>
        </row>
        <row r="44">
          <cell r="A44" t="str">
            <v>RF4007508</v>
          </cell>
          <cell r="B44" t="str">
            <v>Closed</v>
          </cell>
          <cell r="D44" t="str">
            <v>4 - Low</v>
          </cell>
        </row>
        <row r="45">
          <cell r="A45" t="str">
            <v>RF4034836</v>
          </cell>
          <cell r="B45" t="str">
            <v>Closed</v>
          </cell>
          <cell r="D45" t="str">
            <v>4 - Low</v>
          </cell>
        </row>
        <row r="46">
          <cell r="A46" t="str">
            <v>RF4035922</v>
          </cell>
          <cell r="B46" t="str">
            <v>Closed</v>
          </cell>
          <cell r="D46" t="str">
            <v>4 - Low</v>
          </cell>
        </row>
        <row r="47">
          <cell r="A47" t="str">
            <v>RF4036419</v>
          </cell>
          <cell r="B47" t="str">
            <v>Closed</v>
          </cell>
          <cell r="C47" t="str">
            <v>Complete - Alert 1</v>
          </cell>
          <cell r="D47" t="str">
            <v>4 - Low</v>
          </cell>
        </row>
        <row r="48">
          <cell r="A48" t="str">
            <v>RF4044668</v>
          </cell>
          <cell r="B48" t="str">
            <v>Closed</v>
          </cell>
          <cell r="C48" t="str">
            <v>Complete - MISSED</v>
          </cell>
          <cell r="D48" t="str">
            <v>3 - Medium</v>
          </cell>
        </row>
        <row r="49">
          <cell r="A49" t="str">
            <v>RF4052305</v>
          </cell>
          <cell r="B49" t="str">
            <v>Closed</v>
          </cell>
          <cell r="D49" t="str">
            <v>3 - Medium</v>
          </cell>
        </row>
        <row r="50">
          <cell r="A50" t="str">
            <v>RF4053602</v>
          </cell>
          <cell r="B50" t="str">
            <v>Closed</v>
          </cell>
          <cell r="D50" t="str">
            <v>4 - Low</v>
          </cell>
        </row>
        <row r="51">
          <cell r="A51" t="str">
            <v>RF4053926</v>
          </cell>
          <cell r="B51" t="str">
            <v>Closed</v>
          </cell>
          <cell r="D51" t="str">
            <v>4 - Low</v>
          </cell>
        </row>
        <row r="52">
          <cell r="A52" t="str">
            <v>RF4069498</v>
          </cell>
          <cell r="B52" t="str">
            <v>Closed</v>
          </cell>
          <cell r="D52" t="str">
            <v>4 - Low</v>
          </cell>
        </row>
        <row r="53">
          <cell r="A53" t="str">
            <v>RF4071491</v>
          </cell>
          <cell r="B53" t="str">
            <v>Closed</v>
          </cell>
          <cell r="D53" t="str">
            <v>4 - Low</v>
          </cell>
        </row>
        <row r="54">
          <cell r="A54" t="str">
            <v>RF4072887</v>
          </cell>
          <cell r="B54" t="str">
            <v>Closed</v>
          </cell>
          <cell r="D54" t="str">
            <v>4 - Low</v>
          </cell>
        </row>
        <row r="55">
          <cell r="A55" t="str">
            <v>RF4095477</v>
          </cell>
          <cell r="B55" t="str">
            <v>Closed</v>
          </cell>
          <cell r="D55" t="str">
            <v>4 - Low</v>
          </cell>
        </row>
        <row r="56">
          <cell r="A56" t="str">
            <v>RF4106941</v>
          </cell>
          <cell r="B56" t="str">
            <v>Closed</v>
          </cell>
          <cell r="D56" t="str">
            <v>4 - Low</v>
          </cell>
        </row>
        <row r="57">
          <cell r="A57" t="str">
            <v>RF4112719</v>
          </cell>
          <cell r="B57" t="str">
            <v>Closed</v>
          </cell>
          <cell r="C57" t="str">
            <v>Complete - Alert 2</v>
          </cell>
          <cell r="D57" t="str">
            <v>4 - Low</v>
          </cell>
        </row>
        <row r="58">
          <cell r="A58" t="str">
            <v>RF4132139</v>
          </cell>
          <cell r="B58" t="str">
            <v>Closed</v>
          </cell>
          <cell r="C58" t="str">
            <v>Complete - MISSED</v>
          </cell>
          <cell r="D58" t="str">
            <v>3 - Medium</v>
          </cell>
        </row>
        <row r="59">
          <cell r="A59" t="str">
            <v>RF4140562</v>
          </cell>
          <cell r="B59" t="str">
            <v>Closed</v>
          </cell>
          <cell r="D59" t="str">
            <v>4 - Low</v>
          </cell>
        </row>
        <row r="60">
          <cell r="A60" t="str">
            <v>RF4142909</v>
          </cell>
          <cell r="B60" t="str">
            <v>Closed</v>
          </cell>
          <cell r="D60" t="str">
            <v>4 - Low</v>
          </cell>
        </row>
        <row r="61">
          <cell r="A61" t="str">
            <v>RF4144801</v>
          </cell>
          <cell r="B61" t="str">
            <v>Closed</v>
          </cell>
          <cell r="D61" t="str">
            <v>4 - Low</v>
          </cell>
        </row>
        <row r="62">
          <cell r="A62" t="str">
            <v>RF4147216</v>
          </cell>
          <cell r="B62" t="str">
            <v>Closed</v>
          </cell>
          <cell r="D62" t="str">
            <v>4 - Low</v>
          </cell>
        </row>
        <row r="63">
          <cell r="A63" t="str">
            <v>RF4149183</v>
          </cell>
          <cell r="B63" t="str">
            <v>Closed</v>
          </cell>
          <cell r="D63" t="str">
            <v>4 - Low</v>
          </cell>
        </row>
        <row r="64">
          <cell r="A64" t="str">
            <v>RF4149867</v>
          </cell>
          <cell r="B64" t="str">
            <v>Closed</v>
          </cell>
          <cell r="D64" t="str">
            <v>4 - Low</v>
          </cell>
        </row>
        <row r="65">
          <cell r="A65" t="str">
            <v>RF4159048</v>
          </cell>
          <cell r="B65" t="str">
            <v>Closed</v>
          </cell>
          <cell r="D65" t="str">
            <v>4 - Low</v>
          </cell>
        </row>
        <row r="66">
          <cell r="A66" t="str">
            <v>RF4161071</v>
          </cell>
          <cell r="B66" t="str">
            <v>Closed</v>
          </cell>
          <cell r="C66" t="str">
            <v>Complete - Alert 1</v>
          </cell>
          <cell r="D66" t="str">
            <v>4 - Low</v>
          </cell>
        </row>
        <row r="67">
          <cell r="A67" t="str">
            <v>RF4161294</v>
          </cell>
          <cell r="B67" t="str">
            <v>Closed</v>
          </cell>
          <cell r="D67" t="str">
            <v>4 - Low</v>
          </cell>
        </row>
        <row r="68">
          <cell r="A68" t="str">
            <v>RF4169149</v>
          </cell>
          <cell r="B68" t="str">
            <v>Closed</v>
          </cell>
          <cell r="D68" t="str">
            <v>4 - Low</v>
          </cell>
        </row>
        <row r="69">
          <cell r="A69" t="str">
            <v>RF4177430</v>
          </cell>
          <cell r="B69" t="str">
            <v>Closed</v>
          </cell>
          <cell r="D69" t="str">
            <v>4 - Low</v>
          </cell>
        </row>
        <row r="70">
          <cell r="A70" t="str">
            <v>RF4177622</v>
          </cell>
          <cell r="B70" t="str">
            <v>Closed</v>
          </cell>
          <cell r="D70" t="str">
            <v>4 - Low</v>
          </cell>
        </row>
        <row r="71">
          <cell r="A71" t="str">
            <v>RF4185066</v>
          </cell>
          <cell r="B71" t="str">
            <v>Closed</v>
          </cell>
          <cell r="D71" t="str">
            <v>4 - Low</v>
          </cell>
        </row>
        <row r="72">
          <cell r="A72" t="str">
            <v>RF4204434</v>
          </cell>
          <cell r="B72" t="str">
            <v>Closed</v>
          </cell>
          <cell r="D72" t="str">
            <v>4 - Low</v>
          </cell>
        </row>
        <row r="73">
          <cell r="A73" t="str">
            <v>RF4224099</v>
          </cell>
          <cell r="B73" t="str">
            <v>Closed</v>
          </cell>
          <cell r="C73" t="str">
            <v>Complete - Alert 1</v>
          </cell>
          <cell r="D73" t="str">
            <v>4 - Low</v>
          </cell>
        </row>
        <row r="74">
          <cell r="A74" t="str">
            <v>RF4227162</v>
          </cell>
          <cell r="B74" t="str">
            <v>Closed</v>
          </cell>
          <cell r="C74" t="str">
            <v>Complete - MISSED</v>
          </cell>
          <cell r="D74" t="str">
            <v>4 - Low</v>
          </cell>
        </row>
        <row r="75">
          <cell r="A75" t="str">
            <v>RF4228567</v>
          </cell>
          <cell r="B75" t="str">
            <v>Closed</v>
          </cell>
          <cell r="D75" t="str">
            <v>4 - Low</v>
          </cell>
        </row>
        <row r="76">
          <cell r="A76" t="str">
            <v>RF4230751</v>
          </cell>
          <cell r="B76" t="str">
            <v>Closed</v>
          </cell>
          <cell r="D76" t="str">
            <v>4 - Low</v>
          </cell>
        </row>
        <row r="77">
          <cell r="A77" t="str">
            <v>RF4233492</v>
          </cell>
          <cell r="B77" t="str">
            <v>Closed</v>
          </cell>
          <cell r="D77" t="str">
            <v>4 - Low</v>
          </cell>
        </row>
        <row r="78">
          <cell r="A78" t="str">
            <v>RF4239756</v>
          </cell>
          <cell r="B78" t="str">
            <v>Closed</v>
          </cell>
          <cell r="C78" t="str">
            <v>Complete - MISSED</v>
          </cell>
          <cell r="D78" t="str">
            <v>4 - Low</v>
          </cell>
        </row>
        <row r="79">
          <cell r="A79" t="str">
            <v>RF4253195</v>
          </cell>
          <cell r="B79" t="str">
            <v>Closed</v>
          </cell>
          <cell r="D79" t="str">
            <v>3 - Medium</v>
          </cell>
        </row>
        <row r="80">
          <cell r="A80" t="str">
            <v>RF4253547</v>
          </cell>
          <cell r="B80" t="str">
            <v>Closed</v>
          </cell>
          <cell r="D80" t="str">
            <v>4 - Low</v>
          </cell>
        </row>
        <row r="81">
          <cell r="A81" t="str">
            <v>RF4257917</v>
          </cell>
          <cell r="B81" t="str">
            <v>Closed</v>
          </cell>
          <cell r="D81" t="str">
            <v>3 - Medium</v>
          </cell>
        </row>
        <row r="82">
          <cell r="A82" t="str">
            <v>RF4259836</v>
          </cell>
          <cell r="B82" t="str">
            <v>Closed</v>
          </cell>
          <cell r="C82" t="str">
            <v>Complete - MISSED</v>
          </cell>
          <cell r="D82" t="str">
            <v>4 - Low</v>
          </cell>
        </row>
        <row r="83">
          <cell r="A83" t="str">
            <v>RF4261489</v>
          </cell>
          <cell r="B83" t="str">
            <v>Closed</v>
          </cell>
          <cell r="C83" t="str">
            <v>Complete - Alert 1</v>
          </cell>
          <cell r="D83" t="str">
            <v>4 - Low</v>
          </cell>
        </row>
        <row r="84">
          <cell r="A84" t="str">
            <v>RF4276983</v>
          </cell>
          <cell r="B84" t="str">
            <v>Closed</v>
          </cell>
          <cell r="D84" t="str">
            <v>3 - Medium</v>
          </cell>
        </row>
        <row r="85">
          <cell r="A85" t="str">
            <v>RF4277915</v>
          </cell>
          <cell r="B85" t="str">
            <v>Closed</v>
          </cell>
          <cell r="D85" t="str">
            <v>4 - Low</v>
          </cell>
        </row>
        <row r="86">
          <cell r="A86" t="str">
            <v>RF4285170</v>
          </cell>
          <cell r="B86" t="str">
            <v>Closed</v>
          </cell>
          <cell r="D86" t="str">
            <v>4 - Low</v>
          </cell>
        </row>
        <row r="87">
          <cell r="A87" t="str">
            <v>RF4285171</v>
          </cell>
          <cell r="B87" t="str">
            <v>Closed</v>
          </cell>
          <cell r="D87" t="str">
            <v>4 - Low</v>
          </cell>
        </row>
        <row r="88">
          <cell r="A88" t="str">
            <v>RF4287296</v>
          </cell>
          <cell r="B88" t="str">
            <v>Closed</v>
          </cell>
          <cell r="C88" t="str">
            <v>Complete - Alert 2</v>
          </cell>
          <cell r="D88" t="str">
            <v>4 - Low</v>
          </cell>
        </row>
        <row r="89">
          <cell r="A89" t="str">
            <v>RF4294960</v>
          </cell>
          <cell r="B89" t="str">
            <v>Closed</v>
          </cell>
          <cell r="D89" t="str">
            <v>4 - Low</v>
          </cell>
        </row>
        <row r="90">
          <cell r="A90" t="str">
            <v>RF4296716</v>
          </cell>
          <cell r="B90" t="str">
            <v>Closed</v>
          </cell>
          <cell r="C90" t="str">
            <v>Complete - Alert 1</v>
          </cell>
          <cell r="D90" t="str">
            <v>4 - Low</v>
          </cell>
        </row>
        <row r="91">
          <cell r="A91" t="str">
            <v>RF4319625</v>
          </cell>
          <cell r="B91" t="str">
            <v>Closed</v>
          </cell>
          <cell r="C91" t="str">
            <v>Complete - Alert 1</v>
          </cell>
          <cell r="D91" t="str">
            <v>4 - Low</v>
          </cell>
        </row>
        <row r="92">
          <cell r="A92" t="str">
            <v>RF4327342</v>
          </cell>
          <cell r="B92" t="str">
            <v>Closed</v>
          </cell>
          <cell r="D92" t="str">
            <v>4 - Low</v>
          </cell>
        </row>
        <row r="93">
          <cell r="A93" t="str">
            <v>RF4332575</v>
          </cell>
          <cell r="B93" t="str">
            <v>Closed</v>
          </cell>
          <cell r="D93" t="str">
            <v>4 - Low</v>
          </cell>
        </row>
        <row r="94">
          <cell r="A94" t="str">
            <v>RF4336277</v>
          </cell>
          <cell r="B94" t="str">
            <v>Closed</v>
          </cell>
          <cell r="C94" t="str">
            <v>Complete - MISSED</v>
          </cell>
          <cell r="D94" t="str">
            <v>4 - Low</v>
          </cell>
        </row>
        <row r="95">
          <cell r="A95" t="str">
            <v>RF4340216</v>
          </cell>
          <cell r="B95" t="str">
            <v>Closed</v>
          </cell>
          <cell r="D95" t="str">
            <v>4 - Low</v>
          </cell>
        </row>
        <row r="96">
          <cell r="A96" t="str">
            <v>RF4345721</v>
          </cell>
          <cell r="B96" t="str">
            <v>Closed</v>
          </cell>
          <cell r="D96" t="str">
            <v>4 - Low</v>
          </cell>
        </row>
        <row r="97">
          <cell r="A97" t="str">
            <v>RF4349987</v>
          </cell>
          <cell r="B97" t="str">
            <v>Closed</v>
          </cell>
          <cell r="C97" t="str">
            <v>Complete - Alert 1</v>
          </cell>
          <cell r="D97" t="str">
            <v>4 - Low</v>
          </cell>
        </row>
        <row r="98">
          <cell r="A98" t="str">
            <v>RF4361592</v>
          </cell>
          <cell r="B98" t="str">
            <v>Closed</v>
          </cell>
          <cell r="D98" t="str">
            <v>4 - Low</v>
          </cell>
        </row>
        <row r="99">
          <cell r="A99" t="str">
            <v>RF4361601</v>
          </cell>
          <cell r="B99" t="str">
            <v>Closed</v>
          </cell>
          <cell r="D99" t="str">
            <v>4 - Low</v>
          </cell>
        </row>
        <row r="100">
          <cell r="A100" t="str">
            <v>RF4378327</v>
          </cell>
          <cell r="B100" t="str">
            <v>Closed</v>
          </cell>
          <cell r="D100" t="str">
            <v>4 - Low</v>
          </cell>
        </row>
        <row r="101">
          <cell r="A101" t="str">
            <v>RF4378337</v>
          </cell>
          <cell r="B101" t="str">
            <v>Closed</v>
          </cell>
          <cell r="D101" t="str">
            <v>4 - Low</v>
          </cell>
        </row>
        <row r="102">
          <cell r="A102" t="str">
            <v>RF4385039</v>
          </cell>
          <cell r="B102" t="str">
            <v>Closed</v>
          </cell>
          <cell r="D102" t="str">
            <v>4 - Low</v>
          </cell>
        </row>
        <row r="103">
          <cell r="A103" t="str">
            <v>RF4385746</v>
          </cell>
          <cell r="B103" t="str">
            <v>Closed</v>
          </cell>
          <cell r="D103" t="str">
            <v>4 - Low</v>
          </cell>
        </row>
        <row r="104">
          <cell r="A104" t="str">
            <v>RF4386208</v>
          </cell>
          <cell r="B104" t="str">
            <v>Closed</v>
          </cell>
          <cell r="D104" t="str">
            <v>4 - Low</v>
          </cell>
        </row>
        <row r="105">
          <cell r="A105" t="str">
            <v>RF4389174</v>
          </cell>
          <cell r="B105" t="str">
            <v>Closed</v>
          </cell>
          <cell r="D105" t="str">
            <v>4 - Low</v>
          </cell>
        </row>
        <row r="106">
          <cell r="A106" t="str">
            <v>RF4389175</v>
          </cell>
          <cell r="B106" t="str">
            <v>Closed</v>
          </cell>
          <cell r="D106" t="str">
            <v>4 - Low</v>
          </cell>
        </row>
        <row r="107">
          <cell r="A107" t="str">
            <v>RF4389176</v>
          </cell>
          <cell r="B107" t="str">
            <v>Closed</v>
          </cell>
          <cell r="D107" t="str">
            <v>4 - Low</v>
          </cell>
        </row>
        <row r="108">
          <cell r="A108" t="str">
            <v>RF4389177</v>
          </cell>
          <cell r="B108" t="str">
            <v>Closed</v>
          </cell>
          <cell r="D108" t="str">
            <v>4 - Low</v>
          </cell>
        </row>
        <row r="109">
          <cell r="A109" t="str">
            <v>RF4393593</v>
          </cell>
          <cell r="B109" t="str">
            <v>Closed</v>
          </cell>
          <cell r="C109" t="str">
            <v>Complete - Alert 2</v>
          </cell>
          <cell r="D109" t="str">
            <v>4 - Low</v>
          </cell>
        </row>
        <row r="110">
          <cell r="A110" t="str">
            <v>RF4397659</v>
          </cell>
          <cell r="B110" t="str">
            <v>Closed</v>
          </cell>
          <cell r="D110" t="str">
            <v>4 - Low</v>
          </cell>
        </row>
        <row r="111">
          <cell r="A111" t="str">
            <v>RF4407380</v>
          </cell>
          <cell r="B111" t="str">
            <v>Closed</v>
          </cell>
          <cell r="D111" t="str">
            <v>4 - Low</v>
          </cell>
        </row>
        <row r="112">
          <cell r="A112" t="str">
            <v>RF4409653</v>
          </cell>
          <cell r="B112" t="str">
            <v>Closed</v>
          </cell>
          <cell r="C112" t="str">
            <v>Complete - Alert 1</v>
          </cell>
          <cell r="D112" t="str">
            <v>4 - Low</v>
          </cell>
        </row>
        <row r="113">
          <cell r="A113" t="str">
            <v>RF4413989</v>
          </cell>
          <cell r="B113" t="str">
            <v>Closed</v>
          </cell>
          <cell r="D113" t="str">
            <v>4 - Low</v>
          </cell>
        </row>
        <row r="114">
          <cell r="A114" t="str">
            <v>RF4416076</v>
          </cell>
          <cell r="B114" t="str">
            <v>Closed</v>
          </cell>
          <cell r="D114" t="str">
            <v>4 - Low</v>
          </cell>
        </row>
        <row r="115">
          <cell r="A115" t="str">
            <v>RF4416624</v>
          </cell>
          <cell r="B115" t="str">
            <v>Closed</v>
          </cell>
          <cell r="D115" t="str">
            <v>4 - Low</v>
          </cell>
        </row>
        <row r="116">
          <cell r="A116" t="str">
            <v>RF4416625</v>
          </cell>
          <cell r="B116" t="str">
            <v>Closed</v>
          </cell>
          <cell r="D116" t="str">
            <v>4 - Low</v>
          </cell>
        </row>
        <row r="117">
          <cell r="A117" t="str">
            <v>RF4416626</v>
          </cell>
          <cell r="B117" t="str">
            <v>Closed</v>
          </cell>
          <cell r="D117" t="str">
            <v>4 - Low</v>
          </cell>
        </row>
        <row r="118">
          <cell r="A118" t="str">
            <v>RF4427605</v>
          </cell>
          <cell r="B118" t="str">
            <v>Closed</v>
          </cell>
          <cell r="D118" t="str">
            <v>4 - Low</v>
          </cell>
        </row>
        <row r="119">
          <cell r="A119" t="str">
            <v>RF4435294</v>
          </cell>
          <cell r="B119" t="str">
            <v>Closed</v>
          </cell>
          <cell r="D119" t="str">
            <v>4 - Low</v>
          </cell>
        </row>
        <row r="120">
          <cell r="A120" t="str">
            <v>RF4438649</v>
          </cell>
          <cell r="B120" t="str">
            <v>Closed</v>
          </cell>
          <cell r="D120" t="str">
            <v>4 - Low</v>
          </cell>
        </row>
        <row r="121">
          <cell r="A121" t="str">
            <v>RF4458887</v>
          </cell>
          <cell r="B121" t="str">
            <v>Closed</v>
          </cell>
          <cell r="D121" t="str">
            <v>4 - Low</v>
          </cell>
        </row>
        <row r="122">
          <cell r="A122" t="str">
            <v>RF4462007</v>
          </cell>
          <cell r="B122" t="str">
            <v>Closed</v>
          </cell>
          <cell r="D122" t="str">
            <v>4 - Low</v>
          </cell>
        </row>
        <row r="123">
          <cell r="A123" t="str">
            <v>RF4465281</v>
          </cell>
          <cell r="B123" t="str">
            <v>Closed</v>
          </cell>
          <cell r="D123" t="str">
            <v>4 - Low</v>
          </cell>
        </row>
        <row r="124">
          <cell r="A124" t="str">
            <v>RF4468179</v>
          </cell>
          <cell r="B124" t="str">
            <v>Closed</v>
          </cell>
          <cell r="D124" t="str">
            <v>4 - Low</v>
          </cell>
        </row>
        <row r="125">
          <cell r="A125" t="str">
            <v>RF4474092</v>
          </cell>
          <cell r="B125" t="str">
            <v>Closed</v>
          </cell>
          <cell r="D125" t="str">
            <v>4 - Low</v>
          </cell>
        </row>
        <row r="126">
          <cell r="A126" t="str">
            <v>RF4477221</v>
          </cell>
          <cell r="B126" t="str">
            <v>Closed</v>
          </cell>
          <cell r="C126" t="str">
            <v>Complete - Alert 2</v>
          </cell>
          <cell r="D126" t="str">
            <v>4 - Low</v>
          </cell>
        </row>
        <row r="127">
          <cell r="A127" t="str">
            <v>RF4481657</v>
          </cell>
          <cell r="B127" t="str">
            <v>Closed</v>
          </cell>
          <cell r="D127" t="str">
            <v>4 - Low</v>
          </cell>
        </row>
        <row r="128">
          <cell r="A128" t="str">
            <v>RF4483550</v>
          </cell>
          <cell r="B128" t="str">
            <v>Closed</v>
          </cell>
          <cell r="C128" t="str">
            <v>Complete - Alert 1</v>
          </cell>
          <cell r="D128" t="str">
            <v>4 - Low</v>
          </cell>
        </row>
        <row r="129">
          <cell r="A129" t="str">
            <v>RF4483559</v>
          </cell>
          <cell r="B129" t="str">
            <v>Closed</v>
          </cell>
          <cell r="C129" t="str">
            <v>Complete - Alert 2</v>
          </cell>
          <cell r="D129" t="str">
            <v>4 - Low</v>
          </cell>
        </row>
        <row r="130">
          <cell r="A130" t="str">
            <v>RF4486579</v>
          </cell>
          <cell r="B130" t="str">
            <v>Closed</v>
          </cell>
          <cell r="D130" t="str">
            <v>4 - Low</v>
          </cell>
        </row>
        <row r="131">
          <cell r="A131" t="str">
            <v>RF4487127</v>
          </cell>
          <cell r="B131" t="str">
            <v>Closed</v>
          </cell>
          <cell r="C131" t="str">
            <v>Complete - Alert 1</v>
          </cell>
          <cell r="D131" t="str">
            <v>4 - Low</v>
          </cell>
        </row>
        <row r="132">
          <cell r="A132" t="str">
            <v>RF4490241</v>
          </cell>
          <cell r="B132" t="str">
            <v>Closed</v>
          </cell>
          <cell r="C132" t="str">
            <v>Complete - MISSED</v>
          </cell>
          <cell r="D132" t="str">
            <v>4 - Low</v>
          </cell>
        </row>
        <row r="133">
          <cell r="A133" t="str">
            <v>RF4490862</v>
          </cell>
          <cell r="B133" t="str">
            <v>Closed</v>
          </cell>
          <cell r="D133" t="str">
            <v>4 - Low</v>
          </cell>
        </row>
        <row r="134">
          <cell r="A134" t="str">
            <v>RF4491096</v>
          </cell>
          <cell r="B134" t="str">
            <v>Closed</v>
          </cell>
          <cell r="C134" t="str">
            <v>Complete - Alert 1</v>
          </cell>
          <cell r="D134" t="str">
            <v>4 - Low</v>
          </cell>
        </row>
        <row r="135">
          <cell r="A135" t="str">
            <v>RF4492723</v>
          </cell>
          <cell r="B135" t="str">
            <v>Closed</v>
          </cell>
          <cell r="D135" t="str">
            <v>2 - High</v>
          </cell>
        </row>
        <row r="136">
          <cell r="A136" t="str">
            <v>RF4493307</v>
          </cell>
          <cell r="B136" t="str">
            <v>Closed</v>
          </cell>
          <cell r="D136" t="str">
            <v>4 - Low</v>
          </cell>
        </row>
        <row r="137">
          <cell r="A137" t="str">
            <v>RF4495210</v>
          </cell>
          <cell r="B137" t="str">
            <v>Closed</v>
          </cell>
          <cell r="D137" t="str">
            <v>4 - Low</v>
          </cell>
        </row>
        <row r="138">
          <cell r="A138" t="str">
            <v>RF4499932</v>
          </cell>
          <cell r="B138" t="str">
            <v>Closed</v>
          </cell>
          <cell r="D138" t="str">
            <v>4 - Low</v>
          </cell>
        </row>
        <row r="139">
          <cell r="A139" t="str">
            <v>RF4502450</v>
          </cell>
          <cell r="B139" t="str">
            <v>Closed</v>
          </cell>
          <cell r="D139" t="str">
            <v>4 - Low</v>
          </cell>
        </row>
        <row r="140">
          <cell r="A140" t="str">
            <v>RF4507505</v>
          </cell>
          <cell r="B140" t="str">
            <v>Closed</v>
          </cell>
          <cell r="D140" t="str">
            <v>4 - Low</v>
          </cell>
        </row>
        <row r="141">
          <cell r="A141" t="str">
            <v>RF4516974</v>
          </cell>
          <cell r="B141" t="str">
            <v>Closed</v>
          </cell>
          <cell r="D141" t="str">
            <v>4 - Low</v>
          </cell>
        </row>
        <row r="142">
          <cell r="A142" t="str">
            <v>RF4517313</v>
          </cell>
          <cell r="B142" t="str">
            <v>Closed</v>
          </cell>
          <cell r="C142" t="str">
            <v>Complete - MISSED</v>
          </cell>
          <cell r="D142" t="str">
            <v>4 - Low</v>
          </cell>
        </row>
        <row r="143">
          <cell r="A143" t="str">
            <v>RF4517550</v>
          </cell>
          <cell r="B143" t="str">
            <v>Closed</v>
          </cell>
          <cell r="C143" t="str">
            <v>Complete - Alert 1</v>
          </cell>
          <cell r="D143" t="str">
            <v>3 - Medium</v>
          </cell>
        </row>
        <row r="144">
          <cell r="A144" t="str">
            <v>RF4521033</v>
          </cell>
          <cell r="B144" t="str">
            <v>Closed</v>
          </cell>
          <cell r="D144" t="str">
            <v>4 - Low</v>
          </cell>
        </row>
        <row r="145">
          <cell r="A145" t="str">
            <v>RF4528650</v>
          </cell>
          <cell r="B145" t="str">
            <v>Closed</v>
          </cell>
          <cell r="D145" t="str">
            <v>4 - Low</v>
          </cell>
        </row>
        <row r="146">
          <cell r="A146" t="str">
            <v>RF4530227</v>
          </cell>
          <cell r="B146" t="str">
            <v>Closed</v>
          </cell>
          <cell r="C146" t="str">
            <v>Complete - MISSED</v>
          </cell>
          <cell r="D146" t="str">
            <v>4 - Low</v>
          </cell>
        </row>
        <row r="147">
          <cell r="A147" t="str">
            <v>RF4532101</v>
          </cell>
          <cell r="B147" t="str">
            <v>Closed</v>
          </cell>
          <cell r="D147" t="str">
            <v>4 - Low</v>
          </cell>
        </row>
        <row r="148">
          <cell r="A148" t="str">
            <v>RF4539718</v>
          </cell>
          <cell r="B148" t="str">
            <v>Closed</v>
          </cell>
          <cell r="D148" t="str">
            <v>4 - Low</v>
          </cell>
        </row>
        <row r="149">
          <cell r="A149" t="str">
            <v>RF4543246</v>
          </cell>
          <cell r="B149" t="str">
            <v>Closed</v>
          </cell>
          <cell r="D149" t="str">
            <v>4 - Low</v>
          </cell>
        </row>
        <row r="150">
          <cell r="A150" t="str">
            <v>RF4543343</v>
          </cell>
          <cell r="B150" t="str">
            <v>Closed</v>
          </cell>
          <cell r="D150" t="str">
            <v>4 - Low</v>
          </cell>
        </row>
        <row r="151">
          <cell r="A151" t="str">
            <v>RF4543385</v>
          </cell>
          <cell r="B151" t="str">
            <v>Closed</v>
          </cell>
          <cell r="D151" t="str">
            <v>4 - Low</v>
          </cell>
        </row>
        <row r="152">
          <cell r="A152" t="str">
            <v>RF4543966</v>
          </cell>
          <cell r="B152" t="str">
            <v>Closed</v>
          </cell>
          <cell r="D152" t="str">
            <v>4 - Low</v>
          </cell>
        </row>
        <row r="153">
          <cell r="A153" t="str">
            <v>RF4544463</v>
          </cell>
          <cell r="B153" t="str">
            <v>Closed</v>
          </cell>
          <cell r="D153" t="str">
            <v>4 - Low</v>
          </cell>
        </row>
        <row r="154">
          <cell r="A154" t="str">
            <v>RF4544854</v>
          </cell>
          <cell r="B154" t="str">
            <v>Closed</v>
          </cell>
          <cell r="D154" t="str">
            <v>4 - Low</v>
          </cell>
        </row>
        <row r="155">
          <cell r="A155" t="str">
            <v>RF4545439</v>
          </cell>
          <cell r="B155" t="str">
            <v>Closed</v>
          </cell>
          <cell r="D155" t="str">
            <v>4 - Low</v>
          </cell>
        </row>
        <row r="156">
          <cell r="A156" t="str">
            <v>RF4548817</v>
          </cell>
          <cell r="B156" t="str">
            <v>Closed</v>
          </cell>
          <cell r="D156" t="str">
            <v>4 - Low</v>
          </cell>
        </row>
        <row r="157">
          <cell r="A157" t="str">
            <v>RF4549025</v>
          </cell>
          <cell r="B157" t="str">
            <v>Closed</v>
          </cell>
          <cell r="C157" t="str">
            <v>Complete - Alert 2</v>
          </cell>
          <cell r="D157" t="str">
            <v>4 - Low</v>
          </cell>
        </row>
        <row r="158">
          <cell r="A158" t="str">
            <v>RF4551807</v>
          </cell>
          <cell r="B158" t="str">
            <v>Closed</v>
          </cell>
          <cell r="D158" t="str">
            <v>4 - Low</v>
          </cell>
        </row>
        <row r="159">
          <cell r="A159" t="str">
            <v>RF4553261</v>
          </cell>
          <cell r="B159" t="str">
            <v>Closed</v>
          </cell>
          <cell r="D159" t="str">
            <v>4 - Low</v>
          </cell>
        </row>
        <row r="160">
          <cell r="A160" t="str">
            <v>RF4556145</v>
          </cell>
          <cell r="B160" t="str">
            <v>Closed</v>
          </cell>
          <cell r="D160" t="str">
            <v>4 - Low</v>
          </cell>
        </row>
        <row r="161">
          <cell r="A161" t="str">
            <v>RF4558036</v>
          </cell>
          <cell r="B161" t="str">
            <v>Closed</v>
          </cell>
          <cell r="D161" t="str">
            <v>4 - Low</v>
          </cell>
        </row>
        <row r="162">
          <cell r="A162" t="str">
            <v>RF4562480</v>
          </cell>
          <cell r="B162" t="str">
            <v>Closed</v>
          </cell>
          <cell r="D162" t="str">
            <v>4 - Low</v>
          </cell>
        </row>
        <row r="163">
          <cell r="A163" t="str">
            <v>RF4562908</v>
          </cell>
          <cell r="B163" t="str">
            <v>Closed</v>
          </cell>
          <cell r="D163" t="str">
            <v>4 - Low</v>
          </cell>
        </row>
        <row r="164">
          <cell r="A164" t="str">
            <v>RF4562963</v>
          </cell>
          <cell r="B164" t="str">
            <v>Closed</v>
          </cell>
          <cell r="D164" t="str">
            <v>4 - Low</v>
          </cell>
        </row>
        <row r="165">
          <cell r="A165" t="str">
            <v>RF4563789</v>
          </cell>
          <cell r="B165" t="str">
            <v>Closed</v>
          </cell>
          <cell r="D165" t="str">
            <v>4 - Low</v>
          </cell>
        </row>
        <row r="166">
          <cell r="A166" t="str">
            <v>RF4568748</v>
          </cell>
          <cell r="B166" t="str">
            <v>Closed</v>
          </cell>
          <cell r="D166" t="str">
            <v>4 - Low</v>
          </cell>
        </row>
        <row r="167">
          <cell r="A167" t="str">
            <v>RF4574305</v>
          </cell>
          <cell r="B167" t="str">
            <v>Closed</v>
          </cell>
          <cell r="D167" t="str">
            <v>4 - Low</v>
          </cell>
        </row>
        <row r="168">
          <cell r="A168" t="str">
            <v>RF4575428</v>
          </cell>
          <cell r="B168" t="str">
            <v>Closed</v>
          </cell>
          <cell r="D168" t="str">
            <v>4 - Low</v>
          </cell>
        </row>
        <row r="169">
          <cell r="A169" t="str">
            <v>RF4577152</v>
          </cell>
          <cell r="B169" t="str">
            <v>Closed</v>
          </cell>
          <cell r="C169" t="str">
            <v>Complete - Alert 1</v>
          </cell>
          <cell r="D169" t="str">
            <v>4 - Low</v>
          </cell>
        </row>
        <row r="170">
          <cell r="A170" t="str">
            <v>RF4581087</v>
          </cell>
          <cell r="B170" t="str">
            <v>Closed</v>
          </cell>
          <cell r="D170" t="str">
            <v>4 - Low</v>
          </cell>
        </row>
        <row r="171">
          <cell r="A171" t="str">
            <v>RF4582730</v>
          </cell>
          <cell r="B171" t="str">
            <v>Closed</v>
          </cell>
          <cell r="C171" t="str">
            <v>Complete - MISSED</v>
          </cell>
          <cell r="D171" t="str">
            <v>2 - High</v>
          </cell>
        </row>
        <row r="172">
          <cell r="A172" t="str">
            <v>RF4582749</v>
          </cell>
          <cell r="B172" t="str">
            <v>Closed</v>
          </cell>
          <cell r="D172" t="str">
            <v>4 - Low</v>
          </cell>
        </row>
        <row r="173">
          <cell r="A173" t="str">
            <v>RF4590091</v>
          </cell>
          <cell r="B173" t="str">
            <v>Closed</v>
          </cell>
          <cell r="D173" t="str">
            <v>4 - Low</v>
          </cell>
        </row>
        <row r="174">
          <cell r="A174" t="str">
            <v>RF4590357</v>
          </cell>
          <cell r="B174" t="str">
            <v>Closed</v>
          </cell>
          <cell r="C174" t="str">
            <v>Complete - MISSED</v>
          </cell>
          <cell r="D174" t="str">
            <v>4 - Low</v>
          </cell>
        </row>
        <row r="175">
          <cell r="A175" t="str">
            <v>RF4597422</v>
          </cell>
          <cell r="B175" t="str">
            <v>Closed</v>
          </cell>
          <cell r="C175" t="str">
            <v>Complete - MISSED</v>
          </cell>
          <cell r="D175" t="str">
            <v>2 - High</v>
          </cell>
        </row>
        <row r="176">
          <cell r="A176" t="str">
            <v>RF4599260</v>
          </cell>
          <cell r="B176" t="str">
            <v>Closed</v>
          </cell>
          <cell r="D176" t="str">
            <v>4 - Low</v>
          </cell>
        </row>
        <row r="177">
          <cell r="A177" t="str">
            <v>RF4599304</v>
          </cell>
          <cell r="B177" t="str">
            <v>Closed</v>
          </cell>
          <cell r="D177" t="str">
            <v>4 - Low</v>
          </cell>
        </row>
        <row r="178">
          <cell r="A178" t="str">
            <v>RF4600467</v>
          </cell>
          <cell r="B178" t="str">
            <v>Closed</v>
          </cell>
          <cell r="D178" t="str">
            <v>4 - Low</v>
          </cell>
        </row>
        <row r="179">
          <cell r="A179" t="str">
            <v>RF4600825</v>
          </cell>
          <cell r="B179" t="str">
            <v>Closed</v>
          </cell>
          <cell r="D179" t="str">
            <v>3 - Medium</v>
          </cell>
        </row>
        <row r="180">
          <cell r="A180" t="str">
            <v>RF4606171</v>
          </cell>
          <cell r="B180" t="str">
            <v>Closed</v>
          </cell>
          <cell r="C180" t="str">
            <v>Complete - MISSED</v>
          </cell>
          <cell r="D180" t="str">
            <v>4 - Low</v>
          </cell>
        </row>
        <row r="181">
          <cell r="A181" t="str">
            <v>RF4608723</v>
          </cell>
          <cell r="B181" t="str">
            <v>Closed</v>
          </cell>
          <cell r="C181" t="str">
            <v>Complete - Alert 1</v>
          </cell>
          <cell r="D181" t="str">
            <v>4 - Low</v>
          </cell>
        </row>
        <row r="182">
          <cell r="A182" t="str">
            <v>RF4616869</v>
          </cell>
          <cell r="B182" t="str">
            <v>Closed</v>
          </cell>
          <cell r="D182" t="str">
            <v>4 - Low</v>
          </cell>
        </row>
        <row r="183">
          <cell r="A183" t="str">
            <v>RF4618498</v>
          </cell>
          <cell r="B183" t="str">
            <v>Closed</v>
          </cell>
          <cell r="D183" t="str">
            <v>4 - Low</v>
          </cell>
        </row>
        <row r="184">
          <cell r="A184" t="str">
            <v>RF4628004</v>
          </cell>
          <cell r="B184" t="str">
            <v>Closed</v>
          </cell>
          <cell r="D184" t="str">
            <v>4 - Low</v>
          </cell>
        </row>
        <row r="185">
          <cell r="A185" t="str">
            <v>RF4629095</v>
          </cell>
          <cell r="B185" t="str">
            <v>Closed</v>
          </cell>
          <cell r="D185" t="str">
            <v>4 - Low</v>
          </cell>
        </row>
        <row r="186">
          <cell r="A186" t="str">
            <v>RF4629100</v>
          </cell>
          <cell r="B186" t="str">
            <v>Closed</v>
          </cell>
          <cell r="D186" t="str">
            <v>4 - Low</v>
          </cell>
        </row>
        <row r="187">
          <cell r="A187" t="str">
            <v>RF4631750</v>
          </cell>
          <cell r="B187" t="str">
            <v>Closed</v>
          </cell>
          <cell r="D187" t="str">
            <v>4 - Low</v>
          </cell>
        </row>
        <row r="188">
          <cell r="A188" t="str">
            <v>RF4634399</v>
          </cell>
          <cell r="B188" t="str">
            <v>Closed</v>
          </cell>
          <cell r="D188" t="str">
            <v>4 - Low</v>
          </cell>
        </row>
        <row r="189">
          <cell r="A189" t="str">
            <v>RF4648377</v>
          </cell>
          <cell r="B189" t="str">
            <v>Closed</v>
          </cell>
          <cell r="C189" t="str">
            <v>Complete - Alert 1</v>
          </cell>
          <cell r="D189" t="str">
            <v>4 - Low</v>
          </cell>
        </row>
        <row r="190">
          <cell r="A190" t="str">
            <v>RF4656247</v>
          </cell>
          <cell r="B190" t="str">
            <v>Closed</v>
          </cell>
          <cell r="D190" t="str">
            <v>4 - Low</v>
          </cell>
        </row>
        <row r="191">
          <cell r="A191" t="str">
            <v>RF4657882</v>
          </cell>
          <cell r="B191" t="str">
            <v>Closed</v>
          </cell>
          <cell r="D191" t="str">
            <v>4 - Low</v>
          </cell>
        </row>
        <row r="192">
          <cell r="A192" t="str">
            <v>RF4657927</v>
          </cell>
          <cell r="B192" t="str">
            <v>Closed</v>
          </cell>
          <cell r="C192" t="str">
            <v>Complete - Alert 1</v>
          </cell>
          <cell r="D192" t="str">
            <v>2 - High</v>
          </cell>
        </row>
        <row r="193">
          <cell r="A193" t="str">
            <v>RF4661670</v>
          </cell>
          <cell r="B193" t="str">
            <v>Closed</v>
          </cell>
          <cell r="D193" t="str">
            <v>4 - Low</v>
          </cell>
        </row>
        <row r="194">
          <cell r="A194" t="str">
            <v>RF4663113</v>
          </cell>
          <cell r="B194" t="str">
            <v>Closed</v>
          </cell>
          <cell r="D194" t="str">
            <v>4 - Low</v>
          </cell>
        </row>
        <row r="195">
          <cell r="A195" t="str">
            <v>RF4665515</v>
          </cell>
          <cell r="B195" t="str">
            <v>Closed</v>
          </cell>
          <cell r="D195" t="str">
            <v>4 - Low</v>
          </cell>
        </row>
        <row r="196">
          <cell r="A196" t="str">
            <v>RF4667239</v>
          </cell>
          <cell r="B196" t="str">
            <v>Closed</v>
          </cell>
          <cell r="D196" t="str">
            <v>4 - Low</v>
          </cell>
        </row>
        <row r="197">
          <cell r="A197" t="str">
            <v>RF4668203</v>
          </cell>
          <cell r="B197" t="str">
            <v>Closed</v>
          </cell>
          <cell r="D197" t="str">
            <v>4 - Low</v>
          </cell>
        </row>
        <row r="198">
          <cell r="A198" t="str">
            <v>RF4669500</v>
          </cell>
          <cell r="B198" t="str">
            <v>Closed</v>
          </cell>
          <cell r="D198" t="str">
            <v>4 - Low</v>
          </cell>
        </row>
        <row r="199">
          <cell r="A199" t="str">
            <v>RF4673232</v>
          </cell>
          <cell r="B199" t="str">
            <v>Closed</v>
          </cell>
          <cell r="D199" t="str">
            <v>4 - Low</v>
          </cell>
        </row>
        <row r="200">
          <cell r="A200" t="str">
            <v>RF4676200</v>
          </cell>
          <cell r="B200" t="str">
            <v>Closed</v>
          </cell>
          <cell r="D200" t="str">
            <v>4 - Low</v>
          </cell>
        </row>
        <row r="201">
          <cell r="A201" t="str">
            <v>RF4678865</v>
          </cell>
          <cell r="B201" t="str">
            <v>Closed</v>
          </cell>
          <cell r="D201" t="str">
            <v>4 - Low</v>
          </cell>
        </row>
        <row r="202">
          <cell r="A202" t="str">
            <v>RF4679123</v>
          </cell>
          <cell r="B202" t="str">
            <v>Closed</v>
          </cell>
          <cell r="D202" t="str">
            <v>4 - Low</v>
          </cell>
        </row>
        <row r="203">
          <cell r="A203" t="str">
            <v>RF4680282</v>
          </cell>
          <cell r="B203" t="str">
            <v>Closed</v>
          </cell>
          <cell r="C203" t="str">
            <v>Complete - MISSED</v>
          </cell>
          <cell r="D203" t="str">
            <v>3 - Medium</v>
          </cell>
        </row>
        <row r="204">
          <cell r="A204" t="str">
            <v>RF4690832</v>
          </cell>
          <cell r="B204" t="str">
            <v>Closed</v>
          </cell>
          <cell r="D204" t="str">
            <v>4 - Low</v>
          </cell>
        </row>
        <row r="205">
          <cell r="A205" t="str">
            <v>RF4693523</v>
          </cell>
          <cell r="B205" t="str">
            <v>Closed</v>
          </cell>
          <cell r="C205" t="str">
            <v>Complete - Alert 1</v>
          </cell>
          <cell r="D205" t="str">
            <v>4 - Low</v>
          </cell>
        </row>
        <row r="206">
          <cell r="A206" t="str">
            <v>RF4697037</v>
          </cell>
          <cell r="B206" t="str">
            <v>Closed</v>
          </cell>
          <cell r="D206" t="str">
            <v>4 - Low</v>
          </cell>
        </row>
        <row r="207">
          <cell r="A207" t="str">
            <v>RF4699578</v>
          </cell>
          <cell r="B207" t="str">
            <v>Closed</v>
          </cell>
          <cell r="C207" t="str">
            <v>Complete - Alert 2</v>
          </cell>
          <cell r="D207" t="str">
            <v>4 - Low</v>
          </cell>
        </row>
        <row r="208">
          <cell r="A208" t="str">
            <v>RF4701109</v>
          </cell>
          <cell r="B208" t="str">
            <v>Closed</v>
          </cell>
          <cell r="D208" t="str">
            <v>4 - Low</v>
          </cell>
        </row>
        <row r="209">
          <cell r="A209" t="str">
            <v>RF4702941</v>
          </cell>
          <cell r="B209" t="str">
            <v>Closed</v>
          </cell>
          <cell r="D209" t="str">
            <v>4 - Low</v>
          </cell>
        </row>
        <row r="210">
          <cell r="A210" t="str">
            <v>RF4703088</v>
          </cell>
          <cell r="B210" t="str">
            <v>Closed</v>
          </cell>
          <cell r="D210" t="str">
            <v>4 - Low</v>
          </cell>
        </row>
        <row r="211">
          <cell r="A211" t="str">
            <v>RF4703598</v>
          </cell>
          <cell r="B211" t="str">
            <v>Closed</v>
          </cell>
          <cell r="D211" t="str">
            <v>4 - Low</v>
          </cell>
        </row>
        <row r="212">
          <cell r="A212" t="str">
            <v>RF4704366</v>
          </cell>
          <cell r="B212" t="str">
            <v>Closed</v>
          </cell>
          <cell r="D212" t="str">
            <v>4 - Low</v>
          </cell>
        </row>
        <row r="213">
          <cell r="A213" t="str">
            <v>RF4716218</v>
          </cell>
          <cell r="B213" t="str">
            <v>Closed</v>
          </cell>
          <cell r="D213" t="str">
            <v>4 - Low</v>
          </cell>
        </row>
        <row r="214">
          <cell r="A214" t="str">
            <v>RF4716995</v>
          </cell>
          <cell r="B214" t="str">
            <v>Closed</v>
          </cell>
          <cell r="C214" t="str">
            <v>Complete - Alert 1</v>
          </cell>
          <cell r="D214" t="str">
            <v>4 - Low</v>
          </cell>
        </row>
        <row r="215">
          <cell r="A215" t="str">
            <v>RF4718866</v>
          </cell>
          <cell r="B215" t="str">
            <v>Closed</v>
          </cell>
          <cell r="D215" t="str">
            <v>4 - Low</v>
          </cell>
        </row>
        <row r="216">
          <cell r="A216" t="str">
            <v>RF4722825</v>
          </cell>
          <cell r="B216" t="str">
            <v>Closed</v>
          </cell>
          <cell r="D216" t="str">
            <v>4 - Low</v>
          </cell>
        </row>
        <row r="217">
          <cell r="A217" t="str">
            <v>RF4725067</v>
          </cell>
          <cell r="B217" t="str">
            <v>Closed</v>
          </cell>
          <cell r="C217" t="str">
            <v>Complete - MISSED</v>
          </cell>
          <cell r="D217" t="str">
            <v>4 - Low</v>
          </cell>
        </row>
        <row r="218">
          <cell r="A218" t="str">
            <v>RF4730840</v>
          </cell>
          <cell r="B218" t="str">
            <v>Closed</v>
          </cell>
          <cell r="D218" t="str">
            <v>4 - Low</v>
          </cell>
        </row>
        <row r="219">
          <cell r="A219" t="str">
            <v>RF4731952</v>
          </cell>
          <cell r="B219" t="str">
            <v>Closed</v>
          </cell>
          <cell r="D219" t="str">
            <v>4 - Low</v>
          </cell>
        </row>
        <row r="220">
          <cell r="A220" t="str">
            <v>RF4732098</v>
          </cell>
          <cell r="B220" t="str">
            <v>Closed</v>
          </cell>
          <cell r="D220" t="str">
            <v>4 - Low</v>
          </cell>
        </row>
        <row r="221">
          <cell r="A221" t="str">
            <v>RF4735873</v>
          </cell>
          <cell r="B221" t="str">
            <v>Closed</v>
          </cell>
          <cell r="D221" t="str">
            <v>4 - Low</v>
          </cell>
        </row>
        <row r="222">
          <cell r="A222" t="str">
            <v>RF4740613</v>
          </cell>
          <cell r="B222" t="str">
            <v>Closed</v>
          </cell>
          <cell r="D222" t="str">
            <v>4 - Low</v>
          </cell>
        </row>
        <row r="223">
          <cell r="A223" t="str">
            <v>RF4748116</v>
          </cell>
          <cell r="B223" t="str">
            <v>Closed</v>
          </cell>
          <cell r="D223" t="str">
            <v>4 - Low</v>
          </cell>
        </row>
        <row r="224">
          <cell r="A224" t="str">
            <v>RF4749974</v>
          </cell>
          <cell r="B224" t="str">
            <v>Closed</v>
          </cell>
          <cell r="D224" t="str">
            <v>4 - Low</v>
          </cell>
        </row>
        <row r="225">
          <cell r="A225" t="str">
            <v>RF4757936</v>
          </cell>
          <cell r="B225" t="str">
            <v>Closed</v>
          </cell>
          <cell r="D225" t="str">
            <v>4 - Low</v>
          </cell>
        </row>
        <row r="226">
          <cell r="A226" t="str">
            <v>RF4767125</v>
          </cell>
          <cell r="B226" t="str">
            <v>Closed</v>
          </cell>
          <cell r="C226" t="str">
            <v>Complete - Alert 2</v>
          </cell>
          <cell r="D226" t="str">
            <v>4 - Low</v>
          </cell>
        </row>
        <row r="227">
          <cell r="A227" t="str">
            <v>RF4767622</v>
          </cell>
          <cell r="B227" t="str">
            <v>Closed</v>
          </cell>
          <cell r="D227" t="str">
            <v>4 - Low</v>
          </cell>
        </row>
        <row r="228">
          <cell r="A228" t="str">
            <v>RF4767654</v>
          </cell>
          <cell r="B228" t="str">
            <v>Closed</v>
          </cell>
          <cell r="D228" t="str">
            <v>4 - Low</v>
          </cell>
        </row>
        <row r="229">
          <cell r="A229" t="str">
            <v>RF4768878</v>
          </cell>
          <cell r="B229" t="str">
            <v>Closed</v>
          </cell>
          <cell r="D229" t="str">
            <v>4 - Low</v>
          </cell>
        </row>
        <row r="230">
          <cell r="A230" t="str">
            <v>RF4773064</v>
          </cell>
          <cell r="B230" t="str">
            <v>Closed</v>
          </cell>
          <cell r="D230" t="str">
            <v>4 - Low</v>
          </cell>
        </row>
        <row r="231">
          <cell r="A231" t="str">
            <v>RF4774370</v>
          </cell>
          <cell r="B231" t="str">
            <v>Closed</v>
          </cell>
          <cell r="C231" t="str">
            <v>Complete - MISSED</v>
          </cell>
          <cell r="D231" t="str">
            <v>4 - Low</v>
          </cell>
        </row>
        <row r="232">
          <cell r="A232" t="str">
            <v>RF4777487</v>
          </cell>
          <cell r="B232" t="str">
            <v>Closed</v>
          </cell>
          <cell r="D232" t="str">
            <v>4 - Low</v>
          </cell>
        </row>
        <row r="233">
          <cell r="A233" t="str">
            <v>RF4777701</v>
          </cell>
          <cell r="B233" t="str">
            <v>Closed</v>
          </cell>
          <cell r="D233" t="str">
            <v>4 - Low</v>
          </cell>
        </row>
        <row r="234">
          <cell r="A234" t="str">
            <v>RF4779505</v>
          </cell>
          <cell r="B234" t="str">
            <v>Closed</v>
          </cell>
          <cell r="D234" t="str">
            <v>4 - Low</v>
          </cell>
        </row>
        <row r="235">
          <cell r="A235" t="str">
            <v>RF4780301</v>
          </cell>
          <cell r="B235" t="str">
            <v>Closed</v>
          </cell>
          <cell r="D235" t="str">
            <v>4 - Low</v>
          </cell>
        </row>
        <row r="236">
          <cell r="A236" t="str">
            <v>RF4781570</v>
          </cell>
          <cell r="B236" t="str">
            <v>Closed</v>
          </cell>
          <cell r="D236" t="str">
            <v>4 - Low</v>
          </cell>
        </row>
        <row r="237">
          <cell r="A237" t="str">
            <v>RF4782463</v>
          </cell>
          <cell r="B237" t="str">
            <v>Closed</v>
          </cell>
          <cell r="D237" t="str">
            <v>4 - Low</v>
          </cell>
        </row>
        <row r="238">
          <cell r="A238" t="str">
            <v>RF4785795</v>
          </cell>
          <cell r="B238" t="str">
            <v>Closed</v>
          </cell>
          <cell r="D238" t="str">
            <v>4 - Low</v>
          </cell>
        </row>
        <row r="239">
          <cell r="A239" t="str">
            <v>RF4785800</v>
          </cell>
          <cell r="B239" t="str">
            <v>Closed</v>
          </cell>
          <cell r="C239" t="str">
            <v>Complete - Alert 1</v>
          </cell>
          <cell r="D239" t="str">
            <v>4 - Low</v>
          </cell>
        </row>
        <row r="240">
          <cell r="A240" t="str">
            <v>RF4785805</v>
          </cell>
          <cell r="B240" t="str">
            <v>Closed</v>
          </cell>
          <cell r="C240" t="str">
            <v>Complete - Alert 1</v>
          </cell>
          <cell r="D240" t="str">
            <v>4 - Low</v>
          </cell>
        </row>
        <row r="241">
          <cell r="A241" t="str">
            <v>RF4786085</v>
          </cell>
          <cell r="B241" t="str">
            <v>Closed</v>
          </cell>
          <cell r="C241" t="str">
            <v>Complete - Alert 2</v>
          </cell>
          <cell r="D241" t="str">
            <v>4 - Low</v>
          </cell>
        </row>
        <row r="242">
          <cell r="A242" t="str">
            <v>RF4786087</v>
          </cell>
          <cell r="B242" t="str">
            <v>Closed</v>
          </cell>
          <cell r="D242" t="str">
            <v>4 - Low</v>
          </cell>
        </row>
        <row r="243">
          <cell r="A243" t="str">
            <v>RF4791304</v>
          </cell>
          <cell r="B243" t="str">
            <v>Closed</v>
          </cell>
          <cell r="D243" t="str">
            <v>4 - Low</v>
          </cell>
        </row>
        <row r="244">
          <cell r="A244" t="str">
            <v>RF4793051</v>
          </cell>
          <cell r="B244" t="str">
            <v>Closed</v>
          </cell>
          <cell r="C244" t="str">
            <v>Complete - Alert 1</v>
          </cell>
          <cell r="D244" t="str">
            <v>4 - Low</v>
          </cell>
        </row>
        <row r="245">
          <cell r="A245" t="str">
            <v>RF4794883</v>
          </cell>
          <cell r="B245" t="str">
            <v>Closed</v>
          </cell>
          <cell r="D245" t="str">
            <v>4 - Low</v>
          </cell>
        </row>
        <row r="246">
          <cell r="A246" t="str">
            <v>RF4798751</v>
          </cell>
          <cell r="B246" t="str">
            <v>Closed</v>
          </cell>
          <cell r="D246" t="str">
            <v>4 - Low</v>
          </cell>
        </row>
        <row r="247">
          <cell r="A247" t="str">
            <v>RF4802400</v>
          </cell>
          <cell r="B247" t="str">
            <v>Closed</v>
          </cell>
          <cell r="D247" t="str">
            <v>4 - Low</v>
          </cell>
        </row>
        <row r="248">
          <cell r="A248" t="str">
            <v>RF4804147</v>
          </cell>
          <cell r="B248" t="str">
            <v>Closed</v>
          </cell>
          <cell r="D248" t="str">
            <v>4 - Low</v>
          </cell>
        </row>
        <row r="249">
          <cell r="A249" t="str">
            <v>RF4804148</v>
          </cell>
          <cell r="B249" t="str">
            <v>Closed</v>
          </cell>
          <cell r="D249" t="str">
            <v>4 - Low</v>
          </cell>
        </row>
        <row r="250">
          <cell r="A250" t="str">
            <v>RF4806265</v>
          </cell>
          <cell r="B250" t="str">
            <v>Closed</v>
          </cell>
          <cell r="D250" t="str">
            <v>4 - Low</v>
          </cell>
        </row>
        <row r="251">
          <cell r="A251" t="str">
            <v>RF4810360</v>
          </cell>
          <cell r="B251" t="str">
            <v>Closed</v>
          </cell>
          <cell r="D251" t="str">
            <v>4 - Low</v>
          </cell>
        </row>
        <row r="252">
          <cell r="A252" t="str">
            <v>RF4812751</v>
          </cell>
          <cell r="B252" t="str">
            <v>Closed</v>
          </cell>
          <cell r="C252" t="str">
            <v>Complete - Alert 2</v>
          </cell>
          <cell r="D252" t="str">
            <v>4 - Low</v>
          </cell>
        </row>
        <row r="253">
          <cell r="A253" t="str">
            <v>RF4816814</v>
          </cell>
          <cell r="B253" t="str">
            <v>Closed</v>
          </cell>
          <cell r="D253" t="str">
            <v>4 - Low</v>
          </cell>
        </row>
        <row r="254">
          <cell r="A254" t="str">
            <v>RF4819550</v>
          </cell>
          <cell r="B254" t="str">
            <v>Closed</v>
          </cell>
          <cell r="C254" t="str">
            <v>Complete - Alert 2</v>
          </cell>
          <cell r="D254" t="str">
            <v>4 - Low</v>
          </cell>
        </row>
        <row r="255">
          <cell r="A255" t="str">
            <v>RF4821543</v>
          </cell>
          <cell r="B255" t="str">
            <v>Closed</v>
          </cell>
          <cell r="D255" t="str">
            <v>4 - Low</v>
          </cell>
        </row>
        <row r="256">
          <cell r="A256" t="str">
            <v>RF4823163</v>
          </cell>
          <cell r="B256" t="str">
            <v>Closed</v>
          </cell>
          <cell r="D256" t="str">
            <v>4 - Low</v>
          </cell>
        </row>
        <row r="257">
          <cell r="A257" t="str">
            <v>RF4827276</v>
          </cell>
          <cell r="B257" t="str">
            <v>Closed</v>
          </cell>
          <cell r="C257" t="str">
            <v>Complete - MISSED</v>
          </cell>
          <cell r="D257" t="str">
            <v>4 - Low</v>
          </cell>
        </row>
        <row r="258">
          <cell r="A258" t="str">
            <v>RF4829074</v>
          </cell>
          <cell r="B258" t="str">
            <v>Closed</v>
          </cell>
          <cell r="D258" t="str">
            <v>4 - Low</v>
          </cell>
        </row>
        <row r="259">
          <cell r="A259" t="str">
            <v>RF4832571</v>
          </cell>
          <cell r="B259" t="str">
            <v>Closed</v>
          </cell>
          <cell r="D259" t="str">
            <v>4 - Low</v>
          </cell>
        </row>
        <row r="260">
          <cell r="A260" t="str">
            <v>RF4834670</v>
          </cell>
          <cell r="B260" t="str">
            <v>Closed</v>
          </cell>
          <cell r="C260" t="str">
            <v>Complete - Alert 1</v>
          </cell>
          <cell r="D260" t="str">
            <v>4 - Low</v>
          </cell>
        </row>
        <row r="261">
          <cell r="A261" t="str">
            <v>RF4835411</v>
          </cell>
          <cell r="B261" t="str">
            <v>Closed</v>
          </cell>
          <cell r="D261" t="str">
            <v>4 - Low</v>
          </cell>
        </row>
        <row r="262">
          <cell r="A262" t="str">
            <v>RF4835427</v>
          </cell>
          <cell r="B262" t="str">
            <v>Closed</v>
          </cell>
          <cell r="D262" t="str">
            <v>4 - Low</v>
          </cell>
        </row>
        <row r="263">
          <cell r="A263" t="str">
            <v>RF4847906</v>
          </cell>
          <cell r="B263" t="str">
            <v>Closed</v>
          </cell>
          <cell r="D263" t="str">
            <v>4 - Low</v>
          </cell>
        </row>
        <row r="264">
          <cell r="A264" t="str">
            <v>RF4847908</v>
          </cell>
          <cell r="B264" t="str">
            <v>Closed</v>
          </cell>
          <cell r="D264" t="str">
            <v>4 - Low</v>
          </cell>
        </row>
        <row r="265">
          <cell r="A265" t="str">
            <v>RF4848452</v>
          </cell>
          <cell r="B265" t="str">
            <v>Closed</v>
          </cell>
          <cell r="D265" t="str">
            <v>4 - Low</v>
          </cell>
        </row>
        <row r="266">
          <cell r="A266" t="str">
            <v>RF4855964</v>
          </cell>
          <cell r="B266" t="str">
            <v>Closed</v>
          </cell>
          <cell r="D266" t="str">
            <v>4 - Low</v>
          </cell>
        </row>
        <row r="267">
          <cell r="A267" t="str">
            <v>RF4856454</v>
          </cell>
          <cell r="B267" t="str">
            <v>Closed</v>
          </cell>
          <cell r="D267" t="str">
            <v>4 - Low</v>
          </cell>
        </row>
        <row r="268">
          <cell r="A268" t="str">
            <v>RF4857485</v>
          </cell>
          <cell r="B268" t="str">
            <v>Closed</v>
          </cell>
          <cell r="D268" t="str">
            <v>4 - Low</v>
          </cell>
        </row>
        <row r="269">
          <cell r="A269" t="str">
            <v>RF4857498</v>
          </cell>
          <cell r="B269" t="str">
            <v>Closed</v>
          </cell>
          <cell r="D269" t="str">
            <v>4 - Low</v>
          </cell>
        </row>
        <row r="270">
          <cell r="A270" t="str">
            <v>RF4859797</v>
          </cell>
          <cell r="B270" t="str">
            <v>Closed</v>
          </cell>
          <cell r="D270" t="str">
            <v>4 - Low</v>
          </cell>
        </row>
        <row r="271">
          <cell r="A271" t="str">
            <v>RF4863464</v>
          </cell>
          <cell r="B271" t="str">
            <v>Closed</v>
          </cell>
          <cell r="D271" t="str">
            <v>4 - Low</v>
          </cell>
        </row>
        <row r="272">
          <cell r="A272" t="str">
            <v>RF4866099</v>
          </cell>
          <cell r="B272" t="str">
            <v>Closed</v>
          </cell>
          <cell r="D272" t="str">
            <v>4 - Low</v>
          </cell>
        </row>
        <row r="273">
          <cell r="A273" t="str">
            <v>RF4867867</v>
          </cell>
          <cell r="B273" t="str">
            <v>Closed</v>
          </cell>
          <cell r="D273" t="str">
            <v>4 - Low</v>
          </cell>
        </row>
        <row r="274">
          <cell r="A274" t="str">
            <v>RF4880428</v>
          </cell>
          <cell r="B274" t="str">
            <v>Closed</v>
          </cell>
          <cell r="D274" t="str">
            <v>4 - Low</v>
          </cell>
        </row>
        <row r="275">
          <cell r="A275" t="str">
            <v>RF4888919</v>
          </cell>
          <cell r="B275" t="str">
            <v>Closed</v>
          </cell>
          <cell r="C275" t="str">
            <v>Complete - Alert 1</v>
          </cell>
          <cell r="D275" t="str">
            <v>4 - Low</v>
          </cell>
        </row>
        <row r="276">
          <cell r="A276" t="str">
            <v>RF4888931</v>
          </cell>
          <cell r="B276" t="str">
            <v>Closed</v>
          </cell>
          <cell r="D276" t="str">
            <v>4 - Low</v>
          </cell>
        </row>
        <row r="277">
          <cell r="A277" t="str">
            <v>RF4889292</v>
          </cell>
          <cell r="B277" t="str">
            <v>Closed</v>
          </cell>
          <cell r="D277" t="str">
            <v>4 - Low</v>
          </cell>
        </row>
        <row r="278">
          <cell r="A278" t="str">
            <v>RF4889822</v>
          </cell>
          <cell r="B278" t="str">
            <v>Closed</v>
          </cell>
          <cell r="D278" t="str">
            <v>4 - Low</v>
          </cell>
        </row>
        <row r="279">
          <cell r="A279" t="str">
            <v>RF4891095</v>
          </cell>
          <cell r="B279" t="str">
            <v>Closed</v>
          </cell>
          <cell r="D279" t="str">
            <v>4 - Low</v>
          </cell>
        </row>
        <row r="280">
          <cell r="A280" t="str">
            <v>RF4897923</v>
          </cell>
          <cell r="B280" t="str">
            <v>Closed</v>
          </cell>
          <cell r="D280" t="str">
            <v>4 - Low</v>
          </cell>
        </row>
        <row r="281">
          <cell r="A281" t="str">
            <v>RF4907374</v>
          </cell>
          <cell r="B281" t="str">
            <v>Closed</v>
          </cell>
          <cell r="D281" t="str">
            <v>4 - Low</v>
          </cell>
        </row>
        <row r="282">
          <cell r="A282" t="str">
            <v>RF4910865</v>
          </cell>
          <cell r="B282" t="str">
            <v>Closed</v>
          </cell>
          <cell r="C282" t="str">
            <v>Complete - Alert 1</v>
          </cell>
          <cell r="D282" t="str">
            <v>4 - Low</v>
          </cell>
        </row>
        <row r="283">
          <cell r="A283" t="str">
            <v>RF4911366</v>
          </cell>
          <cell r="B283" t="str">
            <v>Closed</v>
          </cell>
          <cell r="D283" t="str">
            <v>4 - Low</v>
          </cell>
        </row>
        <row r="284">
          <cell r="A284" t="str">
            <v>RF4911371</v>
          </cell>
          <cell r="B284" t="str">
            <v>Closed</v>
          </cell>
          <cell r="D284" t="str">
            <v>4 - Low</v>
          </cell>
        </row>
        <row r="285">
          <cell r="A285" t="str">
            <v>RF4917213</v>
          </cell>
          <cell r="B285" t="str">
            <v>Closed</v>
          </cell>
          <cell r="D285" t="str">
            <v>4 - Low</v>
          </cell>
        </row>
        <row r="286">
          <cell r="A286" t="str">
            <v>RF4918909</v>
          </cell>
          <cell r="B286" t="str">
            <v>Closed</v>
          </cell>
          <cell r="D286" t="str">
            <v>4 - Low</v>
          </cell>
        </row>
        <row r="287">
          <cell r="A287" t="str">
            <v>RF4923654</v>
          </cell>
          <cell r="B287" t="str">
            <v>Closed</v>
          </cell>
          <cell r="D287" t="str">
            <v>4 - Low</v>
          </cell>
        </row>
        <row r="288">
          <cell r="A288" t="str">
            <v>RF4929566</v>
          </cell>
          <cell r="B288" t="str">
            <v>Closed</v>
          </cell>
          <cell r="D288" t="str">
            <v>4 - Low</v>
          </cell>
        </row>
        <row r="289">
          <cell r="A289" t="str">
            <v>RF4929571</v>
          </cell>
          <cell r="B289" t="str">
            <v>Closed</v>
          </cell>
          <cell r="C289" t="str">
            <v>Complete - Alert 2</v>
          </cell>
          <cell r="D289" t="str">
            <v>4 - Low</v>
          </cell>
        </row>
        <row r="290">
          <cell r="A290" t="str">
            <v>RF4935816</v>
          </cell>
          <cell r="B290" t="str">
            <v>Closed</v>
          </cell>
          <cell r="D290" t="str">
            <v>4 - Low</v>
          </cell>
        </row>
        <row r="291">
          <cell r="A291" t="str">
            <v>RF4935817</v>
          </cell>
          <cell r="B291" t="str">
            <v>Closed</v>
          </cell>
          <cell r="D291" t="str">
            <v>4 - Low</v>
          </cell>
        </row>
        <row r="292">
          <cell r="A292" t="str">
            <v>RF4949287</v>
          </cell>
          <cell r="B292" t="str">
            <v>Closed</v>
          </cell>
          <cell r="D292" t="str">
            <v>3 - Medium</v>
          </cell>
        </row>
        <row r="293">
          <cell r="A293" t="str">
            <v>RF4950293</v>
          </cell>
          <cell r="B293" t="str">
            <v>Closed</v>
          </cell>
          <cell r="D293" t="str">
            <v>4 - Low</v>
          </cell>
        </row>
        <row r="294">
          <cell r="A294" t="str">
            <v>RF4954701</v>
          </cell>
          <cell r="B294" t="str">
            <v>Closed</v>
          </cell>
          <cell r="D294" t="str">
            <v>4 - Low</v>
          </cell>
        </row>
        <row r="295">
          <cell r="A295" t="str">
            <v>RF4959051</v>
          </cell>
          <cell r="B295" t="str">
            <v>Closed</v>
          </cell>
          <cell r="D295" t="str">
            <v>4 - Low</v>
          </cell>
        </row>
        <row r="296">
          <cell r="A296" t="str">
            <v>RF4959052</v>
          </cell>
          <cell r="B296" t="str">
            <v>Closed</v>
          </cell>
          <cell r="C296" t="str">
            <v>Complete - Alert 1</v>
          </cell>
          <cell r="D296" t="str">
            <v>4 - Low</v>
          </cell>
        </row>
        <row r="297">
          <cell r="A297" t="str">
            <v>RF4959920</v>
          </cell>
          <cell r="B297" t="str">
            <v>Closed</v>
          </cell>
          <cell r="D297" t="str">
            <v>4 - Low</v>
          </cell>
        </row>
        <row r="298">
          <cell r="A298" t="str">
            <v>RF4961784</v>
          </cell>
          <cell r="B298" t="str">
            <v>Closed</v>
          </cell>
          <cell r="D298" t="str">
            <v>4 - Low</v>
          </cell>
        </row>
        <row r="299">
          <cell r="A299" t="str">
            <v>RF4961785</v>
          </cell>
          <cell r="B299" t="str">
            <v>Closed</v>
          </cell>
          <cell r="D299" t="str">
            <v>4 - Low</v>
          </cell>
        </row>
        <row r="300">
          <cell r="A300" t="str">
            <v>RF4961786</v>
          </cell>
          <cell r="B300" t="str">
            <v>Closed</v>
          </cell>
          <cell r="D300" t="str">
            <v>4 - Low</v>
          </cell>
        </row>
        <row r="301">
          <cell r="A301" t="str">
            <v>RF4961787</v>
          </cell>
          <cell r="B301" t="str">
            <v>Closed</v>
          </cell>
          <cell r="D301" t="str">
            <v>4 - Low</v>
          </cell>
        </row>
        <row r="302">
          <cell r="A302" t="str">
            <v>RF4962458</v>
          </cell>
          <cell r="B302" t="str">
            <v>Closed</v>
          </cell>
          <cell r="D302" t="str">
            <v>4 - Low</v>
          </cell>
        </row>
        <row r="303">
          <cell r="A303" t="str">
            <v>RF4963051</v>
          </cell>
          <cell r="B303" t="str">
            <v>Closed</v>
          </cell>
          <cell r="D303" t="str">
            <v>4 - Low</v>
          </cell>
        </row>
        <row r="304">
          <cell r="A304" t="str">
            <v>RF4963084</v>
          </cell>
          <cell r="B304" t="str">
            <v>Closed</v>
          </cell>
          <cell r="D304" t="str">
            <v>4 - Low</v>
          </cell>
        </row>
        <row r="305">
          <cell r="A305" t="str">
            <v>RF4966690</v>
          </cell>
          <cell r="B305" t="str">
            <v>Closed</v>
          </cell>
          <cell r="D305" t="str">
            <v>4 - Low</v>
          </cell>
        </row>
        <row r="306">
          <cell r="A306" t="str">
            <v>RF4967038</v>
          </cell>
          <cell r="B306" t="str">
            <v>Closed</v>
          </cell>
          <cell r="D306" t="str">
            <v>4 - Low</v>
          </cell>
        </row>
        <row r="307">
          <cell r="A307" t="str">
            <v>RF4967632</v>
          </cell>
          <cell r="B307" t="str">
            <v>Closed</v>
          </cell>
          <cell r="D307" t="str">
            <v>4 - Low</v>
          </cell>
        </row>
        <row r="308">
          <cell r="A308" t="str">
            <v>RF4972924</v>
          </cell>
          <cell r="B308" t="str">
            <v>Closed</v>
          </cell>
          <cell r="D308" t="str">
            <v>4 - Low</v>
          </cell>
        </row>
        <row r="309">
          <cell r="A309" t="str">
            <v>RF4980670</v>
          </cell>
          <cell r="B309" t="str">
            <v>Closed</v>
          </cell>
          <cell r="D309" t="str">
            <v>4 - Low</v>
          </cell>
        </row>
        <row r="310">
          <cell r="A310" t="str">
            <v>RF4982682</v>
          </cell>
          <cell r="B310" t="str">
            <v>Closed</v>
          </cell>
          <cell r="D310" t="str">
            <v>4 - Low</v>
          </cell>
        </row>
        <row r="311">
          <cell r="A311" t="str">
            <v>RF4982687</v>
          </cell>
          <cell r="B311" t="str">
            <v>Closed</v>
          </cell>
          <cell r="D311" t="str">
            <v>4 - Low</v>
          </cell>
        </row>
        <row r="312">
          <cell r="A312" t="str">
            <v>RF4982745</v>
          </cell>
          <cell r="B312" t="str">
            <v>Closed</v>
          </cell>
          <cell r="D312" t="str">
            <v>4 - Low</v>
          </cell>
        </row>
        <row r="313">
          <cell r="A313" t="str">
            <v>RF4986006</v>
          </cell>
          <cell r="B313" t="str">
            <v>Closed</v>
          </cell>
          <cell r="D313" t="str">
            <v>4 - Low</v>
          </cell>
        </row>
        <row r="314">
          <cell r="A314" t="str">
            <v>RF4991259</v>
          </cell>
          <cell r="B314" t="str">
            <v>Closed</v>
          </cell>
          <cell r="D314" t="str">
            <v>4 - Low</v>
          </cell>
        </row>
        <row r="315">
          <cell r="A315" t="str">
            <v>RF4991840</v>
          </cell>
          <cell r="B315" t="str">
            <v>Closed</v>
          </cell>
          <cell r="D315" t="str">
            <v>4 - Low</v>
          </cell>
        </row>
        <row r="316">
          <cell r="A316" t="str">
            <v>RF4998906</v>
          </cell>
          <cell r="B316" t="str">
            <v>Closed</v>
          </cell>
          <cell r="D316" t="str">
            <v>4 - Low</v>
          </cell>
        </row>
        <row r="317">
          <cell r="A317" t="str">
            <v>RF5001182</v>
          </cell>
          <cell r="B317" t="str">
            <v>Closed</v>
          </cell>
          <cell r="D317" t="str">
            <v>4 - Low</v>
          </cell>
        </row>
        <row r="318">
          <cell r="A318" t="str">
            <v>RF5001235</v>
          </cell>
          <cell r="B318" t="str">
            <v>Closed</v>
          </cell>
          <cell r="D318" t="str">
            <v>4 - Low</v>
          </cell>
        </row>
        <row r="319">
          <cell r="A319" t="str">
            <v>RF5002221</v>
          </cell>
          <cell r="B319" t="str">
            <v>Closed</v>
          </cell>
          <cell r="D319" t="str">
            <v>4 - Low</v>
          </cell>
        </row>
        <row r="320">
          <cell r="A320" t="str">
            <v>RF5006800</v>
          </cell>
          <cell r="B320" t="str">
            <v>Closed</v>
          </cell>
          <cell r="D320" t="str">
            <v>4 - Low</v>
          </cell>
        </row>
        <row r="321">
          <cell r="A321" t="str">
            <v>RF5006931</v>
          </cell>
          <cell r="B321" t="str">
            <v>Closed</v>
          </cell>
          <cell r="D321" t="str">
            <v>4 - Low</v>
          </cell>
        </row>
        <row r="322">
          <cell r="A322" t="str">
            <v>RF5006961</v>
          </cell>
          <cell r="B322" t="str">
            <v>Closed</v>
          </cell>
          <cell r="D322" t="str">
            <v>4 - Low</v>
          </cell>
        </row>
        <row r="323">
          <cell r="A323" t="str">
            <v>RF5014410</v>
          </cell>
          <cell r="B323" t="str">
            <v>Closed</v>
          </cell>
          <cell r="D323" t="str">
            <v>4 - Low</v>
          </cell>
        </row>
        <row r="324">
          <cell r="A324" t="str">
            <v>RF5018723</v>
          </cell>
          <cell r="B324" t="str">
            <v>Closed</v>
          </cell>
          <cell r="D324" t="str">
            <v>4 - Low</v>
          </cell>
        </row>
        <row r="325">
          <cell r="A325" t="str">
            <v>RF5021940</v>
          </cell>
          <cell r="B325" t="str">
            <v>Closed</v>
          </cell>
          <cell r="D325" t="str">
            <v>4 - Low</v>
          </cell>
        </row>
        <row r="326">
          <cell r="A326" t="str">
            <v>RF5026098</v>
          </cell>
          <cell r="B326" t="str">
            <v>Closed</v>
          </cell>
          <cell r="C326" t="str">
            <v>Complete - Alert 2</v>
          </cell>
          <cell r="D326" t="str">
            <v>4 - Low</v>
          </cell>
        </row>
        <row r="327">
          <cell r="A327" t="str">
            <v>RF5026319</v>
          </cell>
          <cell r="B327" t="str">
            <v>Closed</v>
          </cell>
          <cell r="D327" t="str">
            <v>4 - Low</v>
          </cell>
        </row>
        <row r="328">
          <cell r="A328" t="str">
            <v>RF5031902</v>
          </cell>
          <cell r="B328" t="str">
            <v>Closed</v>
          </cell>
          <cell r="C328" t="str">
            <v>Complete - Alert 1</v>
          </cell>
          <cell r="D328" t="str">
            <v>4 - Low</v>
          </cell>
        </row>
        <row r="329">
          <cell r="A329" t="str">
            <v>RF5036095</v>
          </cell>
          <cell r="B329" t="str">
            <v>Closed</v>
          </cell>
          <cell r="D329" t="str">
            <v>4 - Low</v>
          </cell>
        </row>
        <row r="330">
          <cell r="A330" t="str">
            <v>RF5037636</v>
          </cell>
          <cell r="B330" t="str">
            <v>Closed</v>
          </cell>
          <cell r="C330" t="str">
            <v>Complete - Alert 2</v>
          </cell>
          <cell r="D330" t="str">
            <v>4 - Low</v>
          </cell>
        </row>
        <row r="331">
          <cell r="A331" t="str">
            <v>RF5037808</v>
          </cell>
          <cell r="B331" t="str">
            <v>Closed</v>
          </cell>
          <cell r="D331" t="str">
            <v>4 - Low</v>
          </cell>
        </row>
        <row r="332">
          <cell r="A332" t="str">
            <v>RF5045288</v>
          </cell>
          <cell r="B332" t="str">
            <v>Closed</v>
          </cell>
          <cell r="D332" t="str">
            <v>4 - Low</v>
          </cell>
        </row>
        <row r="333">
          <cell r="A333" t="str">
            <v>RF5048460</v>
          </cell>
          <cell r="B333" t="str">
            <v>Closed</v>
          </cell>
          <cell r="D333" t="str">
            <v>3 - Medium</v>
          </cell>
        </row>
        <row r="334">
          <cell r="A334" t="str">
            <v>RF5057823</v>
          </cell>
          <cell r="B334" t="str">
            <v>Closed</v>
          </cell>
          <cell r="D334" t="str">
            <v>4 - Low</v>
          </cell>
        </row>
        <row r="335">
          <cell r="A335" t="str">
            <v>RF5059312</v>
          </cell>
          <cell r="B335" t="str">
            <v>Closed</v>
          </cell>
          <cell r="C335" t="str">
            <v>Complete - Alert 1</v>
          </cell>
          <cell r="D335" t="str">
            <v>4 - Low</v>
          </cell>
        </row>
        <row r="336">
          <cell r="A336" t="str">
            <v>RF5061223</v>
          </cell>
          <cell r="B336" t="str">
            <v>Closed</v>
          </cell>
          <cell r="C336" t="str">
            <v>Complete - Alert 1</v>
          </cell>
          <cell r="D336" t="str">
            <v>4 - Low</v>
          </cell>
        </row>
        <row r="337">
          <cell r="A337" t="str">
            <v>RF5062191</v>
          </cell>
          <cell r="B337" t="str">
            <v>Closed</v>
          </cell>
          <cell r="C337" t="str">
            <v>Complete - Alert 1</v>
          </cell>
          <cell r="D337" t="str">
            <v>3 - Medium</v>
          </cell>
        </row>
        <row r="338">
          <cell r="A338" t="str">
            <v>RF5074591</v>
          </cell>
          <cell r="B338" t="str">
            <v>Closed</v>
          </cell>
          <cell r="C338" t="str">
            <v>Complete - MISSED</v>
          </cell>
          <cell r="D338" t="str">
            <v>4 - Low</v>
          </cell>
        </row>
        <row r="339">
          <cell r="A339" t="str">
            <v>RF5076663</v>
          </cell>
          <cell r="B339" t="str">
            <v>Closed</v>
          </cell>
          <cell r="D339" t="str">
            <v>4 - Low</v>
          </cell>
        </row>
        <row r="340">
          <cell r="A340" t="str">
            <v>RF5078146</v>
          </cell>
          <cell r="B340" t="str">
            <v>Closed</v>
          </cell>
          <cell r="D340" t="str">
            <v>4 - Low</v>
          </cell>
        </row>
        <row r="341">
          <cell r="A341" t="str">
            <v>RF5078169</v>
          </cell>
          <cell r="B341" t="str">
            <v>Closed</v>
          </cell>
          <cell r="D341" t="str">
            <v>4 - Low</v>
          </cell>
        </row>
        <row r="342">
          <cell r="A342" t="str">
            <v>RF5078818</v>
          </cell>
          <cell r="B342" t="str">
            <v>Closed</v>
          </cell>
          <cell r="D342" t="str">
            <v>4 - Low</v>
          </cell>
        </row>
        <row r="343">
          <cell r="A343" t="str">
            <v>RF5079290</v>
          </cell>
          <cell r="B343" t="str">
            <v>Closed</v>
          </cell>
          <cell r="D343" t="str">
            <v>4 - Low</v>
          </cell>
        </row>
        <row r="344">
          <cell r="A344" t="str">
            <v>RF5079746</v>
          </cell>
          <cell r="B344" t="str">
            <v>Closed</v>
          </cell>
          <cell r="D344" t="str">
            <v>4 - Low</v>
          </cell>
        </row>
        <row r="345">
          <cell r="A345" t="str">
            <v>RF5080410</v>
          </cell>
          <cell r="B345" t="str">
            <v>Closed</v>
          </cell>
          <cell r="D345" t="str">
            <v>4 - Low</v>
          </cell>
        </row>
        <row r="346">
          <cell r="A346" t="str">
            <v>RF5081579</v>
          </cell>
          <cell r="B346" t="str">
            <v>Closed</v>
          </cell>
          <cell r="D346" t="str">
            <v>4 - Low</v>
          </cell>
        </row>
        <row r="347">
          <cell r="A347" t="str">
            <v>RF5082519</v>
          </cell>
          <cell r="B347" t="str">
            <v>Closed</v>
          </cell>
          <cell r="D347" t="str">
            <v>2 - High</v>
          </cell>
        </row>
        <row r="348">
          <cell r="A348" t="str">
            <v>RF5082528</v>
          </cell>
          <cell r="B348" t="str">
            <v>Closed</v>
          </cell>
          <cell r="D348" t="str">
            <v>2 - High</v>
          </cell>
        </row>
        <row r="349">
          <cell r="A349" t="str">
            <v>RF5095379</v>
          </cell>
          <cell r="B349" t="str">
            <v>Closed</v>
          </cell>
          <cell r="D349" t="str">
            <v>4 - Low</v>
          </cell>
        </row>
        <row r="350">
          <cell r="A350" t="str">
            <v>RF5097226</v>
          </cell>
          <cell r="B350" t="str">
            <v>Closed</v>
          </cell>
          <cell r="D350" t="str">
            <v>4 - Low</v>
          </cell>
        </row>
        <row r="351">
          <cell r="A351" t="str">
            <v>RF5097378</v>
          </cell>
          <cell r="B351" t="str">
            <v>Closed</v>
          </cell>
          <cell r="D351" t="str">
            <v>4 - Low</v>
          </cell>
        </row>
        <row r="352">
          <cell r="A352" t="str">
            <v>RF5102389</v>
          </cell>
          <cell r="B352" t="str">
            <v>Closed</v>
          </cell>
          <cell r="D352" t="str">
            <v>4 - Low</v>
          </cell>
        </row>
        <row r="353">
          <cell r="A353" t="str">
            <v>RF5104995</v>
          </cell>
          <cell r="B353" t="str">
            <v>Closed</v>
          </cell>
          <cell r="C353" t="str">
            <v>Complete - MISSED</v>
          </cell>
          <cell r="D353" t="str">
            <v>3 - Medium</v>
          </cell>
        </row>
        <row r="354">
          <cell r="A354" t="str">
            <v>RF5111071</v>
          </cell>
          <cell r="B354" t="str">
            <v>Closed</v>
          </cell>
          <cell r="D354" t="str">
            <v>4 - Low</v>
          </cell>
        </row>
        <row r="355">
          <cell r="A355" t="str">
            <v>RF5112393</v>
          </cell>
          <cell r="B355" t="str">
            <v>Closed</v>
          </cell>
          <cell r="C355" t="str">
            <v>Complete - Alert 1</v>
          </cell>
          <cell r="D355" t="str">
            <v>3 - Medium</v>
          </cell>
        </row>
        <row r="356">
          <cell r="A356" t="str">
            <v>RF5112494</v>
          </cell>
          <cell r="B356" t="str">
            <v>Closed</v>
          </cell>
          <cell r="D356" t="str">
            <v>4 - Low</v>
          </cell>
        </row>
        <row r="357">
          <cell r="A357" t="str">
            <v>RF5114035</v>
          </cell>
          <cell r="B357" t="str">
            <v>Closed</v>
          </cell>
          <cell r="C357" t="str">
            <v>Complete - Alert 1</v>
          </cell>
          <cell r="D357" t="str">
            <v>4 - Low</v>
          </cell>
        </row>
        <row r="358">
          <cell r="A358" t="str">
            <v>RF5114692</v>
          </cell>
          <cell r="B358" t="str">
            <v>Closed</v>
          </cell>
          <cell r="D358" t="str">
            <v>4 - Low</v>
          </cell>
        </row>
        <row r="359">
          <cell r="A359" t="str">
            <v>RF5116312</v>
          </cell>
          <cell r="B359" t="str">
            <v>Closed</v>
          </cell>
          <cell r="D359" t="str">
            <v>4 - Low</v>
          </cell>
        </row>
        <row r="360">
          <cell r="A360" t="str">
            <v>RF5124006</v>
          </cell>
          <cell r="B360" t="str">
            <v>Closed</v>
          </cell>
          <cell r="D360" t="str">
            <v>3 - Medium</v>
          </cell>
        </row>
        <row r="361">
          <cell r="A361" t="str">
            <v>RF5132117</v>
          </cell>
          <cell r="B361" t="str">
            <v>Closed</v>
          </cell>
          <cell r="D361" t="str">
            <v>4 - Low</v>
          </cell>
        </row>
        <row r="362">
          <cell r="A362" t="str">
            <v>RF5133885</v>
          </cell>
          <cell r="B362" t="str">
            <v>Closed</v>
          </cell>
          <cell r="D362" t="str">
            <v>4 - Low</v>
          </cell>
        </row>
        <row r="363">
          <cell r="A363" t="str">
            <v>RF5134821</v>
          </cell>
          <cell r="B363" t="str">
            <v>Closed</v>
          </cell>
          <cell r="D363" t="str">
            <v>4 - Low</v>
          </cell>
        </row>
        <row r="364">
          <cell r="A364" t="str">
            <v>RF5136257</v>
          </cell>
          <cell r="B364" t="str">
            <v>Closed</v>
          </cell>
          <cell r="D364" t="str">
            <v>4 - Low</v>
          </cell>
        </row>
        <row r="365">
          <cell r="A365" t="str">
            <v>RF5139954</v>
          </cell>
          <cell r="B365" t="str">
            <v>Closed</v>
          </cell>
          <cell r="C365" t="str">
            <v>Complete - MISSED</v>
          </cell>
          <cell r="D365" t="str">
            <v>4 - Low</v>
          </cell>
        </row>
        <row r="366">
          <cell r="A366" t="str">
            <v>RF5139955</v>
          </cell>
          <cell r="B366" t="str">
            <v>Closed</v>
          </cell>
          <cell r="C366" t="str">
            <v>Complete - MISSED</v>
          </cell>
          <cell r="D366" t="str">
            <v>4 - Low</v>
          </cell>
        </row>
        <row r="367">
          <cell r="A367" t="str">
            <v>RF5139956</v>
          </cell>
          <cell r="B367" t="str">
            <v>Closed</v>
          </cell>
          <cell r="C367" t="str">
            <v>Complete - MISSED</v>
          </cell>
          <cell r="D367" t="str">
            <v>4 - Low</v>
          </cell>
        </row>
        <row r="368">
          <cell r="A368" t="str">
            <v>RF5142600</v>
          </cell>
          <cell r="B368" t="str">
            <v>Closed</v>
          </cell>
          <cell r="D368" t="str">
            <v>4 - Low</v>
          </cell>
        </row>
        <row r="369">
          <cell r="A369" t="str">
            <v>RF5142601</v>
          </cell>
          <cell r="B369" t="str">
            <v>Closed</v>
          </cell>
          <cell r="D369" t="str">
            <v>4 - Low</v>
          </cell>
        </row>
        <row r="370">
          <cell r="A370" t="str">
            <v>RF5142602</v>
          </cell>
          <cell r="B370" t="str">
            <v>Closed</v>
          </cell>
          <cell r="D370" t="str">
            <v>4 - Low</v>
          </cell>
        </row>
        <row r="371">
          <cell r="A371" t="str">
            <v>RF5142603</v>
          </cell>
          <cell r="B371" t="str">
            <v>Closed</v>
          </cell>
          <cell r="D371" t="str">
            <v>4 - Low</v>
          </cell>
        </row>
        <row r="372">
          <cell r="A372" t="str">
            <v>RF5142745</v>
          </cell>
          <cell r="B372" t="str">
            <v>Closed</v>
          </cell>
          <cell r="D372" t="str">
            <v>4 - Low</v>
          </cell>
        </row>
        <row r="373">
          <cell r="A373" t="str">
            <v>RF5149880</v>
          </cell>
          <cell r="B373" t="str">
            <v>Closed</v>
          </cell>
          <cell r="D373" t="str">
            <v>4 - Low</v>
          </cell>
        </row>
        <row r="374">
          <cell r="A374" t="str">
            <v>RF5155564</v>
          </cell>
          <cell r="B374" t="str">
            <v>Closed</v>
          </cell>
          <cell r="D374" t="str">
            <v>4 - Low</v>
          </cell>
        </row>
        <row r="375">
          <cell r="A375" t="str">
            <v>RF5157217</v>
          </cell>
          <cell r="B375" t="str">
            <v>Closed</v>
          </cell>
          <cell r="D375" t="str">
            <v>4 - Low</v>
          </cell>
        </row>
        <row r="376">
          <cell r="A376" t="str">
            <v>RF5157218</v>
          </cell>
          <cell r="B376" t="str">
            <v>Closed</v>
          </cell>
          <cell r="D376" t="str">
            <v>4 - Low</v>
          </cell>
        </row>
        <row r="377">
          <cell r="A377" t="str">
            <v>RF5157425</v>
          </cell>
          <cell r="B377" t="str">
            <v>Closed</v>
          </cell>
          <cell r="D377" t="str">
            <v>4 - Low</v>
          </cell>
        </row>
        <row r="378">
          <cell r="A378" t="str">
            <v>RF5158208</v>
          </cell>
          <cell r="B378" t="str">
            <v>Closed</v>
          </cell>
          <cell r="D378" t="str">
            <v>4 - Low</v>
          </cell>
        </row>
        <row r="379">
          <cell r="A379" t="str">
            <v>RF5159033</v>
          </cell>
          <cell r="B379" t="str">
            <v>Closed</v>
          </cell>
          <cell r="C379" t="str">
            <v>Complete - Alert 1</v>
          </cell>
          <cell r="D379" t="str">
            <v>4 - Low</v>
          </cell>
        </row>
        <row r="380">
          <cell r="A380" t="str">
            <v>RF5161404</v>
          </cell>
          <cell r="B380" t="str">
            <v>Closed</v>
          </cell>
          <cell r="D380" t="str">
            <v>4 - Low</v>
          </cell>
        </row>
        <row r="381">
          <cell r="A381" t="str">
            <v>RF5163703</v>
          </cell>
          <cell r="B381" t="str">
            <v>Closed</v>
          </cell>
          <cell r="D381" t="str">
            <v>4 - Low</v>
          </cell>
        </row>
        <row r="382">
          <cell r="A382" t="str">
            <v>RF5163858</v>
          </cell>
          <cell r="B382" t="str">
            <v>Closed</v>
          </cell>
          <cell r="D382" t="str">
            <v>4 - Low</v>
          </cell>
        </row>
        <row r="383">
          <cell r="A383" t="str">
            <v>RF5165081</v>
          </cell>
          <cell r="B383" t="str">
            <v>Closed</v>
          </cell>
          <cell r="C383" t="str">
            <v>Complete - Alert 1</v>
          </cell>
          <cell r="D383" t="str">
            <v>4 - Low</v>
          </cell>
        </row>
        <row r="384">
          <cell r="A384" t="str">
            <v>RF5165966</v>
          </cell>
          <cell r="B384" t="str">
            <v>Closed</v>
          </cell>
          <cell r="D384" t="str">
            <v>4 - Low</v>
          </cell>
        </row>
        <row r="385">
          <cell r="A385" t="str">
            <v>RF5168634</v>
          </cell>
          <cell r="B385" t="str">
            <v>Closed</v>
          </cell>
          <cell r="D385" t="str">
            <v>4 - Low</v>
          </cell>
        </row>
        <row r="386">
          <cell r="A386" t="str">
            <v>RF5169008</v>
          </cell>
          <cell r="B386" t="str">
            <v>Closed</v>
          </cell>
          <cell r="D386" t="str">
            <v>4 - Low</v>
          </cell>
        </row>
        <row r="387">
          <cell r="A387" t="str">
            <v>RF5170766</v>
          </cell>
          <cell r="B387" t="str">
            <v>Closed</v>
          </cell>
          <cell r="C387" t="str">
            <v>Complete - MISSED</v>
          </cell>
          <cell r="D387" t="str">
            <v>4 - Low</v>
          </cell>
        </row>
        <row r="388">
          <cell r="A388" t="str">
            <v>RF5171727</v>
          </cell>
          <cell r="B388" t="str">
            <v>Closed</v>
          </cell>
          <cell r="D388" t="str">
            <v>4 - Low</v>
          </cell>
        </row>
        <row r="389">
          <cell r="A389" t="str">
            <v>RF5173104</v>
          </cell>
          <cell r="B389" t="str">
            <v>Closed</v>
          </cell>
          <cell r="C389" t="str">
            <v>Complete - Alert 1</v>
          </cell>
          <cell r="D389" t="str">
            <v>4 - Low</v>
          </cell>
        </row>
        <row r="390">
          <cell r="A390" t="str">
            <v>RF5179675</v>
          </cell>
          <cell r="B390" t="str">
            <v>Closed</v>
          </cell>
          <cell r="D390" t="str">
            <v>4 - Low</v>
          </cell>
        </row>
        <row r="391">
          <cell r="A391" t="str">
            <v>RF5182483</v>
          </cell>
          <cell r="B391" t="str">
            <v>Closed</v>
          </cell>
          <cell r="C391" t="str">
            <v>Complete - Alert 1</v>
          </cell>
          <cell r="D391" t="str">
            <v>4 - Low</v>
          </cell>
        </row>
        <row r="392">
          <cell r="A392" t="str">
            <v>RF5182740</v>
          </cell>
          <cell r="B392" t="str">
            <v>Closed</v>
          </cell>
          <cell r="C392" t="str">
            <v>Complete - Alert 1</v>
          </cell>
          <cell r="D392" t="str">
            <v>4 - Low</v>
          </cell>
        </row>
        <row r="393">
          <cell r="A393" t="str">
            <v>RF5187504</v>
          </cell>
          <cell r="B393" t="str">
            <v>Closed</v>
          </cell>
          <cell r="D393" t="str">
            <v>4 - Low</v>
          </cell>
        </row>
        <row r="394">
          <cell r="A394" t="str">
            <v>RF5191015</v>
          </cell>
          <cell r="B394" t="str">
            <v>Closed</v>
          </cell>
          <cell r="D394" t="str">
            <v>4 - Low</v>
          </cell>
        </row>
        <row r="395">
          <cell r="A395" t="str">
            <v>RF5191088</v>
          </cell>
          <cell r="B395" t="str">
            <v>Closed</v>
          </cell>
          <cell r="D395" t="str">
            <v>4 - Low</v>
          </cell>
        </row>
        <row r="396">
          <cell r="A396" t="str">
            <v>RF5191144</v>
          </cell>
          <cell r="B396" t="str">
            <v>Closed</v>
          </cell>
          <cell r="C396" t="str">
            <v>Complete - Alert 2</v>
          </cell>
          <cell r="D396" t="str">
            <v>4 - Low</v>
          </cell>
        </row>
        <row r="397">
          <cell r="A397" t="str">
            <v>RF5193562</v>
          </cell>
          <cell r="B397" t="str">
            <v>Closed</v>
          </cell>
          <cell r="D397" t="str">
            <v>4 - Low</v>
          </cell>
        </row>
        <row r="398">
          <cell r="A398" t="str">
            <v>RF5198218</v>
          </cell>
          <cell r="B398" t="str">
            <v>Closed</v>
          </cell>
          <cell r="D398" t="str">
            <v>4 - Low</v>
          </cell>
        </row>
        <row r="399">
          <cell r="A399" t="str">
            <v>RF5203043</v>
          </cell>
          <cell r="B399" t="str">
            <v>Closed</v>
          </cell>
          <cell r="D399" t="str">
            <v>4 - Low</v>
          </cell>
        </row>
        <row r="400">
          <cell r="A400" t="str">
            <v>RF5204626</v>
          </cell>
          <cell r="B400" t="str">
            <v>Closed</v>
          </cell>
          <cell r="D400" t="str">
            <v>4 - Low</v>
          </cell>
        </row>
        <row r="401">
          <cell r="A401" t="str">
            <v>RF5204627</v>
          </cell>
          <cell r="B401" t="str">
            <v>Closed</v>
          </cell>
          <cell r="D401" t="str">
            <v>4 - Low</v>
          </cell>
        </row>
        <row r="402">
          <cell r="A402" t="str">
            <v>RF5211264</v>
          </cell>
          <cell r="B402" t="str">
            <v>Closed</v>
          </cell>
          <cell r="D402" t="str">
            <v>4 - Low</v>
          </cell>
        </row>
        <row r="403">
          <cell r="A403" t="str">
            <v>RF5212961</v>
          </cell>
          <cell r="B403" t="str">
            <v>Closed</v>
          </cell>
          <cell r="D403" t="str">
            <v>4 - Low</v>
          </cell>
        </row>
        <row r="404">
          <cell r="A404" t="str">
            <v>RF5214508</v>
          </cell>
          <cell r="B404" t="str">
            <v>Closed</v>
          </cell>
          <cell r="D404" t="str">
            <v>4 - Low</v>
          </cell>
        </row>
        <row r="405">
          <cell r="A405" t="str">
            <v>RF5216434</v>
          </cell>
          <cell r="B405" t="str">
            <v>Closed</v>
          </cell>
          <cell r="D405" t="str">
            <v>4 - Low</v>
          </cell>
        </row>
        <row r="406">
          <cell r="A406" t="str">
            <v>RF5222864</v>
          </cell>
          <cell r="B406" t="str">
            <v>Closed</v>
          </cell>
          <cell r="D406" t="str">
            <v>4 - Low</v>
          </cell>
        </row>
        <row r="407">
          <cell r="A407" t="str">
            <v>RF5224486</v>
          </cell>
          <cell r="B407" t="str">
            <v>Closed</v>
          </cell>
          <cell r="D407" t="str">
            <v>4 - Low</v>
          </cell>
        </row>
        <row r="408">
          <cell r="A408" t="str">
            <v>RF5225477</v>
          </cell>
          <cell r="B408" t="str">
            <v>Closed</v>
          </cell>
          <cell r="D408" t="str">
            <v>4 - Low</v>
          </cell>
        </row>
        <row r="409">
          <cell r="A409" t="str">
            <v>RF5226442</v>
          </cell>
          <cell r="B409" t="str">
            <v>Closed</v>
          </cell>
          <cell r="D409" t="str">
            <v>4 - Low</v>
          </cell>
        </row>
        <row r="410">
          <cell r="A410" t="str">
            <v>RF5229734</v>
          </cell>
          <cell r="B410" t="str">
            <v>Closed</v>
          </cell>
          <cell r="D410" t="str">
            <v>3 - Medium</v>
          </cell>
        </row>
        <row r="411">
          <cell r="A411" t="str">
            <v>RF5235959</v>
          </cell>
          <cell r="B411" t="str">
            <v>Closed</v>
          </cell>
          <cell r="D411" t="str">
            <v>4 - Low</v>
          </cell>
        </row>
        <row r="412">
          <cell r="A412" t="str">
            <v>RF5239679</v>
          </cell>
          <cell r="B412" t="str">
            <v>Closed</v>
          </cell>
          <cell r="D412" t="str">
            <v>4 - Low</v>
          </cell>
        </row>
        <row r="413">
          <cell r="A413" t="str">
            <v>RF5242851</v>
          </cell>
          <cell r="B413" t="str">
            <v>Closed</v>
          </cell>
          <cell r="D413" t="str">
            <v>4 - Low</v>
          </cell>
        </row>
        <row r="414">
          <cell r="A414" t="str">
            <v>RF5253550</v>
          </cell>
          <cell r="B414" t="str">
            <v>Closed</v>
          </cell>
          <cell r="D414" t="str">
            <v>4 - Low</v>
          </cell>
        </row>
        <row r="415">
          <cell r="A415" t="str">
            <v>RF5254693</v>
          </cell>
          <cell r="B415" t="str">
            <v>Closed</v>
          </cell>
          <cell r="D415" t="str">
            <v>4 - Low</v>
          </cell>
        </row>
        <row r="416">
          <cell r="A416" t="str">
            <v>RF5256886</v>
          </cell>
          <cell r="B416" t="str">
            <v>Closed</v>
          </cell>
          <cell r="D416" t="str">
            <v>4 - Low</v>
          </cell>
        </row>
        <row r="417">
          <cell r="A417" t="str">
            <v>RF5257332</v>
          </cell>
          <cell r="B417" t="str">
            <v>Closed</v>
          </cell>
          <cell r="D417" t="str">
            <v>4 - Low</v>
          </cell>
        </row>
        <row r="418">
          <cell r="A418" t="str">
            <v>RF5260253</v>
          </cell>
          <cell r="B418" t="str">
            <v>Closed</v>
          </cell>
          <cell r="D418" t="str">
            <v>4 - Low</v>
          </cell>
        </row>
        <row r="419">
          <cell r="A419" t="str">
            <v>RF5260254</v>
          </cell>
          <cell r="B419" t="str">
            <v>Closed</v>
          </cell>
          <cell r="D419" t="str">
            <v>4 - Low</v>
          </cell>
        </row>
        <row r="420">
          <cell r="A420" t="str">
            <v>RF5260437</v>
          </cell>
          <cell r="B420" t="str">
            <v>Closed</v>
          </cell>
          <cell r="C420" t="str">
            <v>Complete - Alert 1</v>
          </cell>
          <cell r="D420" t="str">
            <v>4 - Low</v>
          </cell>
        </row>
        <row r="421">
          <cell r="A421" t="str">
            <v>RF5260440</v>
          </cell>
          <cell r="B421" t="str">
            <v>Closed</v>
          </cell>
          <cell r="D421" t="str">
            <v>4 - Low</v>
          </cell>
        </row>
        <row r="422">
          <cell r="A422" t="str">
            <v>RF5260441</v>
          </cell>
          <cell r="B422" t="str">
            <v>Closed</v>
          </cell>
          <cell r="C422" t="str">
            <v>Complete - Alert 1</v>
          </cell>
          <cell r="D422" t="str">
            <v>4 - Low</v>
          </cell>
        </row>
        <row r="423">
          <cell r="A423" t="str">
            <v>RF5260442</v>
          </cell>
          <cell r="B423" t="str">
            <v>Closed</v>
          </cell>
          <cell r="D423" t="str">
            <v>4 - Low</v>
          </cell>
        </row>
        <row r="424">
          <cell r="A424" t="str">
            <v>RF5260443</v>
          </cell>
          <cell r="B424" t="str">
            <v>Closed</v>
          </cell>
          <cell r="D424" t="str">
            <v>4 - Low</v>
          </cell>
        </row>
        <row r="425">
          <cell r="A425" t="str">
            <v>RF5261823</v>
          </cell>
          <cell r="B425" t="str">
            <v>Closed</v>
          </cell>
          <cell r="D425" t="str">
            <v>4 - Low</v>
          </cell>
        </row>
        <row r="426">
          <cell r="A426" t="str">
            <v>RF5266697</v>
          </cell>
          <cell r="B426" t="str">
            <v>Closed</v>
          </cell>
          <cell r="D426" t="str">
            <v>4 - Low</v>
          </cell>
        </row>
        <row r="427">
          <cell r="A427" t="str">
            <v>RF5270185</v>
          </cell>
          <cell r="B427" t="str">
            <v>Closed</v>
          </cell>
          <cell r="C427" t="str">
            <v>Complete - Alert 1</v>
          </cell>
          <cell r="D427" t="str">
            <v>4 - Low</v>
          </cell>
        </row>
        <row r="428">
          <cell r="A428" t="str">
            <v>RF5272763</v>
          </cell>
          <cell r="B428" t="str">
            <v>Closed</v>
          </cell>
          <cell r="C428" t="str">
            <v>Complete - Alert 1</v>
          </cell>
          <cell r="D428" t="str">
            <v>4 - Low</v>
          </cell>
        </row>
        <row r="429">
          <cell r="A429" t="str">
            <v>RF5278190</v>
          </cell>
          <cell r="B429" t="str">
            <v>Closed</v>
          </cell>
          <cell r="D429" t="str">
            <v>3 - Medium</v>
          </cell>
        </row>
        <row r="430">
          <cell r="A430" t="str">
            <v>RF5281223</v>
          </cell>
          <cell r="B430" t="str">
            <v>Closed</v>
          </cell>
          <cell r="D430" t="str">
            <v>4 - Low</v>
          </cell>
        </row>
        <row r="431">
          <cell r="A431" t="str">
            <v>RF5286148</v>
          </cell>
          <cell r="B431" t="str">
            <v>Closed</v>
          </cell>
          <cell r="D431" t="str">
            <v>4 - Low</v>
          </cell>
        </row>
        <row r="432">
          <cell r="A432" t="str">
            <v>RF5292971</v>
          </cell>
          <cell r="B432" t="str">
            <v>Closed</v>
          </cell>
          <cell r="D432" t="str">
            <v>4 - Low</v>
          </cell>
        </row>
        <row r="433">
          <cell r="A433" t="str">
            <v>RF5296239</v>
          </cell>
          <cell r="B433" t="str">
            <v>Closed</v>
          </cell>
          <cell r="C433" t="str">
            <v>Complete - Alert 2</v>
          </cell>
          <cell r="D433" t="str">
            <v>4 - Low</v>
          </cell>
        </row>
        <row r="434">
          <cell r="A434" t="str">
            <v>RF5301619</v>
          </cell>
          <cell r="B434" t="str">
            <v>Closed</v>
          </cell>
          <cell r="D434" t="str">
            <v>4 - Low</v>
          </cell>
        </row>
        <row r="435">
          <cell r="A435" t="str">
            <v>RF5304165</v>
          </cell>
          <cell r="B435" t="str">
            <v>Closed</v>
          </cell>
          <cell r="D435" t="str">
            <v>4 - Low</v>
          </cell>
        </row>
        <row r="436">
          <cell r="A436" t="str">
            <v>RF5306838</v>
          </cell>
          <cell r="B436" t="str">
            <v>Closed</v>
          </cell>
          <cell r="C436" t="str">
            <v>Complete - Alert 1</v>
          </cell>
          <cell r="D436" t="str">
            <v>4 - Low</v>
          </cell>
        </row>
        <row r="437">
          <cell r="A437" t="str">
            <v>RF5307380</v>
          </cell>
          <cell r="B437" t="str">
            <v>Closed</v>
          </cell>
          <cell r="D437" t="str">
            <v>4 - Low</v>
          </cell>
        </row>
        <row r="438">
          <cell r="A438" t="str">
            <v>RF5307382</v>
          </cell>
          <cell r="B438" t="str">
            <v>Closed</v>
          </cell>
          <cell r="D438" t="str">
            <v>4 - Low</v>
          </cell>
        </row>
        <row r="439">
          <cell r="A439" t="str">
            <v>RF5307767</v>
          </cell>
          <cell r="B439" t="str">
            <v>Closed</v>
          </cell>
          <cell r="D439" t="str">
            <v>4 - Low</v>
          </cell>
        </row>
        <row r="440">
          <cell r="A440" t="str">
            <v>RF5307788</v>
          </cell>
          <cell r="B440" t="str">
            <v>Closed</v>
          </cell>
          <cell r="D440" t="str">
            <v>4 - Low</v>
          </cell>
        </row>
        <row r="441">
          <cell r="A441" t="str">
            <v>RF5308950</v>
          </cell>
          <cell r="B441" t="str">
            <v>Closed</v>
          </cell>
          <cell r="C441" t="str">
            <v>Complete - Alert 2</v>
          </cell>
          <cell r="D441" t="str">
            <v>4 - Low</v>
          </cell>
        </row>
        <row r="442">
          <cell r="A442" t="str">
            <v>RF5308951</v>
          </cell>
          <cell r="B442" t="str">
            <v>Closed</v>
          </cell>
          <cell r="C442" t="str">
            <v>Complete - Alert 2</v>
          </cell>
          <cell r="D442" t="str">
            <v>4 - Low</v>
          </cell>
        </row>
        <row r="443">
          <cell r="A443" t="str">
            <v>RF5308952</v>
          </cell>
          <cell r="B443" t="str">
            <v>Closed</v>
          </cell>
          <cell r="C443" t="str">
            <v>Complete - Alert 2</v>
          </cell>
          <cell r="D443" t="str">
            <v>4 - Low</v>
          </cell>
        </row>
        <row r="444">
          <cell r="A444" t="str">
            <v>RF5309366</v>
          </cell>
          <cell r="B444" t="str">
            <v>Closed</v>
          </cell>
          <cell r="D444" t="str">
            <v>4 - Low</v>
          </cell>
        </row>
        <row r="445">
          <cell r="A445" t="str">
            <v>RF5310776</v>
          </cell>
          <cell r="B445" t="str">
            <v>Closed</v>
          </cell>
          <cell r="C445" t="str">
            <v>Complete - Alert 2</v>
          </cell>
          <cell r="D445" t="str">
            <v>3 - Medium</v>
          </cell>
        </row>
        <row r="446">
          <cell r="A446" t="str">
            <v>RF5311856</v>
          </cell>
          <cell r="B446" t="str">
            <v>Closed</v>
          </cell>
          <cell r="C446" t="str">
            <v>Complete - Alert 2</v>
          </cell>
          <cell r="D446" t="str">
            <v>4 - Low</v>
          </cell>
        </row>
        <row r="447">
          <cell r="A447" t="str">
            <v>RF5335226</v>
          </cell>
          <cell r="B447" t="str">
            <v>Closed</v>
          </cell>
          <cell r="D447" t="str">
            <v>4 - Low</v>
          </cell>
        </row>
        <row r="448">
          <cell r="A448" t="str">
            <v>RF5339489</v>
          </cell>
          <cell r="B448" t="str">
            <v>Closed</v>
          </cell>
          <cell r="D448" t="str">
            <v>4 - Low</v>
          </cell>
        </row>
        <row r="449">
          <cell r="A449" t="str">
            <v>RF5340856</v>
          </cell>
          <cell r="B449" t="str">
            <v>Closed</v>
          </cell>
          <cell r="D449" t="str">
            <v>4 - Low</v>
          </cell>
        </row>
        <row r="450">
          <cell r="A450" t="str">
            <v>RF5340954</v>
          </cell>
          <cell r="B450" t="str">
            <v>Closed</v>
          </cell>
          <cell r="C450" t="str">
            <v>Complete - Alert 2</v>
          </cell>
          <cell r="D450" t="str">
            <v>4 - Low</v>
          </cell>
        </row>
        <row r="451">
          <cell r="A451" t="str">
            <v>RF5342662</v>
          </cell>
          <cell r="B451" t="str">
            <v>Closed</v>
          </cell>
          <cell r="D451" t="str">
            <v>4 - Low</v>
          </cell>
        </row>
        <row r="452">
          <cell r="A452" t="str">
            <v>RF5342686</v>
          </cell>
          <cell r="B452" t="str">
            <v>Closed</v>
          </cell>
          <cell r="C452" t="str">
            <v>Complete - Alert 1</v>
          </cell>
          <cell r="D452" t="str">
            <v>4 - Low</v>
          </cell>
        </row>
        <row r="453">
          <cell r="A453" t="str">
            <v>RF5342962</v>
          </cell>
          <cell r="B453" t="str">
            <v>Closed</v>
          </cell>
          <cell r="C453" t="str">
            <v>Complete - MISSED</v>
          </cell>
          <cell r="D453" t="str">
            <v>4 - Low</v>
          </cell>
        </row>
        <row r="454">
          <cell r="A454" t="str">
            <v>RF5345094</v>
          </cell>
          <cell r="B454" t="str">
            <v>Closed</v>
          </cell>
          <cell r="C454" t="str">
            <v>Complete - Alert 1</v>
          </cell>
          <cell r="D454" t="str">
            <v>4 - Low</v>
          </cell>
        </row>
        <row r="455">
          <cell r="A455" t="str">
            <v>RF5346409</v>
          </cell>
          <cell r="B455" t="str">
            <v>Closed</v>
          </cell>
          <cell r="D455" t="str">
            <v>4 - Low</v>
          </cell>
        </row>
        <row r="456">
          <cell r="A456" t="str">
            <v>RF5350211</v>
          </cell>
          <cell r="B456" t="str">
            <v>Closed</v>
          </cell>
          <cell r="D456" t="str">
            <v>4 - Low</v>
          </cell>
        </row>
        <row r="457">
          <cell r="A457" t="str">
            <v>RF5353536</v>
          </cell>
          <cell r="B457" t="str">
            <v>Closed</v>
          </cell>
          <cell r="C457" t="str">
            <v>Complete - Alert 1</v>
          </cell>
          <cell r="D457" t="str">
            <v>4 - Low</v>
          </cell>
        </row>
        <row r="458">
          <cell r="A458" t="str">
            <v>RF5355369</v>
          </cell>
          <cell r="B458" t="str">
            <v>Closed</v>
          </cell>
          <cell r="D458" t="str">
            <v>4 - Low</v>
          </cell>
        </row>
        <row r="459">
          <cell r="A459" t="str">
            <v>RF5357462</v>
          </cell>
          <cell r="B459" t="str">
            <v>Closed</v>
          </cell>
          <cell r="D459" t="str">
            <v>4 - Low</v>
          </cell>
        </row>
        <row r="460">
          <cell r="A460" t="str">
            <v>RF5357470</v>
          </cell>
          <cell r="B460" t="str">
            <v>Closed</v>
          </cell>
          <cell r="C460" t="str">
            <v>Complete - Alert 2</v>
          </cell>
          <cell r="D460" t="str">
            <v>4 - Low</v>
          </cell>
        </row>
        <row r="461">
          <cell r="A461" t="str">
            <v>RF5357490</v>
          </cell>
          <cell r="B461" t="str">
            <v>Closed</v>
          </cell>
          <cell r="C461" t="str">
            <v>Complete - Alert 1</v>
          </cell>
          <cell r="D461" t="str">
            <v>4 - Low</v>
          </cell>
        </row>
        <row r="462">
          <cell r="A462" t="str">
            <v>RF5357965</v>
          </cell>
          <cell r="B462" t="str">
            <v>Closed</v>
          </cell>
          <cell r="C462" t="str">
            <v>Complete - Alert 2</v>
          </cell>
          <cell r="D462" t="str">
            <v>4 - Low</v>
          </cell>
        </row>
        <row r="463">
          <cell r="A463" t="str">
            <v>RF5358012</v>
          </cell>
          <cell r="B463" t="str">
            <v>Closed</v>
          </cell>
          <cell r="D463" t="str">
            <v>2 - High</v>
          </cell>
        </row>
        <row r="464">
          <cell r="A464" t="str">
            <v>RF5358024</v>
          </cell>
          <cell r="B464" t="str">
            <v>Closed</v>
          </cell>
          <cell r="D464" t="str">
            <v>4 - Low</v>
          </cell>
        </row>
        <row r="465">
          <cell r="A465" t="str">
            <v>RF5358131</v>
          </cell>
          <cell r="B465" t="str">
            <v>Closed</v>
          </cell>
          <cell r="C465" t="str">
            <v>Complete - Alert 2</v>
          </cell>
          <cell r="D465" t="str">
            <v>3 - Medium</v>
          </cell>
        </row>
        <row r="466">
          <cell r="A466" t="str">
            <v>RF5358521</v>
          </cell>
          <cell r="B466" t="str">
            <v>Closed</v>
          </cell>
          <cell r="D466" t="str">
            <v>2 - High</v>
          </cell>
        </row>
        <row r="467">
          <cell r="A467" t="str">
            <v>RF5359622</v>
          </cell>
          <cell r="B467" t="str">
            <v>Closed</v>
          </cell>
          <cell r="D467" t="str">
            <v>4 - Low</v>
          </cell>
        </row>
        <row r="468">
          <cell r="A468" t="str">
            <v>RF5362356</v>
          </cell>
          <cell r="B468" t="str">
            <v>Closed</v>
          </cell>
          <cell r="D468" t="str">
            <v>2 - High</v>
          </cell>
        </row>
        <row r="469">
          <cell r="A469" t="str">
            <v>RF5362609</v>
          </cell>
          <cell r="B469" t="str">
            <v>Closed</v>
          </cell>
          <cell r="D469" t="str">
            <v>2 - High</v>
          </cell>
        </row>
        <row r="470">
          <cell r="A470" t="str">
            <v>RF5362746</v>
          </cell>
          <cell r="B470" t="str">
            <v>Closed</v>
          </cell>
          <cell r="D470" t="str">
            <v>2 - High</v>
          </cell>
        </row>
        <row r="471">
          <cell r="A471" t="str">
            <v>RF5363533</v>
          </cell>
          <cell r="B471" t="str">
            <v>Closed</v>
          </cell>
          <cell r="D471" t="str">
            <v>2 - High</v>
          </cell>
        </row>
        <row r="472">
          <cell r="A472" t="str">
            <v>RF5364857</v>
          </cell>
          <cell r="B472" t="str">
            <v>Closed</v>
          </cell>
          <cell r="D472" t="str">
            <v>4 - Low</v>
          </cell>
        </row>
        <row r="473">
          <cell r="A473" t="str">
            <v>RF5368157</v>
          </cell>
          <cell r="B473" t="str">
            <v>Closed</v>
          </cell>
          <cell r="C473" t="str">
            <v>Complete - Alert 2</v>
          </cell>
          <cell r="D473" t="str">
            <v>4 - Low</v>
          </cell>
        </row>
        <row r="474">
          <cell r="A474" t="str">
            <v>RF5369929</v>
          </cell>
          <cell r="B474" t="str">
            <v>Closed</v>
          </cell>
          <cell r="D474" t="str">
            <v>2 - High</v>
          </cell>
        </row>
        <row r="475">
          <cell r="A475" t="str">
            <v>RF5373132</v>
          </cell>
          <cell r="B475" t="str">
            <v>Closed</v>
          </cell>
          <cell r="D475" t="str">
            <v>4 - Low</v>
          </cell>
        </row>
        <row r="476">
          <cell r="A476" t="str">
            <v>RF5373505</v>
          </cell>
          <cell r="B476" t="str">
            <v>Closed</v>
          </cell>
          <cell r="C476" t="str">
            <v>Complete - Alert 1</v>
          </cell>
          <cell r="D476" t="str">
            <v>4 - Low</v>
          </cell>
        </row>
        <row r="477">
          <cell r="A477" t="str">
            <v>RF5373676</v>
          </cell>
          <cell r="B477" t="str">
            <v>Closed</v>
          </cell>
          <cell r="D477" t="str">
            <v>4 - Low</v>
          </cell>
        </row>
        <row r="478">
          <cell r="A478" t="str">
            <v>RF5374347</v>
          </cell>
          <cell r="B478" t="str">
            <v>Closed</v>
          </cell>
          <cell r="C478" t="str">
            <v>Complete - Alert 2</v>
          </cell>
          <cell r="D478" t="str">
            <v>4 - Low</v>
          </cell>
        </row>
        <row r="479">
          <cell r="A479" t="str">
            <v>RF5375819</v>
          </cell>
          <cell r="B479" t="str">
            <v>Closed</v>
          </cell>
          <cell r="C479" t="str">
            <v>Complete - Alert 2</v>
          </cell>
          <cell r="D479" t="str">
            <v>4 - Low</v>
          </cell>
        </row>
        <row r="480">
          <cell r="A480" t="str">
            <v>RF5379032</v>
          </cell>
          <cell r="B480" t="str">
            <v>Closed</v>
          </cell>
          <cell r="C480" t="str">
            <v>Complete - Alert 1</v>
          </cell>
          <cell r="D480" t="str">
            <v>4 - Low</v>
          </cell>
        </row>
        <row r="481">
          <cell r="A481" t="str">
            <v>RF5380055</v>
          </cell>
          <cell r="B481" t="str">
            <v>Closed</v>
          </cell>
          <cell r="D481" t="str">
            <v>4 - Low</v>
          </cell>
        </row>
        <row r="482">
          <cell r="A482" t="str">
            <v>RF5392361</v>
          </cell>
          <cell r="B482" t="str">
            <v>Closed</v>
          </cell>
          <cell r="D482" t="str">
            <v>2 - High</v>
          </cell>
        </row>
        <row r="483">
          <cell r="A483" t="str">
            <v>RF5397950</v>
          </cell>
          <cell r="B483" t="str">
            <v>Closed</v>
          </cell>
          <cell r="D483" t="str">
            <v>4 - Low</v>
          </cell>
        </row>
        <row r="484">
          <cell r="A484" t="str">
            <v>RF5398167</v>
          </cell>
          <cell r="B484" t="str">
            <v>Closed</v>
          </cell>
          <cell r="C484" t="str">
            <v>Complete - Alert 2</v>
          </cell>
          <cell r="D484" t="str">
            <v>4 - Low</v>
          </cell>
        </row>
        <row r="485">
          <cell r="A485" t="str">
            <v>RF5400038</v>
          </cell>
          <cell r="B485" t="str">
            <v>Closed</v>
          </cell>
          <cell r="C485" t="str">
            <v>Complete - Alert 1</v>
          </cell>
          <cell r="D485" t="str">
            <v>4 - Low</v>
          </cell>
        </row>
        <row r="486">
          <cell r="A486" t="str">
            <v>RF5402372</v>
          </cell>
          <cell r="B486" t="str">
            <v>Closed</v>
          </cell>
          <cell r="D486" t="str">
            <v>4 - Low</v>
          </cell>
        </row>
        <row r="487">
          <cell r="A487" t="str">
            <v>RF5404791</v>
          </cell>
          <cell r="B487" t="str">
            <v>Closed</v>
          </cell>
          <cell r="D487" t="str">
            <v>4 - Low</v>
          </cell>
        </row>
        <row r="488">
          <cell r="A488" t="str">
            <v>RF5404889</v>
          </cell>
          <cell r="B488" t="str">
            <v>Closed</v>
          </cell>
          <cell r="D488" t="str">
            <v>4 - Low</v>
          </cell>
        </row>
        <row r="489">
          <cell r="A489" t="str">
            <v>RF5405961</v>
          </cell>
          <cell r="B489" t="str">
            <v>Closed</v>
          </cell>
          <cell r="D489" t="str">
            <v>4 - Low</v>
          </cell>
        </row>
        <row r="490">
          <cell r="A490" t="str">
            <v>RF5408573</v>
          </cell>
          <cell r="B490" t="str">
            <v>Closed</v>
          </cell>
          <cell r="C490" t="str">
            <v>Complete - Alert 2</v>
          </cell>
          <cell r="D490" t="str">
            <v>4 - Low</v>
          </cell>
        </row>
        <row r="491">
          <cell r="A491" t="str">
            <v>RF5408589</v>
          </cell>
          <cell r="B491" t="str">
            <v>Closed</v>
          </cell>
          <cell r="D491" t="str">
            <v>4 - Low</v>
          </cell>
        </row>
        <row r="492">
          <cell r="A492" t="str">
            <v>RF5411505</v>
          </cell>
          <cell r="B492" t="str">
            <v>Closed</v>
          </cell>
          <cell r="C492" t="str">
            <v>Complete - Alert 1</v>
          </cell>
          <cell r="D492" t="str">
            <v>4 - Low</v>
          </cell>
        </row>
        <row r="493">
          <cell r="A493" t="str">
            <v>RF5414010</v>
          </cell>
          <cell r="B493" t="str">
            <v>Closed</v>
          </cell>
          <cell r="D493" t="str">
            <v>4 - Low</v>
          </cell>
        </row>
        <row r="494">
          <cell r="A494" t="str">
            <v>RF5414531</v>
          </cell>
          <cell r="B494" t="str">
            <v>Closed</v>
          </cell>
          <cell r="C494" t="str">
            <v>Complete - Alert 1</v>
          </cell>
          <cell r="D494" t="str">
            <v>4 - Low</v>
          </cell>
        </row>
        <row r="495">
          <cell r="A495" t="str">
            <v>RF5415271</v>
          </cell>
          <cell r="B495" t="str">
            <v>Closed</v>
          </cell>
          <cell r="D495" t="str">
            <v>4 - Low</v>
          </cell>
        </row>
        <row r="496">
          <cell r="A496" t="str">
            <v>RF5418292</v>
          </cell>
          <cell r="B496" t="str">
            <v>Closed</v>
          </cell>
          <cell r="C496" t="str">
            <v>Complete - Alert 1</v>
          </cell>
          <cell r="D496" t="str">
            <v>4 - Low</v>
          </cell>
        </row>
        <row r="497">
          <cell r="A497" t="str">
            <v>RF5420068</v>
          </cell>
          <cell r="B497" t="str">
            <v>Closed</v>
          </cell>
          <cell r="D497" t="str">
            <v>4 - Low</v>
          </cell>
        </row>
        <row r="498">
          <cell r="A498" t="str">
            <v>RF5420076</v>
          </cell>
          <cell r="B498" t="str">
            <v>Closed</v>
          </cell>
          <cell r="D498" t="str">
            <v>4 - Low</v>
          </cell>
        </row>
        <row r="499">
          <cell r="A499" t="str">
            <v>RF5421925</v>
          </cell>
          <cell r="B499" t="str">
            <v>Closed</v>
          </cell>
          <cell r="C499" t="str">
            <v>Complete - Alert 1</v>
          </cell>
          <cell r="D499" t="str">
            <v>4 - Low</v>
          </cell>
        </row>
        <row r="500">
          <cell r="A500" t="str">
            <v>RF5424900</v>
          </cell>
          <cell r="B500" t="str">
            <v>Closed</v>
          </cell>
          <cell r="C500" t="str">
            <v>Complete - Alert 1</v>
          </cell>
          <cell r="D500" t="str">
            <v>4 - Low</v>
          </cell>
        </row>
        <row r="501">
          <cell r="A501" t="str">
            <v>RF5427598</v>
          </cell>
          <cell r="B501" t="str">
            <v>Closed</v>
          </cell>
          <cell r="D501" t="str">
            <v>4 - Low</v>
          </cell>
        </row>
        <row r="502">
          <cell r="A502" t="str">
            <v>RF5428010</v>
          </cell>
          <cell r="B502" t="str">
            <v>Closed</v>
          </cell>
          <cell r="D502" t="str">
            <v>4 - Low</v>
          </cell>
        </row>
        <row r="503">
          <cell r="A503" t="str">
            <v>RF5428707</v>
          </cell>
          <cell r="B503" t="str">
            <v>Closed</v>
          </cell>
          <cell r="C503" t="str">
            <v>Complete - Alert 2</v>
          </cell>
          <cell r="D503" t="str">
            <v>3 - Medium</v>
          </cell>
        </row>
        <row r="504">
          <cell r="A504" t="str">
            <v>RF5429398</v>
          </cell>
          <cell r="B504" t="str">
            <v>Closed</v>
          </cell>
          <cell r="D504" t="str">
            <v>4 - Low</v>
          </cell>
        </row>
        <row r="505">
          <cell r="A505" t="str">
            <v>RF5431700</v>
          </cell>
          <cell r="B505" t="str">
            <v>Closed</v>
          </cell>
          <cell r="C505" t="str">
            <v>Complete - Alert 1</v>
          </cell>
          <cell r="D505" t="str">
            <v>4 - Low</v>
          </cell>
        </row>
        <row r="506">
          <cell r="A506" t="str">
            <v>RF5431979</v>
          </cell>
          <cell r="B506" t="str">
            <v>Closed</v>
          </cell>
          <cell r="D506" t="str">
            <v>4 - Low</v>
          </cell>
        </row>
        <row r="507">
          <cell r="A507" t="str">
            <v>RF5434705</v>
          </cell>
          <cell r="B507" t="str">
            <v>Closed</v>
          </cell>
          <cell r="C507" t="str">
            <v>Complete - Alert 1</v>
          </cell>
          <cell r="D507" t="str">
            <v>4 - Low</v>
          </cell>
        </row>
        <row r="508">
          <cell r="A508" t="str">
            <v>RF5435623</v>
          </cell>
          <cell r="B508" t="str">
            <v>Closed</v>
          </cell>
          <cell r="C508" t="str">
            <v>Complete - Alert 1</v>
          </cell>
          <cell r="D508" t="str">
            <v>4 - Low</v>
          </cell>
        </row>
        <row r="509">
          <cell r="A509" t="str">
            <v>RF5435827</v>
          </cell>
          <cell r="B509" t="str">
            <v>Closed</v>
          </cell>
          <cell r="D509" t="str">
            <v>4 - Low</v>
          </cell>
        </row>
        <row r="510">
          <cell r="A510" t="str">
            <v>RF5439801</v>
          </cell>
          <cell r="B510" t="str">
            <v>Closed</v>
          </cell>
          <cell r="D510" t="str">
            <v>4 - Low</v>
          </cell>
        </row>
        <row r="511">
          <cell r="A511" t="str">
            <v>RF5439830</v>
          </cell>
          <cell r="B511" t="str">
            <v>Closed</v>
          </cell>
          <cell r="D511" t="str">
            <v>4 - Low</v>
          </cell>
        </row>
        <row r="512">
          <cell r="A512" t="str">
            <v>RF5444468</v>
          </cell>
          <cell r="B512" t="str">
            <v>Closed</v>
          </cell>
          <cell r="D512" t="str">
            <v>4 - Low</v>
          </cell>
        </row>
        <row r="513">
          <cell r="A513" t="str">
            <v>RF5444914</v>
          </cell>
          <cell r="B513" t="str">
            <v>Closed</v>
          </cell>
          <cell r="C513" t="str">
            <v>Complete - Alert 1</v>
          </cell>
          <cell r="D513" t="str">
            <v>4 - Low</v>
          </cell>
        </row>
        <row r="514">
          <cell r="A514" t="str">
            <v>RF5444915</v>
          </cell>
          <cell r="B514" t="str">
            <v>Closed</v>
          </cell>
          <cell r="D514" t="str">
            <v>4 - Low</v>
          </cell>
        </row>
        <row r="515">
          <cell r="A515" t="str">
            <v>RF5445611</v>
          </cell>
          <cell r="B515" t="str">
            <v>Closed</v>
          </cell>
          <cell r="D515" t="str">
            <v>4 - Low</v>
          </cell>
        </row>
        <row r="516">
          <cell r="A516" t="str">
            <v>RF5447431</v>
          </cell>
          <cell r="B516" t="str">
            <v>Closed</v>
          </cell>
          <cell r="C516" t="str">
            <v>Complete - Alert 1</v>
          </cell>
          <cell r="D516" t="str">
            <v>4 - Low</v>
          </cell>
        </row>
        <row r="517">
          <cell r="A517" t="str">
            <v>RF5447432</v>
          </cell>
          <cell r="B517" t="str">
            <v>Closed</v>
          </cell>
          <cell r="D517" t="str">
            <v>4 - Low</v>
          </cell>
        </row>
        <row r="518">
          <cell r="A518" t="str">
            <v>RF5449386</v>
          </cell>
          <cell r="B518" t="str">
            <v>Closed</v>
          </cell>
          <cell r="D518" t="str">
            <v>4 - Low</v>
          </cell>
        </row>
        <row r="519">
          <cell r="A519" t="str">
            <v>RF5449505</v>
          </cell>
          <cell r="B519" t="str">
            <v>Closed</v>
          </cell>
          <cell r="C519" t="str">
            <v>Complete - Alert 2</v>
          </cell>
          <cell r="D519" t="str">
            <v>4 - Low</v>
          </cell>
        </row>
        <row r="520">
          <cell r="A520" t="str">
            <v>RF5450650</v>
          </cell>
          <cell r="B520" t="str">
            <v>Closed</v>
          </cell>
          <cell r="D520" t="str">
            <v>4 - Low</v>
          </cell>
        </row>
        <row r="521">
          <cell r="A521" t="str">
            <v>RF5450951</v>
          </cell>
          <cell r="B521" t="str">
            <v>Closed</v>
          </cell>
          <cell r="D521" t="str">
            <v>4 - Low</v>
          </cell>
        </row>
        <row r="522">
          <cell r="A522" t="str">
            <v>RF5451116</v>
          </cell>
          <cell r="B522" t="str">
            <v>Closed</v>
          </cell>
          <cell r="C522" t="str">
            <v>Complete - Alert 2</v>
          </cell>
          <cell r="D522" t="str">
            <v>4 - Low</v>
          </cell>
        </row>
        <row r="523">
          <cell r="A523" t="str">
            <v>RF5452459</v>
          </cell>
          <cell r="B523" t="str">
            <v>Closed</v>
          </cell>
          <cell r="D523" t="str">
            <v>4 - Low</v>
          </cell>
        </row>
        <row r="524">
          <cell r="A524" t="str">
            <v>RF5453320</v>
          </cell>
          <cell r="B524" t="str">
            <v>Closed</v>
          </cell>
          <cell r="D524" t="str">
            <v>4 - Low</v>
          </cell>
        </row>
        <row r="525">
          <cell r="A525" t="str">
            <v>RF5453321</v>
          </cell>
          <cell r="B525" t="str">
            <v>Closed</v>
          </cell>
          <cell r="D525" t="str">
            <v>4 - Low</v>
          </cell>
        </row>
        <row r="526">
          <cell r="A526" t="str">
            <v>RF5455492</v>
          </cell>
          <cell r="B526" t="str">
            <v>Closed</v>
          </cell>
          <cell r="D526" t="str">
            <v>4 - Low</v>
          </cell>
        </row>
        <row r="527">
          <cell r="A527" t="str">
            <v>RF5456139</v>
          </cell>
          <cell r="B527" t="str">
            <v>Closed</v>
          </cell>
          <cell r="C527" t="str">
            <v>Complete - Alert 1</v>
          </cell>
          <cell r="D527" t="str">
            <v>4 - Low</v>
          </cell>
        </row>
        <row r="528">
          <cell r="A528" t="str">
            <v>RF5457746</v>
          </cell>
          <cell r="B528" t="str">
            <v>Closed</v>
          </cell>
          <cell r="D528" t="str">
            <v>4 - Low</v>
          </cell>
        </row>
        <row r="529">
          <cell r="A529" t="str">
            <v>RF5458135</v>
          </cell>
          <cell r="B529" t="str">
            <v>Closed</v>
          </cell>
          <cell r="C529" t="str">
            <v>Complete - Alert 1</v>
          </cell>
          <cell r="D529" t="str">
            <v>4 - Low</v>
          </cell>
        </row>
        <row r="530">
          <cell r="A530" t="str">
            <v>RF5458164</v>
          </cell>
          <cell r="B530" t="str">
            <v>Closed</v>
          </cell>
          <cell r="C530" t="str">
            <v>Complete - MISSED</v>
          </cell>
          <cell r="D530" t="str">
            <v>4 - Low</v>
          </cell>
        </row>
        <row r="531">
          <cell r="A531" t="str">
            <v>RF5458186</v>
          </cell>
          <cell r="B531" t="str">
            <v>Closed</v>
          </cell>
          <cell r="C531" t="str">
            <v>Complete - Alert 1</v>
          </cell>
          <cell r="D531" t="str">
            <v>4 - Low</v>
          </cell>
        </row>
        <row r="532">
          <cell r="A532" t="str">
            <v>RF5460207</v>
          </cell>
          <cell r="B532" t="str">
            <v>Closed</v>
          </cell>
          <cell r="D532" t="str">
            <v>4 - Low</v>
          </cell>
        </row>
        <row r="533">
          <cell r="A533" t="str">
            <v>RF5460990</v>
          </cell>
          <cell r="B533" t="str">
            <v>Closed</v>
          </cell>
          <cell r="C533" t="str">
            <v>Complete - Alert 1</v>
          </cell>
          <cell r="D533" t="str">
            <v>4 - Low</v>
          </cell>
        </row>
        <row r="534">
          <cell r="A534" t="str">
            <v>RF5462635</v>
          </cell>
          <cell r="B534" t="str">
            <v>Closed</v>
          </cell>
          <cell r="D534" t="str">
            <v>3 - Medium</v>
          </cell>
        </row>
        <row r="535">
          <cell r="A535" t="str">
            <v>RF5464159</v>
          </cell>
          <cell r="B535" t="str">
            <v>Closed</v>
          </cell>
          <cell r="C535" t="str">
            <v>Complete - Alert 2</v>
          </cell>
          <cell r="D535" t="str">
            <v>4 - Low</v>
          </cell>
        </row>
        <row r="536">
          <cell r="A536" t="str">
            <v>RF5465190</v>
          </cell>
          <cell r="B536" t="str">
            <v>Closed</v>
          </cell>
          <cell r="C536" t="str">
            <v>Complete - MISSED</v>
          </cell>
          <cell r="D536" t="str">
            <v>4 - Low</v>
          </cell>
        </row>
        <row r="537">
          <cell r="A537" t="str">
            <v>RF5465198</v>
          </cell>
          <cell r="B537" t="str">
            <v>Closed</v>
          </cell>
          <cell r="D537" t="str">
            <v>4 - Low</v>
          </cell>
        </row>
        <row r="538">
          <cell r="A538" t="str">
            <v>RF5465987</v>
          </cell>
          <cell r="B538" t="str">
            <v>Closed</v>
          </cell>
          <cell r="D538" t="str">
            <v>2 - High</v>
          </cell>
        </row>
        <row r="539">
          <cell r="A539" t="str">
            <v>RF5465991</v>
          </cell>
          <cell r="B539" t="str">
            <v>Closed</v>
          </cell>
          <cell r="D539" t="str">
            <v>2 - High</v>
          </cell>
        </row>
        <row r="540">
          <cell r="A540" t="str">
            <v>RF5467775</v>
          </cell>
          <cell r="B540" t="str">
            <v>Closed</v>
          </cell>
          <cell r="C540" t="str">
            <v>Complete - Alert 1</v>
          </cell>
          <cell r="D540" t="str">
            <v>3 - Medium</v>
          </cell>
        </row>
        <row r="541">
          <cell r="A541" t="str">
            <v>RF5467780</v>
          </cell>
          <cell r="B541" t="str">
            <v>Closed</v>
          </cell>
          <cell r="C541" t="str">
            <v>Complete - Alert 2</v>
          </cell>
          <cell r="D541" t="str">
            <v>3 - Medium</v>
          </cell>
        </row>
        <row r="542">
          <cell r="A542" t="str">
            <v>RF5467883</v>
          </cell>
          <cell r="B542" t="str">
            <v>Closed</v>
          </cell>
          <cell r="D542" t="str">
            <v>4 - Low</v>
          </cell>
        </row>
        <row r="543">
          <cell r="A543" t="str">
            <v>RF5468667</v>
          </cell>
          <cell r="B543" t="str">
            <v>Closed</v>
          </cell>
          <cell r="D543" t="str">
            <v>4 - Low</v>
          </cell>
        </row>
        <row r="544">
          <cell r="A544" t="str">
            <v>RF5470635</v>
          </cell>
          <cell r="B544" t="str">
            <v>Closed</v>
          </cell>
          <cell r="D544" t="str">
            <v>4 - Low</v>
          </cell>
        </row>
        <row r="545">
          <cell r="A545" t="str">
            <v>RF5475249</v>
          </cell>
          <cell r="B545" t="str">
            <v>Closed</v>
          </cell>
          <cell r="C545" t="str">
            <v>Complete - Alert 2</v>
          </cell>
          <cell r="D545" t="str">
            <v>4 - Low</v>
          </cell>
        </row>
        <row r="546">
          <cell r="A546" t="str">
            <v>RF5477334</v>
          </cell>
          <cell r="B546" t="str">
            <v>Closed</v>
          </cell>
          <cell r="C546" t="str">
            <v>Complete - Alert 1</v>
          </cell>
          <cell r="D546" t="str">
            <v>4 - Low</v>
          </cell>
        </row>
        <row r="547">
          <cell r="A547" t="str">
            <v>RF5483777</v>
          </cell>
          <cell r="B547" t="str">
            <v>Closed</v>
          </cell>
          <cell r="D547" t="str">
            <v>4 - Low</v>
          </cell>
        </row>
        <row r="548">
          <cell r="A548" t="str">
            <v>RF5484942</v>
          </cell>
          <cell r="B548" t="str">
            <v>Closed</v>
          </cell>
          <cell r="C548" t="str">
            <v>Complete - Alert 1</v>
          </cell>
          <cell r="D548" t="str">
            <v>3 - Medium</v>
          </cell>
        </row>
        <row r="549">
          <cell r="A549" t="str">
            <v>RF5484947</v>
          </cell>
          <cell r="B549" t="str">
            <v>Pending Pfizer</v>
          </cell>
          <cell r="D549" t="str">
            <v>3 - Medium</v>
          </cell>
        </row>
        <row r="550">
          <cell r="A550" t="str">
            <v>RF5486497</v>
          </cell>
          <cell r="B550" t="str">
            <v>Closed</v>
          </cell>
          <cell r="D550" t="str">
            <v>4 - Low</v>
          </cell>
        </row>
        <row r="551">
          <cell r="A551" t="str">
            <v>RF5486929</v>
          </cell>
          <cell r="B551" t="str">
            <v>Work in progress</v>
          </cell>
          <cell r="D551" t="str">
            <v>4 - Low</v>
          </cell>
        </row>
        <row r="552">
          <cell r="A552" t="str">
            <v>RF5487714</v>
          </cell>
          <cell r="B552" t="str">
            <v>Closed</v>
          </cell>
          <cell r="D552" t="str">
            <v>4 - Low</v>
          </cell>
        </row>
        <row r="553">
          <cell r="A553" t="str">
            <v>RF5487849</v>
          </cell>
          <cell r="B553" t="str">
            <v>Closed</v>
          </cell>
          <cell r="D553" t="str">
            <v>3 - Medium</v>
          </cell>
        </row>
        <row r="554">
          <cell r="A554" t="str">
            <v>RF5489661</v>
          </cell>
          <cell r="B554" t="str">
            <v>Closed</v>
          </cell>
          <cell r="D554" t="str">
            <v>4 - Low</v>
          </cell>
        </row>
        <row r="555">
          <cell r="A555" t="str">
            <v>RF5491757</v>
          </cell>
          <cell r="B555" t="str">
            <v>Work in progress</v>
          </cell>
          <cell r="D555" t="str">
            <v>4 - Low</v>
          </cell>
        </row>
        <row r="556">
          <cell r="A556" t="str">
            <v>RF5495945</v>
          </cell>
          <cell r="B556" t="str">
            <v>Closed</v>
          </cell>
          <cell r="D556" t="str">
            <v>4 - Low</v>
          </cell>
        </row>
        <row r="557">
          <cell r="A557" t="str">
            <v>RF5498879</v>
          </cell>
          <cell r="B557" t="str">
            <v>Closed</v>
          </cell>
          <cell r="D557" t="str">
            <v>4 - Low</v>
          </cell>
        </row>
        <row r="558">
          <cell r="A558" t="str">
            <v>RF5498942</v>
          </cell>
          <cell r="B558" t="str">
            <v>Closed</v>
          </cell>
          <cell r="C558" t="str">
            <v>Complete - Alert 1</v>
          </cell>
          <cell r="D558" t="str">
            <v>4 - Low</v>
          </cell>
        </row>
        <row r="559">
          <cell r="A559" t="str">
            <v>RF5502890</v>
          </cell>
          <cell r="B559" t="str">
            <v>Closed</v>
          </cell>
          <cell r="C559" t="str">
            <v>Complete - Alert 1</v>
          </cell>
          <cell r="D559" t="str">
            <v>4 - Low</v>
          </cell>
        </row>
        <row r="560">
          <cell r="A560" t="str">
            <v>RF5502902</v>
          </cell>
          <cell r="B560" t="str">
            <v>Closed</v>
          </cell>
          <cell r="D560" t="str">
            <v>4 - Low</v>
          </cell>
        </row>
        <row r="561">
          <cell r="A561" t="str">
            <v>RF5505197</v>
          </cell>
          <cell r="B561" t="str">
            <v>Closed</v>
          </cell>
          <cell r="D561" t="str">
            <v>4 - Low</v>
          </cell>
        </row>
        <row r="562">
          <cell r="A562" t="str">
            <v>RF5505547</v>
          </cell>
          <cell r="B562" t="str">
            <v>Closed</v>
          </cell>
          <cell r="C562" t="str">
            <v>Complete - Alert 1</v>
          </cell>
          <cell r="D562" t="str">
            <v>4 - Low</v>
          </cell>
        </row>
        <row r="563">
          <cell r="A563" t="str">
            <v>RF5509835</v>
          </cell>
          <cell r="B563" t="str">
            <v>Closed</v>
          </cell>
          <cell r="D563" t="str">
            <v>4 - Low</v>
          </cell>
        </row>
        <row r="564">
          <cell r="A564" t="str">
            <v>RF5510994</v>
          </cell>
          <cell r="B564" t="str">
            <v>Closed</v>
          </cell>
          <cell r="D564" t="str">
            <v>4 - Low</v>
          </cell>
        </row>
        <row r="565">
          <cell r="A565" t="str">
            <v>RF5511665</v>
          </cell>
          <cell r="B565" t="str">
            <v>Pending Pfizer</v>
          </cell>
          <cell r="D565" t="str">
            <v>4 - Low</v>
          </cell>
        </row>
        <row r="566">
          <cell r="A566" t="str">
            <v>RF5512964</v>
          </cell>
          <cell r="B566" t="str">
            <v>Closed</v>
          </cell>
          <cell r="C566" t="str">
            <v>Complete - Alert 1</v>
          </cell>
          <cell r="D566" t="str">
            <v>4 - Low</v>
          </cell>
        </row>
        <row r="567">
          <cell r="A567" t="str">
            <v>RF5513433</v>
          </cell>
          <cell r="B567" t="str">
            <v>Closed</v>
          </cell>
          <cell r="D567" t="str">
            <v>4 - Low</v>
          </cell>
        </row>
        <row r="568">
          <cell r="A568" t="str">
            <v>RF5514407</v>
          </cell>
          <cell r="B568" t="str">
            <v>Closed</v>
          </cell>
          <cell r="D568" t="str">
            <v>4 - Low</v>
          </cell>
        </row>
        <row r="569">
          <cell r="A569" t="str">
            <v>RF5517003</v>
          </cell>
          <cell r="B569" t="str">
            <v>Closed</v>
          </cell>
          <cell r="D569" t="str">
            <v>4 - Low</v>
          </cell>
        </row>
        <row r="570">
          <cell r="A570" t="str">
            <v>RF5517891</v>
          </cell>
          <cell r="B570" t="str">
            <v>Closed</v>
          </cell>
          <cell r="D570" t="str">
            <v>4 - Low</v>
          </cell>
        </row>
        <row r="571">
          <cell r="A571" t="str">
            <v>RF5519863</v>
          </cell>
          <cell r="B571" t="str">
            <v>Closed</v>
          </cell>
          <cell r="D571" t="str">
            <v>4 - Low</v>
          </cell>
        </row>
        <row r="572">
          <cell r="A572" t="str">
            <v>RF5521803</v>
          </cell>
          <cell r="B572" t="str">
            <v>Closed</v>
          </cell>
          <cell r="D572" t="str">
            <v>4 - Low</v>
          </cell>
        </row>
        <row r="573">
          <cell r="A573" t="str">
            <v>RF5521974</v>
          </cell>
          <cell r="B573" t="str">
            <v>Work in progress</v>
          </cell>
          <cell r="C573" t="str">
            <v>Complete - MISSED</v>
          </cell>
          <cell r="D573" t="str">
            <v>4 - Low</v>
          </cell>
        </row>
        <row r="574">
          <cell r="A574" t="str">
            <v>RF5521999</v>
          </cell>
          <cell r="B574" t="str">
            <v>Closed</v>
          </cell>
          <cell r="D574" t="str">
            <v>4 - Low</v>
          </cell>
        </row>
        <row r="575">
          <cell r="A575" t="str">
            <v>RF5525696</v>
          </cell>
          <cell r="B575" t="str">
            <v>Closed</v>
          </cell>
          <cell r="D575" t="str">
            <v>4 - Low</v>
          </cell>
        </row>
        <row r="576">
          <cell r="A576" t="str">
            <v>RF5526091</v>
          </cell>
          <cell r="B576" t="str">
            <v>Closed</v>
          </cell>
          <cell r="D576" t="str">
            <v>4 - Low</v>
          </cell>
        </row>
        <row r="577">
          <cell r="A577" t="str">
            <v>RF5531394</v>
          </cell>
          <cell r="B577" t="str">
            <v>Closed</v>
          </cell>
          <cell r="D577" t="str">
            <v>4 - Low</v>
          </cell>
        </row>
        <row r="578">
          <cell r="A578" t="str">
            <v>RF5533174</v>
          </cell>
          <cell r="B578" t="str">
            <v>Closed</v>
          </cell>
          <cell r="D578" t="str">
            <v>4 - Low</v>
          </cell>
        </row>
        <row r="579">
          <cell r="A579" t="str">
            <v>RF5533630</v>
          </cell>
          <cell r="B579" t="str">
            <v>Closed</v>
          </cell>
          <cell r="D579" t="str">
            <v>4 - Low</v>
          </cell>
        </row>
        <row r="580">
          <cell r="A580" t="str">
            <v>RF5534147</v>
          </cell>
          <cell r="B580" t="str">
            <v>Closed</v>
          </cell>
          <cell r="D580" t="str">
            <v>4 - Low</v>
          </cell>
        </row>
        <row r="581">
          <cell r="A581" t="str">
            <v>RF5535556</v>
          </cell>
          <cell r="B581" t="str">
            <v>Closed</v>
          </cell>
          <cell r="C581" t="str">
            <v>Complete - Alert 2</v>
          </cell>
          <cell r="D581" t="str">
            <v>4 - Low</v>
          </cell>
        </row>
        <row r="582">
          <cell r="A582" t="str">
            <v>RF5535969</v>
          </cell>
          <cell r="B582" t="str">
            <v>Closed</v>
          </cell>
          <cell r="D582" t="str">
            <v>4 - Low</v>
          </cell>
        </row>
        <row r="583">
          <cell r="A583" t="str">
            <v>RF5538371</v>
          </cell>
          <cell r="B583" t="str">
            <v>Closed</v>
          </cell>
          <cell r="C583" t="str">
            <v>Complete - Alert 2</v>
          </cell>
          <cell r="D583" t="str">
            <v>4 - Low</v>
          </cell>
        </row>
        <row r="584">
          <cell r="A584" t="str">
            <v>RF5538372</v>
          </cell>
          <cell r="B584" t="str">
            <v>Closed</v>
          </cell>
          <cell r="D584" t="str">
            <v>4 - Low</v>
          </cell>
        </row>
        <row r="585">
          <cell r="A585" t="str">
            <v>RF5538373</v>
          </cell>
          <cell r="B585" t="str">
            <v>Closed</v>
          </cell>
          <cell r="C585" t="str">
            <v>Complete - Alert 2</v>
          </cell>
          <cell r="D585" t="str">
            <v>4 - Low</v>
          </cell>
        </row>
        <row r="586">
          <cell r="A586" t="str">
            <v>RF5538374</v>
          </cell>
          <cell r="B586" t="str">
            <v>Closed</v>
          </cell>
          <cell r="D586" t="str">
            <v>4 - Low</v>
          </cell>
        </row>
        <row r="587">
          <cell r="A587" t="str">
            <v>RF5538375</v>
          </cell>
          <cell r="B587" t="str">
            <v>Closed</v>
          </cell>
          <cell r="C587" t="str">
            <v>Complete - Alert 2</v>
          </cell>
          <cell r="D587" t="str">
            <v>4 - Low</v>
          </cell>
        </row>
        <row r="588">
          <cell r="A588" t="str">
            <v>RF5538376</v>
          </cell>
          <cell r="B588" t="str">
            <v>Closed</v>
          </cell>
          <cell r="D588" t="str">
            <v>4 - Low</v>
          </cell>
        </row>
        <row r="589">
          <cell r="A589" t="str">
            <v>RF5538377</v>
          </cell>
          <cell r="B589" t="str">
            <v>Closed</v>
          </cell>
          <cell r="D589" t="str">
            <v>4 - Low</v>
          </cell>
        </row>
        <row r="590">
          <cell r="A590" t="str">
            <v>RF5538378</v>
          </cell>
          <cell r="B590" t="str">
            <v>Closed</v>
          </cell>
          <cell r="D590" t="str">
            <v>4 - Low</v>
          </cell>
        </row>
        <row r="591">
          <cell r="A591" t="str">
            <v>RF5538379</v>
          </cell>
          <cell r="B591" t="str">
            <v>Closed</v>
          </cell>
          <cell r="D591" t="str">
            <v>4 - Low</v>
          </cell>
        </row>
        <row r="592">
          <cell r="A592" t="str">
            <v>RF5538380</v>
          </cell>
          <cell r="B592" t="str">
            <v>Closed</v>
          </cell>
          <cell r="D592" t="str">
            <v>4 - Low</v>
          </cell>
        </row>
        <row r="593">
          <cell r="A593" t="str">
            <v>RF5538381</v>
          </cell>
          <cell r="B593" t="str">
            <v>Closed</v>
          </cell>
          <cell r="D593" t="str">
            <v>4 - Low</v>
          </cell>
        </row>
        <row r="594">
          <cell r="A594" t="str">
            <v>RF5539388</v>
          </cell>
          <cell r="B594" t="str">
            <v>Closed</v>
          </cell>
          <cell r="C594" t="str">
            <v>Complete - Alert 1</v>
          </cell>
          <cell r="D594" t="str">
            <v>4 - Low</v>
          </cell>
        </row>
        <row r="595">
          <cell r="A595" t="str">
            <v>RF5539401</v>
          </cell>
          <cell r="B595" t="str">
            <v>Closed</v>
          </cell>
          <cell r="D595" t="str">
            <v>4 - Low</v>
          </cell>
        </row>
        <row r="596">
          <cell r="A596" t="str">
            <v>RF5539729</v>
          </cell>
          <cell r="B596" t="str">
            <v>Pending Pfizer</v>
          </cell>
          <cell r="D596" t="str">
            <v>4 - Low</v>
          </cell>
        </row>
        <row r="597">
          <cell r="A597" t="str">
            <v>RF5540411</v>
          </cell>
          <cell r="B597" t="str">
            <v>Closed</v>
          </cell>
          <cell r="D597" t="str">
            <v>4 - Low</v>
          </cell>
        </row>
        <row r="598">
          <cell r="A598" t="str">
            <v>RF5544679</v>
          </cell>
          <cell r="B598" t="str">
            <v>Closed</v>
          </cell>
          <cell r="C598" t="str">
            <v>Complete - Alert 2</v>
          </cell>
          <cell r="D598" t="str">
            <v>3 - Medium</v>
          </cell>
        </row>
        <row r="599">
          <cell r="A599" t="str">
            <v>RF5550071</v>
          </cell>
          <cell r="B599" t="str">
            <v>Closed</v>
          </cell>
          <cell r="D599" t="str">
            <v>4 - Low</v>
          </cell>
        </row>
        <row r="600">
          <cell r="A600" t="str">
            <v>RF5550581</v>
          </cell>
          <cell r="B600" t="str">
            <v>Closed</v>
          </cell>
          <cell r="D600" t="str">
            <v>4 - Low</v>
          </cell>
        </row>
        <row r="601">
          <cell r="A601" t="str">
            <v>RF5551588</v>
          </cell>
          <cell r="B601" t="str">
            <v>Closed</v>
          </cell>
          <cell r="D601" t="str">
            <v>4 - Low</v>
          </cell>
        </row>
        <row r="602">
          <cell r="A602" t="str">
            <v>RF5554021</v>
          </cell>
          <cell r="B602" t="str">
            <v>Closed</v>
          </cell>
          <cell r="D602" t="str">
            <v>4 - Low</v>
          </cell>
        </row>
        <row r="603">
          <cell r="A603" t="str">
            <v>RF5554432</v>
          </cell>
          <cell r="B603" t="str">
            <v>Closed</v>
          </cell>
          <cell r="D603" t="str">
            <v>4 - Low</v>
          </cell>
        </row>
        <row r="604">
          <cell r="A604" t="str">
            <v>RF5554441</v>
          </cell>
          <cell r="B604" t="str">
            <v>Closed</v>
          </cell>
          <cell r="D604" t="str">
            <v>4 - Low</v>
          </cell>
        </row>
        <row r="605">
          <cell r="A605" t="str">
            <v>RF5556930</v>
          </cell>
          <cell r="B605" t="str">
            <v>Closed</v>
          </cell>
          <cell r="D605" t="str">
            <v>4 - Low</v>
          </cell>
        </row>
        <row r="606">
          <cell r="A606" t="str">
            <v>RF5562522</v>
          </cell>
          <cell r="B606" t="str">
            <v>Pending Pfizer</v>
          </cell>
          <cell r="D606" t="str">
            <v>4 - Low</v>
          </cell>
        </row>
        <row r="607">
          <cell r="A607" t="str">
            <v>RF5562965</v>
          </cell>
          <cell r="B607" t="str">
            <v>Closed</v>
          </cell>
          <cell r="D607" t="str">
            <v>4 - Low</v>
          </cell>
        </row>
        <row r="608">
          <cell r="A608" t="str">
            <v>RF5564377</v>
          </cell>
          <cell r="B608" t="str">
            <v>Closed</v>
          </cell>
          <cell r="D608" t="str">
            <v>4 - Low</v>
          </cell>
        </row>
        <row r="609">
          <cell r="A609" t="str">
            <v>RF5566897</v>
          </cell>
          <cell r="B609" t="str">
            <v>Closed</v>
          </cell>
          <cell r="D609" t="str">
            <v>4 - Low</v>
          </cell>
        </row>
        <row r="610">
          <cell r="A610" t="str">
            <v>RF5571765</v>
          </cell>
          <cell r="B610" t="str">
            <v>Closed</v>
          </cell>
          <cell r="D610" t="str">
            <v>3 - Medium</v>
          </cell>
        </row>
        <row r="611">
          <cell r="A611" t="str">
            <v>RF5572189</v>
          </cell>
          <cell r="B611" t="str">
            <v>Closed</v>
          </cell>
          <cell r="D611" t="str">
            <v>4 - Low</v>
          </cell>
        </row>
        <row r="612">
          <cell r="A612" t="str">
            <v>RF5573031</v>
          </cell>
          <cell r="B612" t="str">
            <v>Closed</v>
          </cell>
          <cell r="C612" t="str">
            <v>Complete - Alert 1</v>
          </cell>
          <cell r="D612" t="str">
            <v>3 - Medium</v>
          </cell>
        </row>
        <row r="613">
          <cell r="A613" t="str">
            <v>RF5573923</v>
          </cell>
          <cell r="B613" t="str">
            <v>Closed</v>
          </cell>
          <cell r="D613" t="str">
            <v>4 - Low</v>
          </cell>
        </row>
        <row r="614">
          <cell r="A614" t="str">
            <v>RF5580080</v>
          </cell>
          <cell r="B614" t="str">
            <v>Closed</v>
          </cell>
          <cell r="D614" t="str">
            <v>4 - Low</v>
          </cell>
        </row>
        <row r="615">
          <cell r="A615" t="str">
            <v>RF5584652</v>
          </cell>
          <cell r="B615" t="str">
            <v>Pending Pfizer</v>
          </cell>
          <cell r="D615" t="str">
            <v>4 - Low</v>
          </cell>
        </row>
        <row r="616">
          <cell r="A616" t="str">
            <v>RF5591122</v>
          </cell>
          <cell r="B616" t="str">
            <v>Closed</v>
          </cell>
          <cell r="D616" t="str">
            <v>4 - Low</v>
          </cell>
        </row>
        <row r="617">
          <cell r="A617" t="str">
            <v>RF5591441</v>
          </cell>
          <cell r="B617" t="str">
            <v>Closed</v>
          </cell>
          <cell r="D617" t="str">
            <v>4 - Low</v>
          </cell>
        </row>
        <row r="618">
          <cell r="A618" t="str">
            <v>RF5592642</v>
          </cell>
          <cell r="B618" t="str">
            <v>Pending Pfizer</v>
          </cell>
          <cell r="C618" t="str">
            <v>Complete - Alert 1</v>
          </cell>
          <cell r="D618" t="str">
            <v>4 - Low</v>
          </cell>
        </row>
        <row r="619">
          <cell r="A619" t="str">
            <v>RF5595648</v>
          </cell>
          <cell r="B619" t="str">
            <v>Closed</v>
          </cell>
          <cell r="D619" t="str">
            <v>4 - Low</v>
          </cell>
        </row>
        <row r="620">
          <cell r="A620" t="str">
            <v>RF5597939</v>
          </cell>
          <cell r="B620" t="str">
            <v>Complete</v>
          </cell>
          <cell r="D620" t="str">
            <v>4 - Low</v>
          </cell>
        </row>
        <row r="621">
          <cell r="A621" t="str">
            <v>RF5599642</v>
          </cell>
          <cell r="B621" t="str">
            <v>Work in progress</v>
          </cell>
          <cell r="D621" t="str">
            <v>4 - Low</v>
          </cell>
        </row>
        <row r="622">
          <cell r="A622" t="str">
            <v>RF5600589</v>
          </cell>
          <cell r="B622" t="str">
            <v>Pending Pfizer</v>
          </cell>
          <cell r="D622" t="str">
            <v>4 - Low</v>
          </cell>
        </row>
        <row r="623">
          <cell r="A623" t="str">
            <v>RF5604672</v>
          </cell>
          <cell r="B623" t="str">
            <v>Complete</v>
          </cell>
          <cell r="D623" t="str">
            <v>4 - Low</v>
          </cell>
        </row>
        <row r="624">
          <cell r="A624" t="str">
            <v>RF5604701</v>
          </cell>
          <cell r="B624" t="str">
            <v>Work in progress</v>
          </cell>
          <cell r="D624" t="str">
            <v>4 - Low</v>
          </cell>
        </row>
        <row r="625">
          <cell r="A625" t="str">
            <v>RF5605272</v>
          </cell>
          <cell r="B625" t="str">
            <v>Pending Customer</v>
          </cell>
          <cell r="D625" t="str">
            <v>4 - Low</v>
          </cell>
        </row>
        <row r="626">
          <cell r="A626" t="str">
            <v>RF5468097</v>
          </cell>
          <cell r="B626" t="str">
            <v>Closed</v>
          </cell>
          <cell r="D626" t="str">
            <v>4 - Low</v>
          </cell>
        </row>
        <row r="627">
          <cell r="A627" t="str">
            <v>RF3780202</v>
          </cell>
          <cell r="B627" t="str">
            <v>Closed</v>
          </cell>
          <cell r="D627" t="str">
            <v>4 - Low</v>
          </cell>
        </row>
        <row r="628">
          <cell r="A628" t="str">
            <v>RF4267213</v>
          </cell>
          <cell r="B628" t="str">
            <v>Closed</v>
          </cell>
          <cell r="D628" t="str">
            <v>4 - Low</v>
          </cell>
        </row>
        <row r="629">
          <cell r="A629" t="str">
            <v>RF4267214</v>
          </cell>
          <cell r="B629" t="str">
            <v>Closed</v>
          </cell>
          <cell r="D629" t="str">
            <v>4 - Low</v>
          </cell>
        </row>
        <row r="630">
          <cell r="A630" t="str">
            <v>RF4267215</v>
          </cell>
          <cell r="B630" t="str">
            <v>Closed</v>
          </cell>
          <cell r="D630" t="str">
            <v>4 - Low</v>
          </cell>
        </row>
        <row r="631">
          <cell r="A631" t="str">
            <v>RF4275313</v>
          </cell>
          <cell r="B631" t="str">
            <v>Closed</v>
          </cell>
          <cell r="D631" t="str">
            <v>4 - Low</v>
          </cell>
        </row>
        <row r="632">
          <cell r="A632" t="str">
            <v>RF4338180</v>
          </cell>
          <cell r="B632" t="str">
            <v>Closed</v>
          </cell>
          <cell r="D632" t="str">
            <v>4 - Low</v>
          </cell>
        </row>
        <row r="633">
          <cell r="A633" t="str">
            <v>RF4350700</v>
          </cell>
          <cell r="B633" t="str">
            <v>Closed</v>
          </cell>
          <cell r="D633" t="str">
            <v>4 - Low</v>
          </cell>
        </row>
        <row r="634">
          <cell r="A634" t="str">
            <v>RF4363389</v>
          </cell>
          <cell r="B634" t="str">
            <v>Closed</v>
          </cell>
          <cell r="D634" t="str">
            <v>4 - Low</v>
          </cell>
        </row>
        <row r="635">
          <cell r="A635" t="str">
            <v>RF4375165</v>
          </cell>
          <cell r="B635" t="str">
            <v>Closed</v>
          </cell>
          <cell r="D635" t="str">
            <v>4 - Low</v>
          </cell>
        </row>
        <row r="636">
          <cell r="A636" t="str">
            <v>RF4446141</v>
          </cell>
          <cell r="B636" t="str">
            <v>Closed</v>
          </cell>
          <cell r="D636" t="str">
            <v>4 - Low</v>
          </cell>
        </row>
        <row r="637">
          <cell r="A637" t="str">
            <v>RF4531160</v>
          </cell>
          <cell r="B637" t="str">
            <v>Closed</v>
          </cell>
          <cell r="D637" t="str">
            <v>4 - Low</v>
          </cell>
        </row>
        <row r="638">
          <cell r="A638" t="str">
            <v>RF4696268</v>
          </cell>
          <cell r="B638" t="str">
            <v>Closed</v>
          </cell>
          <cell r="D638" t="str">
            <v>4 - Low</v>
          </cell>
        </row>
        <row r="639">
          <cell r="A639" t="str">
            <v>RF4712884</v>
          </cell>
          <cell r="B639" t="str">
            <v>Closed</v>
          </cell>
          <cell r="D639" t="str">
            <v>4 - Low</v>
          </cell>
        </row>
        <row r="640">
          <cell r="A640" t="str">
            <v>RF4723416</v>
          </cell>
          <cell r="B640" t="str">
            <v>Closed</v>
          </cell>
          <cell r="D640" t="str">
            <v>4 - Low</v>
          </cell>
        </row>
        <row r="641">
          <cell r="A641" t="str">
            <v>RF4933123</v>
          </cell>
          <cell r="B641" t="str">
            <v>Closed</v>
          </cell>
          <cell r="D641" t="str">
            <v>4 - Low</v>
          </cell>
        </row>
        <row r="642">
          <cell r="A642" t="str">
            <v>RF5223683</v>
          </cell>
          <cell r="B642" t="str">
            <v>Closed</v>
          </cell>
          <cell r="D642" t="str">
            <v>4 - Low</v>
          </cell>
        </row>
        <row r="643">
          <cell r="A643" t="str">
            <v>RF5259075</v>
          </cell>
          <cell r="B643" t="str">
            <v>Closed</v>
          </cell>
          <cell r="D643" t="str">
            <v>4 - Low</v>
          </cell>
        </row>
        <row r="644">
          <cell r="A644" t="str">
            <v>RF5291306</v>
          </cell>
          <cell r="B644" t="str">
            <v>Closed</v>
          </cell>
          <cell r="D644" t="str">
            <v>4 - Low</v>
          </cell>
        </row>
        <row r="645">
          <cell r="A645" t="str">
            <v>RF5396393</v>
          </cell>
          <cell r="B645" t="str">
            <v>Closed</v>
          </cell>
          <cell r="D645" t="str">
            <v>4 - Low</v>
          </cell>
        </row>
        <row r="646">
          <cell r="A646" t="str">
            <v>RF5523463</v>
          </cell>
          <cell r="B646" t="str">
            <v>Closed</v>
          </cell>
          <cell r="D646" t="str">
            <v>4 - Low</v>
          </cell>
        </row>
        <row r="647">
          <cell r="A647" t="str">
            <v>RF5533239</v>
          </cell>
          <cell r="B647" t="str">
            <v>Closed</v>
          </cell>
          <cell r="D647" t="str">
            <v>4 - Low</v>
          </cell>
        </row>
        <row r="648">
          <cell r="A648" t="str">
            <v>RF5558654</v>
          </cell>
          <cell r="B648" t="str">
            <v>Closed</v>
          </cell>
          <cell r="D648" t="str">
            <v>4 - Low</v>
          </cell>
        </row>
        <row r="649">
          <cell r="A649" t="str">
            <v>RF5604171</v>
          </cell>
          <cell r="B649" t="str">
            <v>Work in progress</v>
          </cell>
          <cell r="D649" t="str">
            <v>4 - Low</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7755C-F6FA-4746-B474-D52C7DBCDEAD}" name="Incidents" displayName="Incidents" ref="A1:O804" totalsRowShown="0">
  <autoFilter ref="A1:O804" xr:uid="{3567755C-F6FA-4746-B474-D52C7DBCDEAD}"/>
  <tableColumns count="15">
    <tableColumn id="1" xr3:uid="{4F53987B-DE78-45E2-ABFD-FE67F7317317}" name="Ticket ID" dataDxfId="50" totalsRowDxfId="49"/>
    <tableColumn id="2" xr3:uid="{FE5FBED1-B5A6-48FC-B9C2-276E086B432A}" name="Opened On" dataDxfId="48" totalsRowDxfId="47"/>
    <tableColumn id="3" xr3:uid="{5D2908C9-8DE6-4C6C-AC1A-2C9C016BBC53}" name="Closed On" dataDxfId="46" totalsRowDxfId="45"/>
    <tableColumn id="4" xr3:uid="{698E2347-FA6D-4498-B53C-8EC7BF430249}" name="Status"/>
    <tableColumn id="6" xr3:uid="{BD0295DF-4A51-41A6-9194-AB4E43EA5BD7}" name="Assignee"/>
    <tableColumn id="10" xr3:uid="{3D059AA8-0B38-4E30-AF11-4AADD31E9E9E}" name="Age (days)" dataDxfId="44" totalsRowDxfId="43">
      <calculatedColumnFormula>IF(ISBLANK(C2), NETWORKDAYS(B2,TODAY()), NETWORKDAYS(B2,C2))</calculatedColumnFormula>
    </tableColumn>
    <tableColumn id="8" xr3:uid="{6590B4F1-DFB2-47A4-AFF7-AA5E5973A111}" name="Application Affected" dataDxfId="42" totalsRowDxfId="41"/>
    <tableColumn id="12" xr3:uid="{B3C529A1-5BC3-48ED-8BEF-7ED40D200A67}" name="Brief Description" dataDxfId="40" totalsRowDxfId="39"/>
    <tableColumn id="7" xr3:uid="{BBD3F2B3-430A-49F0-99FB-44F08CA47D40}" name="Category"/>
    <tableColumn id="5" xr3:uid="{520807CF-06B6-4513-97DA-2B01845546A4}" name="Subcategory" dataDxfId="38" totalsRowDxfId="37"/>
    <tableColumn id="11" xr3:uid="{0C8F2661-273A-4981-A16D-83A1D5154436}" name="Reporter" dataDxfId="36"/>
    <tableColumn id="9" xr3:uid="{5C9E9713-6CC5-4E5F-9907-F766A2CBF801}" name="Reported By"/>
    <tableColumn id="13" xr3:uid="{E3CC4A87-A0A7-428E-8430-B80D697CBB03}" name="Priority" dataDxfId="35">
      <calculatedColumnFormula>VLOOKUP(Incidents[[#This Row],[Ticket ID]],[1]Incidents!$A$2:$D$792,4,FALSE)</calculatedColumnFormula>
    </tableColumn>
    <tableColumn id="15" xr3:uid="{DE26080B-0869-40C2-858D-E2D2C992D0F0}" name="SLA Threshold" dataDxfId="34">
      <calculatedColumnFormula>VLOOKUP(Incidents[[#This Row],[Priority]],'SLA Config'!$B$3:$C$6,2,FALSE)</calculatedColumnFormula>
    </tableColumn>
    <tableColumn id="14" xr3:uid="{C3F7FB00-5C71-4DA4-BFF1-D477A02CA905}" name="SLAs Met?" dataDxfId="33">
      <calculatedColumnFormula>IF(Incidents[[#This Row],[Age (days)]]&gt;Incidents[[#This Row],[SLA Threshold]],"NO","Yes")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08DD96-11C3-4DE1-AA83-8A055D1FCE43}" name="Requests" displayName="Requests" ref="A1:O664" totalsRowShown="0">
  <autoFilter ref="A1:O664" xr:uid="{FD08DD96-11C3-4DE1-AA83-8A055D1FCE43}">
    <filterColumn colId="4">
      <filters>
        <filter val="GUNDAP04"/>
      </filters>
    </filterColumn>
  </autoFilter>
  <tableColumns count="15">
    <tableColumn id="1" xr3:uid="{FFEBE560-49A3-4F50-AB96-F273EFB0F751}" name="Ticket ID" totalsRowDxfId="32"/>
    <tableColumn id="2" xr3:uid="{F8F6584C-E9F7-4918-8219-5647A63A821E}" name="Opened On" dataDxfId="31" totalsRowDxfId="30"/>
    <tableColumn id="4" xr3:uid="{7D692CE2-6B6A-4807-9AF4-CAAC512F3EC8}" name="Closed On" dataDxfId="29" totalsRowDxfId="28"/>
    <tableColumn id="6" xr3:uid="{7C8BAEA6-2E3D-4879-983A-44271C9F9435}" name="Status" totalsRowDxfId="27"/>
    <tableColumn id="3" xr3:uid="{DFEF994A-A9F8-4076-9ADF-5645F1DBF67E}" name="Assignee" totalsRowDxfId="26"/>
    <tableColumn id="10" xr3:uid="{C9BD14A2-CC97-4972-A3CB-A878BDE7F93C}" name="Age (days)">
      <calculatedColumnFormula>IF(ISBLANK(C2), NETWORKDAYS(B2,TODAY()), NETWORKDAYS(B2,C2))</calculatedColumnFormula>
    </tableColumn>
    <tableColumn id="7" xr3:uid="{E62C1701-8DFA-495C-9E9D-2ECD5AC2F8A7}" name="Application Affected" dataDxfId="25" totalsRowDxfId="24"/>
    <tableColumn id="12" xr3:uid="{0155F716-4385-40B6-B6B5-B3E317F6E903}" name="Brief Description" dataDxfId="23" totalsRowDxfId="22"/>
    <tableColumn id="8" xr3:uid="{B66D22A9-A8FD-4E97-8788-BA619C5B37AC}" name="Category" totalsRowDxfId="21"/>
    <tableColumn id="5" xr3:uid="{066A5D4E-CD27-483D-917D-61E6A6F7F281}" name="Subcategory" totalsRowDxfId="20"/>
    <tableColumn id="11" xr3:uid="{4FDD58EA-E39D-4DE0-ABB3-DBDBBF2FF4FF}" name="Reporter" totalsRowDxfId="19"/>
    <tableColumn id="9" xr3:uid="{F76B1F67-518E-41B3-A44A-B27D14BDC642}" name="Requested By" totalsRowDxfId="18"/>
    <tableColumn id="13" xr3:uid="{C46D68F5-0B1D-4B7E-8099-84B59B66033B}" name="Priority" dataDxfId="17" totalsRowDxfId="16">
      <calculatedColumnFormula>VLOOKUP(Requests[[#This Row],[Ticket ID]],[2]Requests!$A$2:$D$649,4,FALSE)</calculatedColumnFormula>
    </tableColumn>
    <tableColumn id="14" xr3:uid="{2E380084-83F7-4761-A3F5-5210AA11CEAB}" name="SLA Threshold" dataDxfId="15" totalsRowDxfId="14">
      <calculatedColumnFormula>VLOOKUP(Requests[[#This Row],[Priority]],'SLA Config'!$B$3:$C$6,2,FALSE)</calculatedColumnFormula>
    </tableColumn>
    <tableColumn id="15" xr3:uid="{F1A09107-DF73-4B5A-BC8E-44538A9A1331}" name="SLAs Met?" dataDxfId="13" totalsRowDxfId="12">
      <calculatedColumnFormula>IF(Requests[[#This Row],[Age (days)]]&gt;Requests[[#This Row],[SLA Threshold]],"Yes","No")</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12D25C-946E-4981-9D59-3F9CD6CB7D26}" name="Problems" displayName="Problems" ref="A1:K46" totalsRowShown="0" dataDxfId="11">
  <autoFilter ref="A1:K46" xr:uid="{FD08DD96-11C3-4DE1-AA83-8A055D1FCE43}"/>
  <tableColumns count="11">
    <tableColumn id="1" xr3:uid="{B654F582-438A-4C58-873F-FC16E56C1DFC}" name="Ticket ID" dataDxfId="10"/>
    <tableColumn id="2" xr3:uid="{DF0E1E64-9031-4AFF-AD9F-C363EE1AE9D8}" name="Opened On" dataDxfId="9"/>
    <tableColumn id="4" xr3:uid="{CBE631DF-5845-45E4-838B-D253E5C1E514}" name="Closed On" dataDxfId="8"/>
    <tableColumn id="6" xr3:uid="{D1560679-CEE9-46BA-8045-D24D29079E0C}" name="Phase" dataDxfId="7"/>
    <tableColumn id="3" xr3:uid="{0A5BA181-841D-40B5-876E-E42AC5758A0F}" name="Assignee" dataDxfId="6"/>
    <tableColumn id="10" xr3:uid="{E7BF0BFA-87A1-44DB-B5CA-35E9C047578B}" name="Age (days)" dataDxfId="5">
      <calculatedColumnFormula>IF(ISBLANK(C2), TODAY() - B2, C2-B2)</calculatedColumnFormula>
    </tableColumn>
    <tableColumn id="11" xr3:uid="{A2770965-F2DF-4215-93B0-4C1FB21CB0C7}" name="Description" dataDxfId="4"/>
    <tableColumn id="7" xr3:uid="{890DF5CB-25B3-480D-BAE3-6C3B9B0D3E35}" name="Related Tickets" dataDxfId="3"/>
    <tableColumn id="8" xr3:uid="{8DCCEDBA-0709-4660-8E45-B72D6F37F6E1}" name="Category" dataDxfId="2"/>
    <tableColumn id="5" xr3:uid="{B75B5734-5793-413A-B556-426C37B0E935}" name="Subcategory" dataDxfId="1"/>
    <tableColumn id="9" xr3:uid="{C30B9581-C8F0-43C5-84AF-74658FD9A393}" name="Requested By" dataDxfId="0"/>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6BB2-DC54-43FD-8F87-5CB5357C3386}">
  <sheetPr codeName="Sheet1"/>
  <dimension ref="B1:D12"/>
  <sheetViews>
    <sheetView showGridLines="0" workbookViewId="0">
      <selection activeCell="J16" sqref="J16"/>
    </sheetView>
  </sheetViews>
  <sheetFormatPr defaultRowHeight="15" x14ac:dyDescent="0.25"/>
  <cols>
    <col min="1" max="1" width="5" customWidth="1"/>
    <col min="3" max="3" width="7.85546875" customWidth="1"/>
    <col min="4" max="4" width="10.28515625" bestFit="1" customWidth="1"/>
  </cols>
  <sheetData>
    <row r="1" spans="2:4" ht="22.15" customHeight="1" x14ac:dyDescent="0.25"/>
    <row r="7" spans="2:4" ht="22.5" x14ac:dyDescent="0.4">
      <c r="B7" s="3" t="s">
        <v>0</v>
      </c>
    </row>
    <row r="8" spans="2:4" ht="18" x14ac:dyDescent="0.35">
      <c r="B8" s="4" t="s">
        <v>1</v>
      </c>
    </row>
    <row r="10" spans="2:4" ht="15.75" x14ac:dyDescent="0.3">
      <c r="B10" s="5" t="s">
        <v>2</v>
      </c>
      <c r="C10" s="5"/>
      <c r="D10" s="12" t="s">
        <v>3</v>
      </c>
    </row>
    <row r="11" spans="2:4" ht="15.75" x14ac:dyDescent="0.3">
      <c r="B11" s="5" t="s">
        <v>4</v>
      </c>
      <c r="D11" s="12" t="s">
        <v>5</v>
      </c>
    </row>
    <row r="12" spans="2:4" ht="15.75" x14ac:dyDescent="0.3">
      <c r="B12" s="5" t="s">
        <v>6</v>
      </c>
      <c r="D12" s="13" t="s">
        <v>7</v>
      </c>
    </row>
  </sheetData>
  <pageMargins left="0.7" right="0.7" top="0.75" bottom="0.75" header="0.3" footer="0.3"/>
  <pageSetup paperSize="9" orientation="portrait" horizontalDpi="90" verticalDpi="9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76B81-8122-42E6-A436-942535061857}">
  <dimension ref="B2:C6"/>
  <sheetViews>
    <sheetView workbookViewId="0">
      <selection activeCell="C3" sqref="C3"/>
    </sheetView>
  </sheetViews>
  <sheetFormatPr defaultRowHeight="15" x14ac:dyDescent="0.25"/>
  <sheetData>
    <row r="2" spans="2:3" x14ac:dyDescent="0.25">
      <c r="B2" t="s">
        <v>8</v>
      </c>
      <c r="C2" t="s">
        <v>9</v>
      </c>
    </row>
    <row r="3" spans="2:3" x14ac:dyDescent="0.25">
      <c r="B3" t="s">
        <v>10</v>
      </c>
      <c r="C3">
        <v>3</v>
      </c>
    </row>
    <row r="4" spans="2:3" x14ac:dyDescent="0.25">
      <c r="B4" t="s">
        <v>11</v>
      </c>
      <c r="C4">
        <v>5</v>
      </c>
    </row>
    <row r="5" spans="2:3" x14ac:dyDescent="0.25">
      <c r="B5" t="s">
        <v>12</v>
      </c>
      <c r="C5">
        <v>15</v>
      </c>
    </row>
    <row r="6" spans="2:3" x14ac:dyDescent="0.25">
      <c r="B6" t="s">
        <v>13</v>
      </c>
      <c r="C6">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9FC4D-597B-4B6E-8286-53383E1B38DA}">
  <sheetPr codeName="Sheet2"/>
  <dimension ref="A1:O804"/>
  <sheetViews>
    <sheetView showGridLines="0" topLeftCell="G1" zoomScale="96" zoomScaleNormal="96" workbookViewId="0">
      <selection activeCell="P1" sqref="P1:P1048576"/>
    </sheetView>
  </sheetViews>
  <sheetFormatPr defaultRowHeight="15" customHeight="1" x14ac:dyDescent="0.25"/>
  <cols>
    <col min="1" max="1" width="27.28515625" style="2" customWidth="1"/>
    <col min="2" max="2" width="12.7109375" style="1" bestFit="1" customWidth="1"/>
    <col min="3" max="3" width="27" style="1" customWidth="1"/>
    <col min="4" max="4" width="16.42578125" customWidth="1"/>
    <col min="5" max="5" width="11.85546875" customWidth="1"/>
    <col min="6" max="6" width="21.42578125" style="48" customWidth="1"/>
    <col min="7" max="7" width="21.28515625" customWidth="1"/>
    <col min="8" max="8" width="84.7109375" style="11" customWidth="1"/>
    <col min="9" max="9" width="15.5703125" bestFit="1" customWidth="1"/>
    <col min="10" max="10" width="16.28515625" bestFit="1" customWidth="1"/>
    <col min="11" max="11" width="38.7109375" bestFit="1" customWidth="1"/>
    <col min="12" max="12" width="13.7109375" bestFit="1" customWidth="1"/>
    <col min="13" max="13" width="12" customWidth="1"/>
    <col min="14" max="14" width="20.42578125" customWidth="1"/>
    <col min="15" max="15" width="20.85546875" customWidth="1"/>
  </cols>
  <sheetData>
    <row r="1" spans="1:15" x14ac:dyDescent="0.25">
      <c r="A1" s="2" t="s">
        <v>14</v>
      </c>
      <c r="B1" t="s">
        <v>15</v>
      </c>
      <c r="C1" s="1" t="s">
        <v>16</v>
      </c>
      <c r="D1" t="s">
        <v>17</v>
      </c>
      <c r="E1" t="s">
        <v>18</v>
      </c>
      <c r="F1" s="48" t="s">
        <v>19</v>
      </c>
      <c r="G1" t="s">
        <v>20</v>
      </c>
      <c r="H1" s="11" t="s">
        <v>21</v>
      </c>
      <c r="I1" t="s">
        <v>22</v>
      </c>
      <c r="J1" t="s">
        <v>23</v>
      </c>
      <c r="K1" t="s">
        <v>24</v>
      </c>
      <c r="L1" t="s">
        <v>25</v>
      </c>
      <c r="M1" t="s">
        <v>8</v>
      </c>
      <c r="N1" t="s">
        <v>26</v>
      </c>
      <c r="O1" t="s">
        <v>27</v>
      </c>
    </row>
    <row r="2" spans="1:15" x14ac:dyDescent="0.25">
      <c r="A2" s="19" t="s">
        <v>28</v>
      </c>
      <c r="B2" s="8">
        <v>45588</v>
      </c>
      <c r="C2" s="8">
        <v>45598</v>
      </c>
      <c r="D2" t="s">
        <v>29</v>
      </c>
      <c r="E2" t="s">
        <v>30</v>
      </c>
      <c r="F2" s="49">
        <f t="shared" ref="F2:F65" ca="1" si="0">IF(ISBLANK(C2), NETWORKDAYS(B2,TODAY()), NETWORKDAYS(B2,C2))</f>
        <v>8</v>
      </c>
      <c r="G2" s="16" t="s">
        <v>31</v>
      </c>
      <c r="H2" t="s">
        <v>32</v>
      </c>
      <c r="I2" t="s">
        <v>33</v>
      </c>
      <c r="J2" s="14" t="s">
        <v>34</v>
      </c>
      <c r="K2" t="s">
        <v>35</v>
      </c>
      <c r="L2" t="s">
        <v>36</v>
      </c>
      <c r="M2" t="str">
        <f>VLOOKUP(Incidents[[#This Row],[Ticket ID]],[1]Incidents!$A$2:$D$792,4,FALSE)</f>
        <v>4 - Low</v>
      </c>
      <c r="N2">
        <f>VLOOKUP(Incidents[[#This Row],[Priority]],'SLA Config'!$B$3:$C$6,2,FALSE)</f>
        <v>25</v>
      </c>
      <c r="O2" t="str">
        <f ca="1">IF(Incidents[[#This Row],[Age (days)]]&gt;Incidents[[#This Row],[SLA Threshold]],"NO","Yes")</f>
        <v>Yes</v>
      </c>
    </row>
    <row r="3" spans="1:15" x14ac:dyDescent="0.25">
      <c r="A3" s="19" t="s">
        <v>37</v>
      </c>
      <c r="B3" s="8">
        <v>45590</v>
      </c>
      <c r="C3" s="8">
        <v>45598</v>
      </c>
      <c r="D3" t="s">
        <v>29</v>
      </c>
      <c r="E3" s="17" t="s">
        <v>38</v>
      </c>
      <c r="F3" s="49">
        <f t="shared" ca="1" si="0"/>
        <v>6</v>
      </c>
      <c r="G3" s="16" t="s">
        <v>31</v>
      </c>
      <c r="H3" s="11" t="s">
        <v>39</v>
      </c>
      <c r="I3" t="s">
        <v>33</v>
      </c>
      <c r="J3" s="14" t="s">
        <v>40</v>
      </c>
      <c r="K3" s="17" t="s">
        <v>41</v>
      </c>
      <c r="L3" t="s">
        <v>36</v>
      </c>
      <c r="M3" t="str">
        <f>VLOOKUP(Incidents[[#This Row],[Ticket ID]],[1]Incidents!$A$2:$D$792,4,FALSE)</f>
        <v>4 - Low</v>
      </c>
      <c r="N3">
        <f>VLOOKUP(Incidents[[#This Row],[Priority]],'SLA Config'!$B$3:$C$6,2,FALSE)</f>
        <v>25</v>
      </c>
      <c r="O3" t="str">
        <f ca="1">IF(Incidents[[#This Row],[Age (days)]]&gt;Incidents[[#This Row],[SLA Threshold]],"NO","Yes")</f>
        <v>Yes</v>
      </c>
    </row>
    <row r="4" spans="1:15" x14ac:dyDescent="0.25">
      <c r="A4" s="2" t="s">
        <v>42</v>
      </c>
      <c r="B4" s="1">
        <v>45566</v>
      </c>
      <c r="C4" s="8">
        <v>45572</v>
      </c>
      <c r="D4" t="s">
        <v>29</v>
      </c>
      <c r="E4" t="s">
        <v>38</v>
      </c>
      <c r="F4" s="49">
        <f t="shared" ca="1" si="0"/>
        <v>5</v>
      </c>
      <c r="G4" t="s">
        <v>31</v>
      </c>
      <c r="H4" t="s">
        <v>43</v>
      </c>
      <c r="I4" t="s">
        <v>33</v>
      </c>
      <c r="J4" s="14" t="s">
        <v>34</v>
      </c>
      <c r="K4" t="s">
        <v>44</v>
      </c>
      <c r="L4" t="s">
        <v>36</v>
      </c>
      <c r="M4" t="str">
        <f>VLOOKUP(Incidents[[#This Row],[Ticket ID]],[1]Incidents!$A$2:$D$792,4,FALSE)</f>
        <v>2 - High</v>
      </c>
      <c r="N4">
        <f>VLOOKUP(Incidents[[#This Row],[Priority]],'SLA Config'!$B$3:$C$6,2,FALSE)</f>
        <v>5</v>
      </c>
      <c r="O4" t="str">
        <f ca="1">IF(Incidents[[#This Row],[Age (days)]]&gt;Incidents[[#This Row],[SLA Threshold]],"NO","Yes")</f>
        <v>Yes</v>
      </c>
    </row>
    <row r="5" spans="1:15" x14ac:dyDescent="0.25">
      <c r="A5" s="19" t="s">
        <v>45</v>
      </c>
      <c r="B5" s="8">
        <v>45572</v>
      </c>
      <c r="C5" s="8">
        <v>45577</v>
      </c>
      <c r="D5" t="s">
        <v>29</v>
      </c>
      <c r="E5" s="17" t="s">
        <v>46</v>
      </c>
      <c r="F5" s="49">
        <f t="shared" ca="1" si="0"/>
        <v>5</v>
      </c>
      <c r="G5" s="16" t="s">
        <v>31</v>
      </c>
      <c r="H5" s="11" t="s">
        <v>47</v>
      </c>
      <c r="I5" t="s">
        <v>33</v>
      </c>
      <c r="J5" s="14" t="s">
        <v>34</v>
      </c>
      <c r="K5" s="17" t="s">
        <v>44</v>
      </c>
      <c r="L5" t="s">
        <v>36</v>
      </c>
      <c r="M5" t="str">
        <f>VLOOKUP(Incidents[[#This Row],[Ticket ID]],[1]Incidents!$A$2:$D$792,4,FALSE)</f>
        <v>2 - High</v>
      </c>
      <c r="N5">
        <f>VLOOKUP(Incidents[[#This Row],[Priority]],'SLA Config'!$B$3:$C$6,2,FALSE)</f>
        <v>5</v>
      </c>
      <c r="O5" t="str">
        <f ca="1">IF(Incidents[[#This Row],[Age (days)]]&gt;Incidents[[#This Row],[SLA Threshold]],"NO","Yes")</f>
        <v>Yes</v>
      </c>
    </row>
    <row r="6" spans="1:15" x14ac:dyDescent="0.25">
      <c r="A6" s="2" t="s">
        <v>48</v>
      </c>
      <c r="B6" s="1">
        <v>45566</v>
      </c>
      <c r="C6" s="8">
        <v>45571</v>
      </c>
      <c r="D6" t="s">
        <v>29</v>
      </c>
      <c r="E6" t="s">
        <v>38</v>
      </c>
      <c r="F6" s="49">
        <f t="shared" ca="1" si="0"/>
        <v>4</v>
      </c>
      <c r="G6" t="s">
        <v>31</v>
      </c>
      <c r="H6" t="s">
        <v>49</v>
      </c>
      <c r="I6" t="s">
        <v>33</v>
      </c>
      <c r="J6" s="14" t="s">
        <v>34</v>
      </c>
      <c r="K6" t="s">
        <v>44</v>
      </c>
      <c r="L6" t="s">
        <v>36</v>
      </c>
      <c r="M6" t="str">
        <f>VLOOKUP(Incidents[[#This Row],[Ticket ID]],[1]Incidents!$A$2:$D$792,4,FALSE)</f>
        <v>3 - Medium</v>
      </c>
      <c r="N6">
        <f>VLOOKUP(Incidents[[#This Row],[Priority]],'SLA Config'!$B$3:$C$6,2,FALSE)</f>
        <v>15</v>
      </c>
      <c r="O6" t="str">
        <f ca="1">IF(Incidents[[#This Row],[Age (days)]]&gt;Incidents[[#This Row],[SLA Threshold]],"NO","Yes")</f>
        <v>Yes</v>
      </c>
    </row>
    <row r="7" spans="1:15" x14ac:dyDescent="0.25">
      <c r="A7" s="2" t="s">
        <v>50</v>
      </c>
      <c r="B7" s="1">
        <v>45566</v>
      </c>
      <c r="C7" s="8">
        <v>45571</v>
      </c>
      <c r="D7" t="s">
        <v>29</v>
      </c>
      <c r="E7" t="s">
        <v>46</v>
      </c>
      <c r="F7" s="49">
        <f t="shared" ca="1" si="0"/>
        <v>4</v>
      </c>
      <c r="G7" t="s">
        <v>51</v>
      </c>
      <c r="H7" t="s">
        <v>52</v>
      </c>
      <c r="I7" t="s">
        <v>33</v>
      </c>
      <c r="J7" s="14" t="s">
        <v>34</v>
      </c>
      <c r="K7" t="s">
        <v>44</v>
      </c>
      <c r="L7" t="s">
        <v>36</v>
      </c>
      <c r="M7" t="str">
        <f>VLOOKUP(Incidents[[#This Row],[Ticket ID]],[1]Incidents!$A$2:$D$792,4,FALSE)</f>
        <v>2 - High</v>
      </c>
      <c r="N7">
        <f>VLOOKUP(Incidents[[#This Row],[Priority]],'SLA Config'!$B$3:$C$6,2,FALSE)</f>
        <v>5</v>
      </c>
      <c r="O7" t="str">
        <f ca="1">IF(Incidents[[#This Row],[Age (days)]]&gt;Incidents[[#This Row],[SLA Threshold]],"NO","Yes")</f>
        <v>Yes</v>
      </c>
    </row>
    <row r="8" spans="1:15" x14ac:dyDescent="0.25">
      <c r="A8" t="s">
        <v>53</v>
      </c>
      <c r="B8" s="1">
        <v>44729</v>
      </c>
      <c r="C8" s="1">
        <v>44758</v>
      </c>
      <c r="D8" t="s">
        <v>29</v>
      </c>
      <c r="E8" t="s">
        <v>54</v>
      </c>
      <c r="F8" s="49">
        <f t="shared" ca="1" si="0"/>
        <v>21</v>
      </c>
      <c r="G8" s="16" t="s">
        <v>31</v>
      </c>
      <c r="H8" s="11" t="s">
        <v>55</v>
      </c>
      <c r="I8" t="s">
        <v>33</v>
      </c>
      <c r="J8" s="14" t="s">
        <v>34</v>
      </c>
      <c r="K8" t="s">
        <v>56</v>
      </c>
      <c r="L8" t="s">
        <v>36</v>
      </c>
      <c r="M8" t="str">
        <f>VLOOKUP(Incidents[[#This Row],[Ticket ID]],[1]Incidents!$A$2:$D$792,4,FALSE)</f>
        <v>3 - Medium</v>
      </c>
      <c r="N8">
        <f>VLOOKUP(Incidents[[#This Row],[Priority]],'SLA Config'!$B$3:$C$6,2,FALSE)</f>
        <v>15</v>
      </c>
      <c r="O8" t="str">
        <f ca="1">IF(Incidents[[#This Row],[Age (days)]]&gt;Incidents[[#This Row],[SLA Threshold]],"NO","Yes")</f>
        <v>NO</v>
      </c>
    </row>
    <row r="9" spans="1:15" x14ac:dyDescent="0.25">
      <c r="A9" s="19" t="s">
        <v>57</v>
      </c>
      <c r="B9" s="8">
        <v>45482</v>
      </c>
      <c r="C9" s="8">
        <v>45507</v>
      </c>
      <c r="D9" t="s">
        <v>29</v>
      </c>
      <c r="E9" s="17" t="s">
        <v>30</v>
      </c>
      <c r="F9" s="49">
        <f t="shared" ca="1" si="0"/>
        <v>19</v>
      </c>
      <c r="G9" s="16" t="s">
        <v>31</v>
      </c>
      <c r="H9" s="11" t="s">
        <v>58</v>
      </c>
      <c r="I9" t="s">
        <v>33</v>
      </c>
      <c r="J9" s="14" t="s">
        <v>40</v>
      </c>
      <c r="K9" s="27" t="s">
        <v>44</v>
      </c>
      <c r="L9" t="s">
        <v>36</v>
      </c>
      <c r="M9" t="str">
        <f>VLOOKUP(Incidents[[#This Row],[Ticket ID]],[1]Incidents!$A$2:$D$792,4,FALSE)</f>
        <v>3 - Medium</v>
      </c>
      <c r="N9">
        <f>VLOOKUP(Incidents[[#This Row],[Priority]],'SLA Config'!$B$3:$C$6,2,FALSE)</f>
        <v>15</v>
      </c>
      <c r="O9" t="str">
        <f ca="1">IF(Incidents[[#This Row],[Age (days)]]&gt;Incidents[[#This Row],[SLA Threshold]],"NO","Yes")</f>
        <v>NO</v>
      </c>
    </row>
    <row r="10" spans="1:15" x14ac:dyDescent="0.25">
      <c r="A10" t="s">
        <v>59</v>
      </c>
      <c r="B10" s="1">
        <v>44732</v>
      </c>
      <c r="C10" s="1">
        <v>44754</v>
      </c>
      <c r="D10" t="s">
        <v>29</v>
      </c>
      <c r="E10" t="s">
        <v>38</v>
      </c>
      <c r="F10" s="49">
        <f t="shared" ca="1" si="0"/>
        <v>17</v>
      </c>
      <c r="G10" s="16" t="s">
        <v>51</v>
      </c>
      <c r="H10" s="11" t="s">
        <v>60</v>
      </c>
      <c r="I10" t="s">
        <v>33</v>
      </c>
      <c r="J10" s="14" t="s">
        <v>61</v>
      </c>
      <c r="K10" t="s">
        <v>41</v>
      </c>
      <c r="L10" t="s">
        <v>36</v>
      </c>
      <c r="M10" t="str">
        <f>VLOOKUP(Incidents[[#This Row],[Ticket ID]],[1]Incidents!$A$2:$D$792,4,FALSE)</f>
        <v>4 - Low</v>
      </c>
      <c r="N10">
        <f>VLOOKUP(Incidents[[#This Row],[Priority]],'SLA Config'!$B$3:$C$6,2,FALSE)</f>
        <v>25</v>
      </c>
      <c r="O10" t="str">
        <f ca="1">IF(Incidents[[#This Row],[Age (days)]]&gt;Incidents[[#This Row],[SLA Threshold]],"NO","Yes")</f>
        <v>Yes</v>
      </c>
    </row>
    <row r="11" spans="1:15" ht="30" x14ac:dyDescent="0.25">
      <c r="A11" t="s">
        <v>62</v>
      </c>
      <c r="B11" s="1">
        <v>44893</v>
      </c>
      <c r="C11" s="1">
        <v>44913</v>
      </c>
      <c r="D11" t="s">
        <v>29</v>
      </c>
      <c r="E11" t="s">
        <v>54</v>
      </c>
      <c r="F11" s="49">
        <f t="shared" ca="1" si="0"/>
        <v>15</v>
      </c>
      <c r="G11" s="16" t="s">
        <v>31</v>
      </c>
      <c r="H11" s="11" t="s">
        <v>63</v>
      </c>
      <c r="I11" t="s">
        <v>33</v>
      </c>
      <c r="J11" s="14" t="s">
        <v>64</v>
      </c>
      <c r="K11" t="s">
        <v>44</v>
      </c>
      <c r="L11" t="s">
        <v>36</v>
      </c>
      <c r="M11" t="str">
        <f>VLOOKUP(Incidents[[#This Row],[Ticket ID]],[1]Incidents!$A$2:$D$792,4,FALSE)</f>
        <v>4 - Low</v>
      </c>
      <c r="N11">
        <f>VLOOKUP(Incidents[[#This Row],[Priority]],'SLA Config'!$B$3:$C$6,2,FALSE)</f>
        <v>25</v>
      </c>
      <c r="O11" t="str">
        <f ca="1">IF(Incidents[[#This Row],[Age (days)]]&gt;Incidents[[#This Row],[SLA Threshold]],"NO","Yes")</f>
        <v>Yes</v>
      </c>
    </row>
    <row r="12" spans="1:15" x14ac:dyDescent="0.25">
      <c r="A12" s="2" t="s">
        <v>65</v>
      </c>
      <c r="B12" s="1">
        <v>45232</v>
      </c>
      <c r="C12" s="8">
        <v>45249</v>
      </c>
      <c r="D12" t="s">
        <v>29</v>
      </c>
      <c r="E12" s="17" t="s">
        <v>38</v>
      </c>
      <c r="F12" s="49">
        <f t="shared" ca="1" si="0"/>
        <v>12</v>
      </c>
      <c r="G12" s="16" t="s">
        <v>31</v>
      </c>
      <c r="H12" s="11" t="s">
        <v>66</v>
      </c>
      <c r="I12" t="s">
        <v>33</v>
      </c>
      <c r="J12" s="14" t="s">
        <v>64</v>
      </c>
      <c r="K12" t="s">
        <v>41</v>
      </c>
      <c r="L12" t="s">
        <v>36</v>
      </c>
      <c r="M12" t="str">
        <f>VLOOKUP(Incidents[[#This Row],[Ticket ID]],[1]Incidents!$A$2:$D$792,4,FALSE)</f>
        <v>2 - High</v>
      </c>
      <c r="N12">
        <f>VLOOKUP(Incidents[[#This Row],[Priority]],'SLA Config'!$B$3:$C$6,2,FALSE)</f>
        <v>5</v>
      </c>
      <c r="O12" t="str">
        <f ca="1">IF(Incidents[[#This Row],[Age (days)]]&gt;Incidents[[#This Row],[SLA Threshold]],"NO","Yes")</f>
        <v>NO</v>
      </c>
    </row>
    <row r="13" spans="1:15" x14ac:dyDescent="0.25">
      <c r="A13" s="19" t="s">
        <v>67</v>
      </c>
      <c r="B13" s="8">
        <v>45442</v>
      </c>
      <c r="C13" s="8">
        <v>45459</v>
      </c>
      <c r="D13" t="s">
        <v>29</v>
      </c>
      <c r="E13" s="17" t="s">
        <v>30</v>
      </c>
      <c r="F13" s="49">
        <f t="shared" ca="1" si="0"/>
        <v>12</v>
      </c>
      <c r="G13" s="16" t="s">
        <v>31</v>
      </c>
      <c r="H13" s="11" t="s">
        <v>68</v>
      </c>
      <c r="I13" t="s">
        <v>33</v>
      </c>
      <c r="J13" s="14" t="s">
        <v>69</v>
      </c>
      <c r="K13" s="27" t="s">
        <v>70</v>
      </c>
      <c r="L13" t="s">
        <v>71</v>
      </c>
      <c r="M13" t="str">
        <f>VLOOKUP(Incidents[[#This Row],[Ticket ID]],[1]Incidents!$A$2:$D$792,4,FALSE)</f>
        <v>4 - Low</v>
      </c>
      <c r="N13">
        <f>VLOOKUP(Incidents[[#This Row],[Priority]],'SLA Config'!$B$3:$C$6,2,FALSE)</f>
        <v>25</v>
      </c>
      <c r="O13" t="str">
        <f ca="1">IF(Incidents[[#This Row],[Age (days)]]&gt;Incidents[[#This Row],[SLA Threshold]],"NO","Yes")</f>
        <v>Yes</v>
      </c>
    </row>
    <row r="14" spans="1:15" x14ac:dyDescent="0.25">
      <c r="A14" s="2" t="s">
        <v>72</v>
      </c>
      <c r="B14" s="1">
        <v>45191</v>
      </c>
      <c r="C14" s="8">
        <v>45206</v>
      </c>
      <c r="D14" t="s">
        <v>29</v>
      </c>
      <c r="E14" t="s">
        <v>38</v>
      </c>
      <c r="F14" s="49">
        <f t="shared" ca="1" si="0"/>
        <v>11</v>
      </c>
      <c r="G14" s="16" t="s">
        <v>51</v>
      </c>
      <c r="H14" s="11" t="s">
        <v>73</v>
      </c>
      <c r="I14" t="s">
        <v>33</v>
      </c>
      <c r="J14" s="14" t="s">
        <v>64</v>
      </c>
      <c r="K14" t="s">
        <v>44</v>
      </c>
      <c r="L14" t="s">
        <v>36</v>
      </c>
      <c r="M14" t="str">
        <f>VLOOKUP(Incidents[[#This Row],[Ticket ID]],[1]Incidents!$A$2:$D$792,4,FALSE)</f>
        <v>2 - High</v>
      </c>
      <c r="N14">
        <f>VLOOKUP(Incidents[[#This Row],[Priority]],'SLA Config'!$B$3:$C$6,2,FALSE)</f>
        <v>5</v>
      </c>
      <c r="O14" t="str">
        <f ca="1">IF(Incidents[[#This Row],[Age (days)]]&gt;Incidents[[#This Row],[SLA Threshold]],"NO","Yes")</f>
        <v>NO</v>
      </c>
    </row>
    <row r="15" spans="1:15" x14ac:dyDescent="0.25">
      <c r="A15" t="s">
        <v>74</v>
      </c>
      <c r="B15" s="1">
        <v>44700</v>
      </c>
      <c r="C15" s="1">
        <v>44713</v>
      </c>
      <c r="D15" t="s">
        <v>29</v>
      </c>
      <c r="E15" t="s">
        <v>38</v>
      </c>
      <c r="F15" s="49">
        <f t="shared" ca="1" si="0"/>
        <v>10</v>
      </c>
      <c r="G15" s="16" t="s">
        <v>31</v>
      </c>
      <c r="H15" s="11" t="s">
        <v>75</v>
      </c>
      <c r="I15" t="s">
        <v>33</v>
      </c>
      <c r="J15" s="14" t="s">
        <v>76</v>
      </c>
      <c r="K15" t="s">
        <v>41</v>
      </c>
      <c r="L15" t="s">
        <v>36</v>
      </c>
      <c r="M15" t="str">
        <f>VLOOKUP(Incidents[[#This Row],[Ticket ID]],[1]Incidents!$A$2:$D$792,4,FALSE)</f>
        <v>4 - Low</v>
      </c>
      <c r="N15">
        <f>VLOOKUP(Incidents[[#This Row],[Priority]],'SLA Config'!$B$3:$C$6,2,FALSE)</f>
        <v>25</v>
      </c>
      <c r="O15" t="str">
        <f ca="1">IF(Incidents[[#This Row],[Age (days)]]&gt;Incidents[[#This Row],[SLA Threshold]],"NO","Yes")</f>
        <v>Yes</v>
      </c>
    </row>
    <row r="16" spans="1:15" x14ac:dyDescent="0.25">
      <c r="A16" s="2" t="s">
        <v>77</v>
      </c>
      <c r="B16" s="1">
        <v>45197</v>
      </c>
      <c r="C16" s="8">
        <v>45210</v>
      </c>
      <c r="D16" t="s">
        <v>29</v>
      </c>
      <c r="E16" t="s">
        <v>30</v>
      </c>
      <c r="F16" s="49">
        <f t="shared" ca="1" si="0"/>
        <v>10</v>
      </c>
      <c r="G16" s="16" t="s">
        <v>31</v>
      </c>
      <c r="H16" s="11" t="s">
        <v>78</v>
      </c>
      <c r="I16" t="s">
        <v>33</v>
      </c>
      <c r="J16" s="14" t="s">
        <v>64</v>
      </c>
      <c r="K16" t="s">
        <v>44</v>
      </c>
      <c r="L16" t="s">
        <v>36</v>
      </c>
      <c r="M16" t="str">
        <f>VLOOKUP(Incidents[[#This Row],[Ticket ID]],[1]Incidents!$A$2:$D$792,4,FALSE)</f>
        <v>2 - High</v>
      </c>
      <c r="N16">
        <f>VLOOKUP(Incidents[[#This Row],[Priority]],'SLA Config'!$B$3:$C$6,2,FALSE)</f>
        <v>5</v>
      </c>
      <c r="O16" t="str">
        <f ca="1">IF(Incidents[[#This Row],[Age (days)]]&gt;Incidents[[#This Row],[SLA Threshold]],"NO","Yes")</f>
        <v>NO</v>
      </c>
    </row>
    <row r="17" spans="1:15" x14ac:dyDescent="0.25">
      <c r="A17" s="19" t="s">
        <v>79</v>
      </c>
      <c r="B17" s="8">
        <v>45418</v>
      </c>
      <c r="C17" s="8">
        <v>45430</v>
      </c>
      <c r="D17" t="s">
        <v>29</v>
      </c>
      <c r="E17" t="s">
        <v>30</v>
      </c>
      <c r="F17" s="49">
        <f t="shared" ca="1" si="0"/>
        <v>10</v>
      </c>
      <c r="G17" s="16" t="s">
        <v>31</v>
      </c>
      <c r="H17" t="s">
        <v>80</v>
      </c>
      <c r="I17" t="s">
        <v>33</v>
      </c>
      <c r="J17" s="14" t="s">
        <v>69</v>
      </c>
      <c r="K17" t="s">
        <v>81</v>
      </c>
      <c r="L17" t="s">
        <v>71</v>
      </c>
      <c r="M17" t="str">
        <f>VLOOKUP(Incidents[[#This Row],[Ticket ID]],[1]Incidents!$A$2:$D$792,4,FALSE)</f>
        <v>4 - Low</v>
      </c>
      <c r="N17">
        <f>VLOOKUP(Incidents[[#This Row],[Priority]],'SLA Config'!$B$3:$C$6,2,FALSE)</f>
        <v>25</v>
      </c>
      <c r="O17" t="str">
        <f ca="1">IF(Incidents[[#This Row],[Age (days)]]&gt;Incidents[[#This Row],[SLA Threshold]],"NO","Yes")</f>
        <v>Yes</v>
      </c>
    </row>
    <row r="18" spans="1:15" x14ac:dyDescent="0.25">
      <c r="A18" s="19" t="s">
        <v>82</v>
      </c>
      <c r="B18" s="8">
        <v>45460</v>
      </c>
      <c r="C18" s="8">
        <v>45472</v>
      </c>
      <c r="D18" t="s">
        <v>29</v>
      </c>
      <c r="E18" s="17" t="s">
        <v>46</v>
      </c>
      <c r="F18" s="49">
        <f t="shared" ca="1" si="0"/>
        <v>10</v>
      </c>
      <c r="G18" s="16" t="s">
        <v>31</v>
      </c>
      <c r="H18" s="11" t="s">
        <v>83</v>
      </c>
      <c r="I18" t="s">
        <v>33</v>
      </c>
      <c r="J18" s="14" t="s">
        <v>69</v>
      </c>
      <c r="K18" s="27" t="s">
        <v>81</v>
      </c>
      <c r="L18" s="27" t="s">
        <v>71</v>
      </c>
      <c r="M18" t="str">
        <f>VLOOKUP(Incidents[[#This Row],[Ticket ID]],[1]Incidents!$A$2:$D$792,4,FALSE)</f>
        <v>4 - Low</v>
      </c>
      <c r="N18">
        <f>VLOOKUP(Incidents[[#This Row],[Priority]],'SLA Config'!$B$3:$C$6,2,FALSE)</f>
        <v>25</v>
      </c>
      <c r="O18" t="str">
        <f ca="1">IF(Incidents[[#This Row],[Age (days)]]&gt;Incidents[[#This Row],[SLA Threshold]],"NO","Yes")</f>
        <v>Yes</v>
      </c>
    </row>
    <row r="19" spans="1:15" x14ac:dyDescent="0.25">
      <c r="A19" s="2" t="s">
        <v>84</v>
      </c>
      <c r="B19" s="1">
        <v>45121</v>
      </c>
      <c r="C19" s="8">
        <v>45133</v>
      </c>
      <c r="D19" t="s">
        <v>29</v>
      </c>
      <c r="E19" s="17" t="s">
        <v>54</v>
      </c>
      <c r="F19" s="49">
        <f t="shared" ca="1" si="0"/>
        <v>9</v>
      </c>
      <c r="G19" s="16" t="s">
        <v>31</v>
      </c>
      <c r="H19" s="11" t="s">
        <v>85</v>
      </c>
      <c r="I19" t="s">
        <v>33</v>
      </c>
      <c r="J19" s="14" t="s">
        <v>64</v>
      </c>
      <c r="K19" t="s">
        <v>44</v>
      </c>
      <c r="L19" t="s">
        <v>36</v>
      </c>
      <c r="M19" t="str">
        <f>VLOOKUP(Incidents[[#This Row],[Ticket ID]],[1]Incidents!$A$2:$D$792,4,FALSE)</f>
        <v>2 - High</v>
      </c>
      <c r="N19">
        <f>VLOOKUP(Incidents[[#This Row],[Priority]],'SLA Config'!$B$3:$C$6,2,FALSE)</f>
        <v>5</v>
      </c>
      <c r="O19" t="str">
        <f ca="1">IF(Incidents[[#This Row],[Age (days)]]&gt;Incidents[[#This Row],[SLA Threshold]],"NO","Yes")</f>
        <v>NO</v>
      </c>
    </row>
    <row r="20" spans="1:15" x14ac:dyDescent="0.25">
      <c r="A20" s="2" t="s">
        <v>86</v>
      </c>
      <c r="B20" s="1">
        <v>45230</v>
      </c>
      <c r="C20" s="8">
        <v>45242</v>
      </c>
      <c r="D20" t="s">
        <v>29</v>
      </c>
      <c r="E20" t="s">
        <v>30</v>
      </c>
      <c r="F20" s="49">
        <f t="shared" ca="1" si="0"/>
        <v>9</v>
      </c>
      <c r="G20" s="16" t="s">
        <v>51</v>
      </c>
      <c r="H20" s="11" t="s">
        <v>87</v>
      </c>
      <c r="I20" t="s">
        <v>33</v>
      </c>
      <c r="J20" s="14" t="s">
        <v>64</v>
      </c>
      <c r="K20" t="s">
        <v>44</v>
      </c>
      <c r="L20" t="s">
        <v>36</v>
      </c>
      <c r="M20" t="str">
        <f>VLOOKUP(Incidents[[#This Row],[Ticket ID]],[1]Incidents!$A$2:$D$792,4,FALSE)</f>
        <v>2 - High</v>
      </c>
      <c r="N20">
        <f>VLOOKUP(Incidents[[#This Row],[Priority]],'SLA Config'!$B$3:$C$6,2,FALSE)</f>
        <v>5</v>
      </c>
      <c r="O20" t="str">
        <f ca="1">IF(Incidents[[#This Row],[Age (days)]]&gt;Incidents[[#This Row],[SLA Threshold]],"NO","Yes")</f>
        <v>NO</v>
      </c>
    </row>
    <row r="21" spans="1:15" x14ac:dyDescent="0.25">
      <c r="A21" s="2" t="s">
        <v>88</v>
      </c>
      <c r="B21" s="1">
        <v>45272</v>
      </c>
      <c r="C21" s="8">
        <v>45283</v>
      </c>
      <c r="D21" t="s">
        <v>29</v>
      </c>
      <c r="E21" s="17" t="s">
        <v>30</v>
      </c>
      <c r="F21" s="49">
        <f t="shared" ca="1" si="0"/>
        <v>9</v>
      </c>
      <c r="G21" s="16" t="s">
        <v>31</v>
      </c>
      <c r="H21" s="11" t="s">
        <v>89</v>
      </c>
      <c r="I21" t="s">
        <v>33</v>
      </c>
      <c r="J21" s="14" t="s">
        <v>64</v>
      </c>
      <c r="K21" t="s">
        <v>90</v>
      </c>
      <c r="L21" t="s">
        <v>36</v>
      </c>
      <c r="M21" t="str">
        <f>VLOOKUP(Incidents[[#This Row],[Ticket ID]],[1]Incidents!$A$2:$D$792,4,FALSE)</f>
        <v>2 - High</v>
      </c>
      <c r="N21">
        <f>VLOOKUP(Incidents[[#This Row],[Priority]],'SLA Config'!$B$3:$C$6,2,FALSE)</f>
        <v>5</v>
      </c>
      <c r="O21" t="str">
        <f ca="1">IF(Incidents[[#This Row],[Age (days)]]&gt;Incidents[[#This Row],[SLA Threshold]],"NO","Yes")</f>
        <v>NO</v>
      </c>
    </row>
    <row r="22" spans="1:15" x14ac:dyDescent="0.25">
      <c r="A22" s="19" t="s">
        <v>91</v>
      </c>
      <c r="B22" s="8">
        <v>45447</v>
      </c>
      <c r="C22" s="8">
        <v>45458</v>
      </c>
      <c r="D22" t="s">
        <v>29</v>
      </c>
      <c r="E22" s="17" t="s">
        <v>30</v>
      </c>
      <c r="F22" s="49">
        <f t="shared" ca="1" si="0"/>
        <v>9</v>
      </c>
      <c r="G22" s="16" t="s">
        <v>31</v>
      </c>
      <c r="H22" t="s">
        <v>92</v>
      </c>
      <c r="I22" t="s">
        <v>33</v>
      </c>
      <c r="J22" s="14" t="s">
        <v>69</v>
      </c>
      <c r="K22" t="s">
        <v>81</v>
      </c>
      <c r="L22" t="s">
        <v>71</v>
      </c>
      <c r="M22" t="str">
        <f>VLOOKUP(Incidents[[#This Row],[Ticket ID]],[1]Incidents!$A$2:$D$792,4,FALSE)</f>
        <v>4 - Low</v>
      </c>
      <c r="N22">
        <f>VLOOKUP(Incidents[[#This Row],[Priority]],'SLA Config'!$B$3:$C$6,2,FALSE)</f>
        <v>25</v>
      </c>
      <c r="O22" t="str">
        <f ca="1">IF(Incidents[[#This Row],[Age (days)]]&gt;Incidents[[#This Row],[SLA Threshold]],"NO","Yes")</f>
        <v>Yes</v>
      </c>
    </row>
    <row r="23" spans="1:15" x14ac:dyDescent="0.25">
      <c r="A23" s="19" t="s">
        <v>93</v>
      </c>
      <c r="B23" s="8">
        <v>45504</v>
      </c>
      <c r="C23" s="8">
        <v>45516</v>
      </c>
      <c r="D23" t="s">
        <v>29</v>
      </c>
      <c r="E23" t="s">
        <v>30</v>
      </c>
      <c r="F23" s="49">
        <f t="shared" ca="1" si="0"/>
        <v>9</v>
      </c>
      <c r="G23" s="16" t="s">
        <v>31</v>
      </c>
      <c r="H23" t="s">
        <v>94</v>
      </c>
      <c r="I23" t="s">
        <v>33</v>
      </c>
      <c r="J23" s="14" t="s">
        <v>34</v>
      </c>
      <c r="K23" t="s">
        <v>35</v>
      </c>
      <c r="L23" t="s">
        <v>36</v>
      </c>
      <c r="M23" t="str">
        <f>VLOOKUP(Incidents[[#This Row],[Ticket ID]],[1]Incidents!$A$2:$D$792,4,FALSE)</f>
        <v>4 - Low</v>
      </c>
      <c r="N23">
        <f>VLOOKUP(Incidents[[#This Row],[Priority]],'SLA Config'!$B$3:$C$6,2,FALSE)</f>
        <v>25</v>
      </c>
      <c r="O23" t="str">
        <f ca="1">IF(Incidents[[#This Row],[Age (days)]]&gt;Incidents[[#This Row],[SLA Threshold]],"NO","Yes")</f>
        <v>Yes</v>
      </c>
    </row>
    <row r="24" spans="1:15" x14ac:dyDescent="0.25">
      <c r="A24" s="19" t="s">
        <v>95</v>
      </c>
      <c r="B24" s="8">
        <v>45448</v>
      </c>
      <c r="C24" s="8">
        <v>45458</v>
      </c>
      <c r="D24" t="s">
        <v>29</v>
      </c>
      <c r="E24" s="17" t="s">
        <v>46</v>
      </c>
      <c r="F24" s="49">
        <f t="shared" ca="1" si="0"/>
        <v>8</v>
      </c>
      <c r="G24" s="16" t="s">
        <v>31</v>
      </c>
      <c r="H24" s="11" t="s">
        <v>96</v>
      </c>
      <c r="I24" t="s">
        <v>33</v>
      </c>
      <c r="J24" s="14" t="s">
        <v>69</v>
      </c>
      <c r="K24" s="27" t="s">
        <v>81</v>
      </c>
      <c r="L24" s="27" t="s">
        <v>71</v>
      </c>
      <c r="M24" t="str">
        <f>VLOOKUP(Incidents[[#This Row],[Ticket ID]],[1]Incidents!$A$2:$D$792,4,FALSE)</f>
        <v>4 - Low</v>
      </c>
      <c r="N24">
        <f>VLOOKUP(Incidents[[#This Row],[Priority]],'SLA Config'!$B$3:$C$6,2,FALSE)</f>
        <v>25</v>
      </c>
      <c r="O24" t="str">
        <f ca="1">IF(Incidents[[#This Row],[Age (days)]]&gt;Incidents[[#This Row],[SLA Threshold]],"NO","Yes")</f>
        <v>Yes</v>
      </c>
    </row>
    <row r="25" spans="1:15" x14ac:dyDescent="0.25">
      <c r="A25" s="19" t="s">
        <v>97</v>
      </c>
      <c r="B25" s="8">
        <v>45448</v>
      </c>
      <c r="C25" s="8">
        <v>45458</v>
      </c>
      <c r="D25" t="s">
        <v>29</v>
      </c>
      <c r="E25" s="17" t="s">
        <v>46</v>
      </c>
      <c r="F25" s="49">
        <f t="shared" ca="1" si="0"/>
        <v>8</v>
      </c>
      <c r="G25" s="16" t="s">
        <v>31</v>
      </c>
      <c r="H25" s="11" t="s">
        <v>98</v>
      </c>
      <c r="I25" t="s">
        <v>33</v>
      </c>
      <c r="J25" s="14" t="s">
        <v>69</v>
      </c>
      <c r="K25" s="27" t="s">
        <v>70</v>
      </c>
      <c r="L25" s="27" t="s">
        <v>71</v>
      </c>
      <c r="M25" t="str">
        <f>VLOOKUP(Incidents[[#This Row],[Ticket ID]],[1]Incidents!$A$2:$D$792,4,FALSE)</f>
        <v>4 - Low</v>
      </c>
      <c r="N25">
        <f>VLOOKUP(Incidents[[#This Row],[Priority]],'SLA Config'!$B$3:$C$6,2,FALSE)</f>
        <v>25</v>
      </c>
      <c r="O25" t="str">
        <f ca="1">IF(Incidents[[#This Row],[Age (days)]]&gt;Incidents[[#This Row],[SLA Threshold]],"NO","Yes")</f>
        <v>Yes</v>
      </c>
    </row>
    <row r="26" spans="1:15" x14ac:dyDescent="0.25">
      <c r="A26" s="19" t="s">
        <v>99</v>
      </c>
      <c r="B26" s="8">
        <v>45462</v>
      </c>
      <c r="C26" s="8">
        <v>45472</v>
      </c>
      <c r="D26" t="s">
        <v>29</v>
      </c>
      <c r="E26" t="s">
        <v>46</v>
      </c>
      <c r="F26" s="49">
        <f t="shared" ca="1" si="0"/>
        <v>8</v>
      </c>
      <c r="G26" s="16" t="s">
        <v>31</v>
      </c>
      <c r="H26" t="s">
        <v>100</v>
      </c>
      <c r="I26" t="s">
        <v>33</v>
      </c>
      <c r="J26" s="14" t="s">
        <v>69</v>
      </c>
      <c r="K26" t="s">
        <v>70</v>
      </c>
      <c r="L26" s="27" t="s">
        <v>71</v>
      </c>
      <c r="M26" t="str">
        <f>VLOOKUP(Incidents[[#This Row],[Ticket ID]],[1]Incidents!$A$2:$D$792,4,FALSE)</f>
        <v>4 - Low</v>
      </c>
      <c r="N26">
        <f>VLOOKUP(Incidents[[#This Row],[Priority]],'SLA Config'!$B$3:$C$6,2,FALSE)</f>
        <v>25</v>
      </c>
      <c r="O26" t="str">
        <f ca="1">IF(Incidents[[#This Row],[Age (days)]]&gt;Incidents[[#This Row],[SLA Threshold]],"NO","Yes")</f>
        <v>Yes</v>
      </c>
    </row>
    <row r="27" spans="1:15" ht="30" x14ac:dyDescent="0.25">
      <c r="A27" s="2" t="s">
        <v>101</v>
      </c>
      <c r="B27" s="1">
        <v>45085</v>
      </c>
      <c r="C27" s="8">
        <v>45094</v>
      </c>
      <c r="D27" t="s">
        <v>29</v>
      </c>
      <c r="E27" t="s">
        <v>54</v>
      </c>
      <c r="F27" s="49">
        <f t="shared" ca="1" si="0"/>
        <v>7</v>
      </c>
      <c r="G27" s="16" t="s">
        <v>31</v>
      </c>
      <c r="H27" s="11" t="s">
        <v>102</v>
      </c>
      <c r="I27" t="s">
        <v>33</v>
      </c>
      <c r="J27" s="14" t="s">
        <v>34</v>
      </c>
      <c r="K27" t="s">
        <v>44</v>
      </c>
      <c r="L27" t="s">
        <v>36</v>
      </c>
      <c r="M27" t="str">
        <f>VLOOKUP(Incidents[[#This Row],[Ticket ID]],[1]Incidents!$A$2:$D$792,4,FALSE)</f>
        <v>4 - Low</v>
      </c>
      <c r="N27">
        <f>VLOOKUP(Incidents[[#This Row],[Priority]],'SLA Config'!$B$3:$C$6,2,FALSE)</f>
        <v>25</v>
      </c>
      <c r="O27" t="str">
        <f ca="1">IF(Incidents[[#This Row],[Age (days)]]&gt;Incidents[[#This Row],[SLA Threshold]],"NO","Yes")</f>
        <v>Yes</v>
      </c>
    </row>
    <row r="28" spans="1:15" x14ac:dyDescent="0.25">
      <c r="A28" s="2" t="s">
        <v>103</v>
      </c>
      <c r="B28" s="1">
        <v>45201</v>
      </c>
      <c r="C28" s="8">
        <v>45209</v>
      </c>
      <c r="D28" t="s">
        <v>29</v>
      </c>
      <c r="E28" t="s">
        <v>104</v>
      </c>
      <c r="F28" s="49">
        <f t="shared" ca="1" si="0"/>
        <v>7</v>
      </c>
      <c r="G28" s="16" t="s">
        <v>31</v>
      </c>
      <c r="H28" s="11" t="s">
        <v>105</v>
      </c>
      <c r="I28" t="s">
        <v>33</v>
      </c>
      <c r="J28" s="14" t="s">
        <v>64</v>
      </c>
      <c r="K28" t="s">
        <v>44</v>
      </c>
      <c r="L28" t="s">
        <v>36</v>
      </c>
      <c r="M28" t="str">
        <f>VLOOKUP(Incidents[[#This Row],[Ticket ID]],[1]Incidents!$A$2:$D$792,4,FALSE)</f>
        <v>2 - High</v>
      </c>
      <c r="N28">
        <f>VLOOKUP(Incidents[[#This Row],[Priority]],'SLA Config'!$B$3:$C$6,2,FALSE)</f>
        <v>5</v>
      </c>
      <c r="O28" t="str">
        <f ca="1">IF(Incidents[[#This Row],[Age (days)]]&gt;Incidents[[#This Row],[SLA Threshold]],"NO","Yes")</f>
        <v>NO</v>
      </c>
    </row>
    <row r="29" spans="1:15" x14ac:dyDescent="0.25">
      <c r="A29" s="19" t="s">
        <v>106</v>
      </c>
      <c r="B29" s="8">
        <v>45477</v>
      </c>
      <c r="C29" s="8">
        <v>45487</v>
      </c>
      <c r="D29" t="s">
        <v>29</v>
      </c>
      <c r="E29" s="17" t="s">
        <v>46</v>
      </c>
      <c r="F29" s="49">
        <f t="shared" ca="1" si="0"/>
        <v>7</v>
      </c>
      <c r="G29" s="16" t="s">
        <v>31</v>
      </c>
      <c r="H29" s="11" t="s">
        <v>107</v>
      </c>
      <c r="I29" t="s">
        <v>33</v>
      </c>
      <c r="J29" s="14" t="s">
        <v>69</v>
      </c>
      <c r="K29" s="27" t="s">
        <v>70</v>
      </c>
      <c r="L29" t="s">
        <v>71</v>
      </c>
      <c r="M29" t="str">
        <f>VLOOKUP(Incidents[[#This Row],[Ticket ID]],[1]Incidents!$A$2:$D$792,4,FALSE)</f>
        <v>4 - Low</v>
      </c>
      <c r="N29">
        <f>VLOOKUP(Incidents[[#This Row],[Priority]],'SLA Config'!$B$3:$C$6,2,FALSE)</f>
        <v>25</v>
      </c>
      <c r="O29" t="str">
        <f ca="1">IF(Incidents[[#This Row],[Age (days)]]&gt;Incidents[[#This Row],[SLA Threshold]],"NO","Yes")</f>
        <v>Yes</v>
      </c>
    </row>
    <row r="30" spans="1:15" x14ac:dyDescent="0.25">
      <c r="A30" t="s">
        <v>108</v>
      </c>
      <c r="B30" s="1">
        <v>44813</v>
      </c>
      <c r="C30" s="1">
        <v>44822</v>
      </c>
      <c r="D30" t="s">
        <v>29</v>
      </c>
      <c r="E30" t="s">
        <v>54</v>
      </c>
      <c r="F30" s="49">
        <f t="shared" ca="1" si="0"/>
        <v>6</v>
      </c>
      <c r="G30" s="16" t="s">
        <v>31</v>
      </c>
      <c r="H30" s="11" t="s">
        <v>109</v>
      </c>
      <c r="I30" t="s">
        <v>33</v>
      </c>
      <c r="J30" s="14" t="s">
        <v>64</v>
      </c>
      <c r="K30" t="s">
        <v>44</v>
      </c>
      <c r="L30" t="s">
        <v>36</v>
      </c>
      <c r="M30" t="str">
        <f>VLOOKUP(Incidents[[#This Row],[Ticket ID]],[1]Incidents!$A$2:$D$792,4,FALSE)</f>
        <v>4 - Low</v>
      </c>
      <c r="N30">
        <f>VLOOKUP(Incidents[[#This Row],[Priority]],'SLA Config'!$B$3:$C$6,2,FALSE)</f>
        <v>25</v>
      </c>
      <c r="O30" t="str">
        <f ca="1">IF(Incidents[[#This Row],[Age (days)]]&gt;Incidents[[#This Row],[SLA Threshold]],"NO","Yes")</f>
        <v>Yes</v>
      </c>
    </row>
    <row r="31" spans="1:15" x14ac:dyDescent="0.25">
      <c r="A31" t="s">
        <v>110</v>
      </c>
      <c r="B31" s="1">
        <v>44876</v>
      </c>
      <c r="C31" s="1">
        <v>44885</v>
      </c>
      <c r="D31" t="s">
        <v>29</v>
      </c>
      <c r="E31" t="s">
        <v>54</v>
      </c>
      <c r="F31" s="49">
        <f t="shared" ca="1" si="0"/>
        <v>6</v>
      </c>
      <c r="G31" s="16" t="s">
        <v>31</v>
      </c>
      <c r="H31" s="11" t="s">
        <v>111</v>
      </c>
      <c r="I31" t="s">
        <v>33</v>
      </c>
      <c r="J31" s="14" t="s">
        <v>64</v>
      </c>
      <c r="K31" t="s">
        <v>44</v>
      </c>
      <c r="L31" t="s">
        <v>36</v>
      </c>
      <c r="M31" t="str">
        <f>VLOOKUP(Incidents[[#This Row],[Ticket ID]],[1]Incidents!$A$2:$D$792,4,FALSE)</f>
        <v>3 - Medium</v>
      </c>
      <c r="N31">
        <f>VLOOKUP(Incidents[[#This Row],[Priority]],'SLA Config'!$B$3:$C$6,2,FALSE)</f>
        <v>15</v>
      </c>
      <c r="O31" t="str">
        <f ca="1">IF(Incidents[[#This Row],[Age (days)]]&gt;Incidents[[#This Row],[SLA Threshold]],"NO","Yes")</f>
        <v>Yes</v>
      </c>
    </row>
    <row r="32" spans="1:15" ht="30" x14ac:dyDescent="0.25">
      <c r="A32" s="2" t="s">
        <v>112</v>
      </c>
      <c r="B32" s="1">
        <v>45026</v>
      </c>
      <c r="C32" s="8">
        <v>45033</v>
      </c>
      <c r="D32" t="s">
        <v>29</v>
      </c>
      <c r="E32" t="s">
        <v>54</v>
      </c>
      <c r="F32" s="49">
        <f t="shared" ca="1" si="0"/>
        <v>6</v>
      </c>
      <c r="G32" s="16" t="s">
        <v>31</v>
      </c>
      <c r="H32" s="11" t="s">
        <v>113</v>
      </c>
      <c r="I32" t="s">
        <v>33</v>
      </c>
      <c r="J32" s="14" t="s">
        <v>64</v>
      </c>
      <c r="K32" t="s">
        <v>44</v>
      </c>
      <c r="L32" t="s">
        <v>36</v>
      </c>
      <c r="M32" t="str">
        <f>VLOOKUP(Incidents[[#This Row],[Ticket ID]],[1]Incidents!$A$2:$D$792,4,FALSE)</f>
        <v>2 - High</v>
      </c>
      <c r="N32">
        <f>VLOOKUP(Incidents[[#This Row],[Priority]],'SLA Config'!$B$3:$C$6,2,FALSE)</f>
        <v>5</v>
      </c>
      <c r="O32" t="str">
        <f ca="1">IF(Incidents[[#This Row],[Age (days)]]&gt;Incidents[[#This Row],[SLA Threshold]],"NO","Yes")</f>
        <v>NO</v>
      </c>
    </row>
    <row r="33" spans="1:15" x14ac:dyDescent="0.25">
      <c r="A33" s="2" t="s">
        <v>114</v>
      </c>
      <c r="B33" s="1">
        <v>45128</v>
      </c>
      <c r="C33" s="8">
        <v>45136</v>
      </c>
      <c r="D33" t="s">
        <v>29</v>
      </c>
      <c r="E33" s="17" t="s">
        <v>38</v>
      </c>
      <c r="F33" s="49">
        <f t="shared" ca="1" si="0"/>
        <v>6</v>
      </c>
      <c r="G33" s="16" t="s">
        <v>31</v>
      </c>
      <c r="H33" s="11" t="s">
        <v>115</v>
      </c>
      <c r="I33" t="s">
        <v>33</v>
      </c>
      <c r="J33" s="14" t="s">
        <v>64</v>
      </c>
      <c r="K33" t="s">
        <v>41</v>
      </c>
      <c r="L33" t="s">
        <v>36</v>
      </c>
      <c r="M33" t="str">
        <f>VLOOKUP(Incidents[[#This Row],[Ticket ID]],[1]Incidents!$A$2:$D$792,4,FALSE)</f>
        <v>4 - Low</v>
      </c>
      <c r="N33">
        <f>VLOOKUP(Incidents[[#This Row],[Priority]],'SLA Config'!$B$3:$C$6,2,FALSE)</f>
        <v>25</v>
      </c>
      <c r="O33" t="str">
        <f ca="1">IF(Incidents[[#This Row],[Age (days)]]&gt;Incidents[[#This Row],[SLA Threshold]],"NO","Yes")</f>
        <v>Yes</v>
      </c>
    </row>
    <row r="34" spans="1:15" x14ac:dyDescent="0.25">
      <c r="A34" s="2" t="s">
        <v>116</v>
      </c>
      <c r="B34" s="1">
        <v>45194</v>
      </c>
      <c r="C34" s="8">
        <v>45201</v>
      </c>
      <c r="D34" t="s">
        <v>29</v>
      </c>
      <c r="E34" t="s">
        <v>30</v>
      </c>
      <c r="F34" s="49">
        <f t="shared" ca="1" si="0"/>
        <v>6</v>
      </c>
      <c r="G34" s="16" t="s">
        <v>51</v>
      </c>
      <c r="H34" s="11" t="s">
        <v>117</v>
      </c>
      <c r="I34" t="s">
        <v>33</v>
      </c>
      <c r="J34" s="14" t="s">
        <v>118</v>
      </c>
      <c r="K34" t="s">
        <v>119</v>
      </c>
      <c r="L34" t="s">
        <v>120</v>
      </c>
      <c r="M34" t="str">
        <f>VLOOKUP(Incidents[[#This Row],[Ticket ID]],[1]Incidents!$A$2:$D$792,4,FALSE)</f>
        <v>2 - High</v>
      </c>
      <c r="N34">
        <f>VLOOKUP(Incidents[[#This Row],[Priority]],'SLA Config'!$B$3:$C$6,2,FALSE)</f>
        <v>5</v>
      </c>
      <c r="O34" t="str">
        <f ca="1">IF(Incidents[[#This Row],[Age (days)]]&gt;Incidents[[#This Row],[SLA Threshold]],"NO","Yes")</f>
        <v>NO</v>
      </c>
    </row>
    <row r="35" spans="1:15" x14ac:dyDescent="0.25">
      <c r="A35" s="2" t="s">
        <v>121</v>
      </c>
      <c r="B35" s="8">
        <v>45441</v>
      </c>
      <c r="C35" s="8">
        <v>45448</v>
      </c>
      <c r="D35" t="s">
        <v>29</v>
      </c>
      <c r="E35" t="s">
        <v>30</v>
      </c>
      <c r="F35" s="49">
        <f t="shared" ca="1" si="0"/>
        <v>6</v>
      </c>
      <c r="G35" s="16" t="s">
        <v>31</v>
      </c>
      <c r="H35" t="s">
        <v>122</v>
      </c>
      <c r="I35" t="s">
        <v>33</v>
      </c>
      <c r="J35" s="14" t="s">
        <v>69</v>
      </c>
      <c r="K35" t="s">
        <v>70</v>
      </c>
      <c r="L35" t="s">
        <v>71</v>
      </c>
      <c r="M35" t="str">
        <f>VLOOKUP(Incidents[[#This Row],[Ticket ID]],[1]Incidents!$A$2:$D$792,4,FALSE)</f>
        <v>4 - Low</v>
      </c>
      <c r="N35">
        <f>VLOOKUP(Incidents[[#This Row],[Priority]],'SLA Config'!$B$3:$C$6,2,FALSE)</f>
        <v>25</v>
      </c>
      <c r="O35" t="str">
        <f ca="1">IF(Incidents[[#This Row],[Age (days)]]&gt;Incidents[[#This Row],[SLA Threshold]],"NO","Yes")</f>
        <v>Yes</v>
      </c>
    </row>
    <row r="36" spans="1:15" x14ac:dyDescent="0.25">
      <c r="A36" s="19" t="s">
        <v>123</v>
      </c>
      <c r="B36" s="8">
        <v>45450</v>
      </c>
      <c r="C36" s="8">
        <v>45458</v>
      </c>
      <c r="D36" t="s">
        <v>29</v>
      </c>
      <c r="E36" s="17" t="s">
        <v>46</v>
      </c>
      <c r="F36" s="49">
        <f t="shared" ca="1" si="0"/>
        <v>6</v>
      </c>
      <c r="G36" s="16" t="s">
        <v>31</v>
      </c>
      <c r="H36" t="s">
        <v>124</v>
      </c>
      <c r="I36" t="s">
        <v>33</v>
      </c>
      <c r="J36" s="14" t="s">
        <v>69</v>
      </c>
      <c r="K36" t="s">
        <v>70</v>
      </c>
      <c r="L36" t="s">
        <v>71</v>
      </c>
      <c r="M36" t="str">
        <f>VLOOKUP(Incidents[[#This Row],[Ticket ID]],[1]Incidents!$A$2:$D$792,4,FALSE)</f>
        <v>4 - Low</v>
      </c>
      <c r="N36">
        <f>VLOOKUP(Incidents[[#This Row],[Priority]],'SLA Config'!$B$3:$C$6,2,FALSE)</f>
        <v>25</v>
      </c>
      <c r="O36" t="str">
        <f ca="1">IF(Incidents[[#This Row],[Age (days)]]&gt;Incidents[[#This Row],[SLA Threshold]],"NO","Yes")</f>
        <v>Yes</v>
      </c>
    </row>
    <row r="37" spans="1:15" x14ac:dyDescent="0.25">
      <c r="A37" s="19" t="s">
        <v>125</v>
      </c>
      <c r="B37" s="8">
        <v>45453</v>
      </c>
      <c r="C37" s="8">
        <v>45460</v>
      </c>
      <c r="D37" t="s">
        <v>29</v>
      </c>
      <c r="E37" s="17" t="s">
        <v>46</v>
      </c>
      <c r="F37" s="49">
        <f t="shared" ca="1" si="0"/>
        <v>6</v>
      </c>
      <c r="G37" s="16" t="s">
        <v>31</v>
      </c>
      <c r="H37" t="s">
        <v>126</v>
      </c>
      <c r="I37" t="s">
        <v>33</v>
      </c>
      <c r="J37" s="14" t="s">
        <v>69</v>
      </c>
      <c r="K37" s="27" t="s">
        <v>81</v>
      </c>
      <c r="L37" s="27" t="s">
        <v>71</v>
      </c>
      <c r="M37" t="str">
        <f>VLOOKUP(Incidents[[#This Row],[Ticket ID]],[1]Incidents!$A$2:$D$792,4,FALSE)</f>
        <v>4 - Low</v>
      </c>
      <c r="N37">
        <f>VLOOKUP(Incidents[[#This Row],[Priority]],'SLA Config'!$B$3:$C$6,2,FALSE)</f>
        <v>25</v>
      </c>
      <c r="O37" t="str">
        <f ca="1">IF(Incidents[[#This Row],[Age (days)]]&gt;Incidents[[#This Row],[SLA Threshold]],"NO","Yes")</f>
        <v>Yes</v>
      </c>
    </row>
    <row r="38" spans="1:15" x14ac:dyDescent="0.25">
      <c r="A38" s="19" t="s">
        <v>127</v>
      </c>
      <c r="B38" s="8">
        <v>45457</v>
      </c>
      <c r="C38" s="8">
        <v>45465</v>
      </c>
      <c r="D38" t="s">
        <v>29</v>
      </c>
      <c r="E38" t="s">
        <v>46</v>
      </c>
      <c r="F38" s="49">
        <f t="shared" ca="1" si="0"/>
        <v>6</v>
      </c>
      <c r="G38" s="16" t="s">
        <v>31</v>
      </c>
      <c r="H38" t="s">
        <v>128</v>
      </c>
      <c r="I38" t="s">
        <v>33</v>
      </c>
      <c r="J38" s="14" t="s">
        <v>69</v>
      </c>
      <c r="K38" t="s">
        <v>81</v>
      </c>
      <c r="L38" s="27" t="s">
        <v>71</v>
      </c>
      <c r="M38" t="str">
        <f>VLOOKUP(Incidents[[#This Row],[Ticket ID]],[1]Incidents!$A$2:$D$792,4,FALSE)</f>
        <v>4 - Low</v>
      </c>
      <c r="N38">
        <f>VLOOKUP(Incidents[[#This Row],[Priority]],'SLA Config'!$B$3:$C$6,2,FALSE)</f>
        <v>25</v>
      </c>
      <c r="O38" t="str">
        <f ca="1">IF(Incidents[[#This Row],[Age (days)]]&gt;Incidents[[#This Row],[SLA Threshold]],"NO","Yes")</f>
        <v>Yes</v>
      </c>
    </row>
    <row r="39" spans="1:15" x14ac:dyDescent="0.25">
      <c r="A39" s="19" t="s">
        <v>129</v>
      </c>
      <c r="B39" s="8">
        <v>45478</v>
      </c>
      <c r="C39" s="8">
        <v>45486</v>
      </c>
      <c r="D39" t="s">
        <v>29</v>
      </c>
      <c r="E39" s="17" t="s">
        <v>46</v>
      </c>
      <c r="F39" s="49">
        <f t="shared" ca="1" si="0"/>
        <v>6</v>
      </c>
      <c r="G39" s="16" t="s">
        <v>31</v>
      </c>
      <c r="H39" t="s">
        <v>130</v>
      </c>
      <c r="I39" t="s">
        <v>33</v>
      </c>
      <c r="J39" s="14" t="s">
        <v>69</v>
      </c>
      <c r="K39" s="27" t="s">
        <v>70</v>
      </c>
      <c r="L39" t="s">
        <v>71</v>
      </c>
      <c r="M39" t="str">
        <f>VLOOKUP(Incidents[[#This Row],[Ticket ID]],[1]Incidents!$A$2:$D$792,4,FALSE)</f>
        <v>4 - Low</v>
      </c>
      <c r="N39">
        <f>VLOOKUP(Incidents[[#This Row],[Priority]],'SLA Config'!$B$3:$C$6,2,FALSE)</f>
        <v>25</v>
      </c>
      <c r="O39" t="str">
        <f ca="1">IF(Incidents[[#This Row],[Age (days)]]&gt;Incidents[[#This Row],[SLA Threshold]],"NO","Yes")</f>
        <v>Yes</v>
      </c>
    </row>
    <row r="40" spans="1:15" x14ac:dyDescent="0.25">
      <c r="A40" t="s">
        <v>131</v>
      </c>
      <c r="B40" s="1">
        <v>44809</v>
      </c>
      <c r="C40" s="1">
        <v>44815</v>
      </c>
      <c r="D40" t="s">
        <v>29</v>
      </c>
      <c r="E40" t="s">
        <v>54</v>
      </c>
      <c r="F40" s="49">
        <f t="shared" ca="1" si="0"/>
        <v>5</v>
      </c>
      <c r="G40" s="16" t="s">
        <v>31</v>
      </c>
      <c r="H40" s="11" t="s">
        <v>132</v>
      </c>
      <c r="I40" t="s">
        <v>33</v>
      </c>
      <c r="J40" s="14" t="s">
        <v>133</v>
      </c>
      <c r="K40" t="s">
        <v>44</v>
      </c>
      <c r="L40" t="s">
        <v>36</v>
      </c>
      <c r="M40" t="str">
        <f>VLOOKUP(Incidents[[#This Row],[Ticket ID]],[1]Incidents!$A$2:$D$792,4,FALSE)</f>
        <v>3 - Medium</v>
      </c>
      <c r="N40">
        <f>VLOOKUP(Incidents[[#This Row],[Priority]],'SLA Config'!$B$3:$C$6,2,FALSE)</f>
        <v>15</v>
      </c>
      <c r="O40" t="str">
        <f ca="1">IF(Incidents[[#This Row],[Age (days)]]&gt;Incidents[[#This Row],[SLA Threshold]],"NO","Yes")</f>
        <v>Yes</v>
      </c>
    </row>
    <row r="41" spans="1:15" x14ac:dyDescent="0.25">
      <c r="A41" s="2" t="s">
        <v>134</v>
      </c>
      <c r="B41" s="1">
        <v>44936</v>
      </c>
      <c r="C41" s="1">
        <v>44942</v>
      </c>
      <c r="D41" t="s">
        <v>29</v>
      </c>
      <c r="E41" t="s">
        <v>38</v>
      </c>
      <c r="F41" s="49">
        <f t="shared" ca="1" si="0"/>
        <v>5</v>
      </c>
      <c r="G41" s="16" t="s">
        <v>51</v>
      </c>
      <c r="H41" s="11" t="s">
        <v>135</v>
      </c>
      <c r="I41" t="s">
        <v>33</v>
      </c>
      <c r="J41" s="15" t="s">
        <v>136</v>
      </c>
      <c r="K41" t="s">
        <v>44</v>
      </c>
      <c r="L41" t="s">
        <v>36</v>
      </c>
      <c r="M41" t="str">
        <f>VLOOKUP(Incidents[[#This Row],[Ticket ID]],[1]Incidents!$A$2:$D$792,4,FALSE)</f>
        <v>3 - Medium</v>
      </c>
      <c r="N41">
        <f>VLOOKUP(Incidents[[#This Row],[Priority]],'SLA Config'!$B$3:$C$6,2,FALSE)</f>
        <v>15</v>
      </c>
      <c r="O41" t="str">
        <f ca="1">IF(Incidents[[#This Row],[Age (days)]]&gt;Incidents[[#This Row],[SLA Threshold]],"NO","Yes")</f>
        <v>Yes</v>
      </c>
    </row>
    <row r="42" spans="1:15" x14ac:dyDescent="0.25">
      <c r="A42" s="2" t="s">
        <v>137</v>
      </c>
      <c r="B42" s="1">
        <v>45145</v>
      </c>
      <c r="C42" s="8">
        <v>45151</v>
      </c>
      <c r="D42" t="s">
        <v>29</v>
      </c>
      <c r="E42" t="s">
        <v>38</v>
      </c>
      <c r="F42" s="49">
        <f t="shared" ca="1" si="0"/>
        <v>5</v>
      </c>
      <c r="G42" s="16" t="s">
        <v>31</v>
      </c>
      <c r="H42" s="11" t="s">
        <v>138</v>
      </c>
      <c r="I42" t="s">
        <v>33</v>
      </c>
      <c r="J42" s="14" t="s">
        <v>64</v>
      </c>
      <c r="K42" t="s">
        <v>41</v>
      </c>
      <c r="L42" t="s">
        <v>36</v>
      </c>
      <c r="M42" t="str">
        <f>VLOOKUP(Incidents[[#This Row],[Ticket ID]],[1]Incidents!$A$2:$D$792,4,FALSE)</f>
        <v>4 - Low</v>
      </c>
      <c r="N42">
        <f>VLOOKUP(Incidents[[#This Row],[Priority]],'SLA Config'!$B$3:$C$6,2,FALSE)</f>
        <v>25</v>
      </c>
      <c r="O42" t="str">
        <f ca="1">IF(Incidents[[#This Row],[Age (days)]]&gt;Incidents[[#This Row],[SLA Threshold]],"NO","Yes")</f>
        <v>Yes</v>
      </c>
    </row>
    <row r="43" spans="1:15" x14ac:dyDescent="0.25">
      <c r="A43" s="2" t="s">
        <v>139</v>
      </c>
      <c r="B43" s="1">
        <v>45169</v>
      </c>
      <c r="C43" s="8">
        <v>45175</v>
      </c>
      <c r="D43" t="s">
        <v>29</v>
      </c>
      <c r="E43" t="s">
        <v>38</v>
      </c>
      <c r="F43" s="49">
        <f t="shared" ca="1" si="0"/>
        <v>5</v>
      </c>
      <c r="G43" s="16" t="s">
        <v>51</v>
      </c>
      <c r="H43" s="11" t="s">
        <v>140</v>
      </c>
      <c r="I43" t="s">
        <v>33</v>
      </c>
      <c r="J43" s="15" t="s">
        <v>64</v>
      </c>
      <c r="K43" t="s">
        <v>44</v>
      </c>
      <c r="L43" t="s">
        <v>36</v>
      </c>
      <c r="M43" t="str">
        <f>VLOOKUP(Incidents[[#This Row],[Ticket ID]],[1]Incidents!$A$2:$D$792,4,FALSE)</f>
        <v>2 - High</v>
      </c>
      <c r="N43">
        <f>VLOOKUP(Incidents[[#This Row],[Priority]],'SLA Config'!$B$3:$C$6,2,FALSE)</f>
        <v>5</v>
      </c>
      <c r="O43" t="str">
        <f ca="1">IF(Incidents[[#This Row],[Age (days)]]&gt;Incidents[[#This Row],[SLA Threshold]],"NO","Yes")</f>
        <v>Yes</v>
      </c>
    </row>
    <row r="44" spans="1:15" x14ac:dyDescent="0.25">
      <c r="A44" s="2" t="s">
        <v>141</v>
      </c>
      <c r="B44" s="1">
        <v>45187</v>
      </c>
      <c r="C44" s="8">
        <v>45193</v>
      </c>
      <c r="D44" t="s">
        <v>29</v>
      </c>
      <c r="E44" t="s">
        <v>38</v>
      </c>
      <c r="F44" s="49">
        <f t="shared" ca="1" si="0"/>
        <v>5</v>
      </c>
      <c r="G44" s="16" t="s">
        <v>51</v>
      </c>
      <c r="H44" s="11" t="s">
        <v>142</v>
      </c>
      <c r="I44" t="s">
        <v>33</v>
      </c>
      <c r="J44" s="14" t="s">
        <v>64</v>
      </c>
      <c r="K44" t="s">
        <v>44</v>
      </c>
      <c r="L44" t="s">
        <v>36</v>
      </c>
      <c r="M44" t="str">
        <f>VLOOKUP(Incidents[[#This Row],[Ticket ID]],[1]Incidents!$A$2:$D$792,4,FALSE)</f>
        <v>2 - High</v>
      </c>
      <c r="N44">
        <f>VLOOKUP(Incidents[[#This Row],[Priority]],'SLA Config'!$B$3:$C$6,2,FALSE)</f>
        <v>5</v>
      </c>
      <c r="O44" t="str">
        <f ca="1">IF(Incidents[[#This Row],[Age (days)]]&gt;Incidents[[#This Row],[SLA Threshold]],"NO","Yes")</f>
        <v>Yes</v>
      </c>
    </row>
    <row r="45" spans="1:15" x14ac:dyDescent="0.25">
      <c r="A45" s="2" t="s">
        <v>143</v>
      </c>
      <c r="B45" s="1">
        <v>45229</v>
      </c>
      <c r="C45" s="8">
        <v>45235</v>
      </c>
      <c r="D45" t="s">
        <v>29</v>
      </c>
      <c r="E45" t="s">
        <v>30</v>
      </c>
      <c r="F45" s="49">
        <f t="shared" ca="1" si="0"/>
        <v>5</v>
      </c>
      <c r="G45" s="16" t="s">
        <v>51</v>
      </c>
      <c r="H45" s="11" t="s">
        <v>144</v>
      </c>
      <c r="I45" t="s">
        <v>33</v>
      </c>
      <c r="J45" s="15" t="s">
        <v>64</v>
      </c>
      <c r="K45" t="s">
        <v>44</v>
      </c>
      <c r="L45" t="s">
        <v>36</v>
      </c>
      <c r="M45" t="str">
        <f>VLOOKUP(Incidents[[#This Row],[Ticket ID]],[1]Incidents!$A$2:$D$792,4,FALSE)</f>
        <v>3 - Medium</v>
      </c>
      <c r="N45">
        <f>VLOOKUP(Incidents[[#This Row],[Priority]],'SLA Config'!$B$3:$C$6,2,FALSE)</f>
        <v>15</v>
      </c>
      <c r="O45" t="str">
        <f ca="1">IF(Incidents[[#This Row],[Age (days)]]&gt;Incidents[[#This Row],[SLA Threshold]],"NO","Yes")</f>
        <v>Yes</v>
      </c>
    </row>
    <row r="46" spans="1:15" x14ac:dyDescent="0.25">
      <c r="A46" s="17" t="s">
        <v>145</v>
      </c>
      <c r="B46" s="1">
        <v>45257</v>
      </c>
      <c r="C46" s="8">
        <v>45262</v>
      </c>
      <c r="D46" t="s">
        <v>29</v>
      </c>
      <c r="E46" t="s">
        <v>38</v>
      </c>
      <c r="F46" s="49">
        <f t="shared" ca="1" si="0"/>
        <v>5</v>
      </c>
      <c r="G46" s="16" t="s">
        <v>51</v>
      </c>
      <c r="H46" s="11" t="s">
        <v>146</v>
      </c>
      <c r="I46" t="s">
        <v>33</v>
      </c>
      <c r="J46" s="14" t="s">
        <v>64</v>
      </c>
      <c r="K46" t="s">
        <v>44</v>
      </c>
      <c r="L46" t="s">
        <v>36</v>
      </c>
      <c r="M46" t="str">
        <f>VLOOKUP(Incidents[[#This Row],[Ticket ID]],[1]Incidents!$A$2:$D$792,4,FALSE)</f>
        <v>2 - High</v>
      </c>
      <c r="N46">
        <f>VLOOKUP(Incidents[[#This Row],[Priority]],'SLA Config'!$B$3:$C$6,2,FALSE)</f>
        <v>5</v>
      </c>
      <c r="O46" t="str">
        <f ca="1">IF(Incidents[[#This Row],[Age (days)]]&gt;Incidents[[#This Row],[SLA Threshold]],"NO","Yes")</f>
        <v>Yes</v>
      </c>
    </row>
    <row r="47" spans="1:15" x14ac:dyDescent="0.25">
      <c r="A47" s="2" t="s">
        <v>147</v>
      </c>
      <c r="B47" s="1">
        <v>45278</v>
      </c>
      <c r="C47" s="8">
        <v>45284</v>
      </c>
      <c r="D47" t="s">
        <v>29</v>
      </c>
      <c r="E47" s="17" t="s">
        <v>30</v>
      </c>
      <c r="F47" s="49">
        <f t="shared" ca="1" si="0"/>
        <v>5</v>
      </c>
      <c r="G47" s="16" t="s">
        <v>31</v>
      </c>
      <c r="H47" s="11" t="s">
        <v>148</v>
      </c>
      <c r="I47" t="s">
        <v>33</v>
      </c>
      <c r="J47" s="15" t="s">
        <v>64</v>
      </c>
      <c r="K47" t="s">
        <v>90</v>
      </c>
      <c r="L47" t="s">
        <v>36</v>
      </c>
      <c r="M47" t="str">
        <f>VLOOKUP(Incidents[[#This Row],[Ticket ID]],[1]Incidents!$A$2:$D$792,4,FALSE)</f>
        <v>4 - Low</v>
      </c>
      <c r="N47">
        <f>VLOOKUP(Incidents[[#This Row],[Priority]],'SLA Config'!$B$3:$C$6,2,FALSE)</f>
        <v>25</v>
      </c>
      <c r="O47" t="str">
        <f ca="1">IF(Incidents[[#This Row],[Age (days)]]&gt;Incidents[[#This Row],[SLA Threshold]],"NO","Yes")</f>
        <v>Yes</v>
      </c>
    </row>
    <row r="48" spans="1:15" x14ac:dyDescent="0.25">
      <c r="A48" s="2" t="s">
        <v>149</v>
      </c>
      <c r="B48" s="1">
        <v>45278</v>
      </c>
      <c r="C48" s="8">
        <v>45284</v>
      </c>
      <c r="D48" t="s">
        <v>29</v>
      </c>
      <c r="E48" s="17" t="s">
        <v>30</v>
      </c>
      <c r="F48" s="49">
        <f t="shared" ca="1" si="0"/>
        <v>5</v>
      </c>
      <c r="G48" s="16" t="s">
        <v>31</v>
      </c>
      <c r="H48" s="11" t="s">
        <v>150</v>
      </c>
      <c r="I48" t="s">
        <v>33</v>
      </c>
      <c r="J48" s="14" t="s">
        <v>64</v>
      </c>
      <c r="K48" t="s">
        <v>44</v>
      </c>
      <c r="L48" t="s">
        <v>36</v>
      </c>
      <c r="M48" t="str">
        <f>VLOOKUP(Incidents[[#This Row],[Ticket ID]],[1]Incidents!$A$2:$D$792,4,FALSE)</f>
        <v>2 - High</v>
      </c>
      <c r="N48">
        <f>VLOOKUP(Incidents[[#This Row],[Priority]],'SLA Config'!$B$3:$C$6,2,FALSE)</f>
        <v>5</v>
      </c>
      <c r="O48" t="str">
        <f ca="1">IF(Incidents[[#This Row],[Age (days)]]&gt;Incidents[[#This Row],[SLA Threshold]],"NO","Yes")</f>
        <v>Yes</v>
      </c>
    </row>
    <row r="49" spans="1:15" x14ac:dyDescent="0.25">
      <c r="A49" s="19" t="s">
        <v>151</v>
      </c>
      <c r="B49" s="1">
        <v>45313</v>
      </c>
      <c r="C49" s="8">
        <v>45319</v>
      </c>
      <c r="D49" t="s">
        <v>29</v>
      </c>
      <c r="E49" t="s">
        <v>30</v>
      </c>
      <c r="F49" s="49">
        <f t="shared" ca="1" si="0"/>
        <v>5</v>
      </c>
      <c r="G49" s="16" t="s">
        <v>31</v>
      </c>
      <c r="H49" s="11" t="s">
        <v>152</v>
      </c>
      <c r="I49" t="s">
        <v>33</v>
      </c>
      <c r="J49" s="15" t="s">
        <v>69</v>
      </c>
      <c r="K49" t="s">
        <v>44</v>
      </c>
      <c r="L49" t="s">
        <v>36</v>
      </c>
      <c r="M49" t="str">
        <f>VLOOKUP(Incidents[[#This Row],[Ticket ID]],[1]Incidents!$A$2:$D$792,4,FALSE)</f>
        <v>3 - Medium</v>
      </c>
      <c r="N49">
        <f>VLOOKUP(Incidents[[#This Row],[Priority]],'SLA Config'!$B$3:$C$6,2,FALSE)</f>
        <v>15</v>
      </c>
      <c r="O49" t="str">
        <f ca="1">IF(Incidents[[#This Row],[Age (days)]]&gt;Incidents[[#This Row],[SLA Threshold]],"NO","Yes")</f>
        <v>Yes</v>
      </c>
    </row>
    <row r="50" spans="1:15" x14ac:dyDescent="0.25">
      <c r="A50" s="2" t="s">
        <v>153</v>
      </c>
      <c r="B50" s="1">
        <v>45334</v>
      </c>
      <c r="C50" s="8">
        <v>45340</v>
      </c>
      <c r="D50" t="s">
        <v>29</v>
      </c>
      <c r="E50" s="17" t="s">
        <v>30</v>
      </c>
      <c r="F50" s="49">
        <f t="shared" ca="1" si="0"/>
        <v>5</v>
      </c>
      <c r="G50" s="16" t="s">
        <v>31</v>
      </c>
      <c r="H50" s="11" t="s">
        <v>154</v>
      </c>
      <c r="I50" t="s">
        <v>33</v>
      </c>
      <c r="J50" s="15" t="s">
        <v>64</v>
      </c>
      <c r="K50" t="s">
        <v>90</v>
      </c>
      <c r="L50" t="s">
        <v>36</v>
      </c>
      <c r="M50" t="str">
        <f>VLOOKUP(Incidents[[#This Row],[Ticket ID]],[1]Incidents!$A$2:$D$792,4,FALSE)</f>
        <v>2 - High</v>
      </c>
      <c r="N50">
        <f>VLOOKUP(Incidents[[#This Row],[Priority]],'SLA Config'!$B$3:$C$6,2,FALSE)</f>
        <v>5</v>
      </c>
      <c r="O50" t="str">
        <f ca="1">IF(Incidents[[#This Row],[Age (days)]]&gt;Incidents[[#This Row],[SLA Threshold]],"NO","Yes")</f>
        <v>Yes</v>
      </c>
    </row>
    <row r="51" spans="1:15" x14ac:dyDescent="0.25">
      <c r="A51" s="2" t="s">
        <v>155</v>
      </c>
      <c r="B51" s="1">
        <v>45334</v>
      </c>
      <c r="C51" s="8">
        <v>45340</v>
      </c>
      <c r="D51" t="s">
        <v>29</v>
      </c>
      <c r="E51" s="17" t="s">
        <v>30</v>
      </c>
      <c r="F51" s="49">
        <f t="shared" ca="1" si="0"/>
        <v>5</v>
      </c>
      <c r="G51" s="16" t="s">
        <v>31</v>
      </c>
      <c r="H51" s="11" t="s">
        <v>156</v>
      </c>
      <c r="I51" t="s">
        <v>33</v>
      </c>
      <c r="J51" s="14" t="s">
        <v>64</v>
      </c>
      <c r="K51" t="s">
        <v>44</v>
      </c>
      <c r="L51" t="s">
        <v>36</v>
      </c>
      <c r="M51" t="str">
        <f>VLOOKUP(Incidents[[#This Row],[Ticket ID]],[1]Incidents!$A$2:$D$792,4,FALSE)</f>
        <v>2 - High</v>
      </c>
      <c r="N51">
        <f>VLOOKUP(Incidents[[#This Row],[Priority]],'SLA Config'!$B$3:$C$6,2,FALSE)</f>
        <v>5</v>
      </c>
      <c r="O51" t="str">
        <f ca="1">IF(Incidents[[#This Row],[Age (days)]]&gt;Incidents[[#This Row],[SLA Threshold]],"NO","Yes")</f>
        <v>Yes</v>
      </c>
    </row>
    <row r="52" spans="1:15" x14ac:dyDescent="0.25">
      <c r="A52" s="2" t="s">
        <v>157</v>
      </c>
      <c r="B52" s="1">
        <v>45341</v>
      </c>
      <c r="C52" s="8">
        <v>45347</v>
      </c>
      <c r="D52" t="s">
        <v>29</v>
      </c>
      <c r="E52" t="s">
        <v>30</v>
      </c>
      <c r="F52" s="49">
        <f t="shared" ca="1" si="0"/>
        <v>5</v>
      </c>
      <c r="G52" s="16" t="s">
        <v>31</v>
      </c>
      <c r="H52" s="11" t="s">
        <v>158</v>
      </c>
      <c r="I52" t="s">
        <v>33</v>
      </c>
      <c r="J52" s="14" t="s">
        <v>64</v>
      </c>
      <c r="K52" t="s">
        <v>44</v>
      </c>
      <c r="L52" t="s">
        <v>36</v>
      </c>
      <c r="M52" t="str">
        <f>VLOOKUP(Incidents[[#This Row],[Ticket ID]],[1]Incidents!$A$2:$D$792,4,FALSE)</f>
        <v>2 - High</v>
      </c>
      <c r="N52">
        <f>VLOOKUP(Incidents[[#This Row],[Priority]],'SLA Config'!$B$3:$C$6,2,FALSE)</f>
        <v>5</v>
      </c>
      <c r="O52" t="str">
        <f ca="1">IF(Incidents[[#This Row],[Age (days)]]&gt;Incidents[[#This Row],[SLA Threshold]],"NO","Yes")</f>
        <v>Yes</v>
      </c>
    </row>
    <row r="53" spans="1:15" x14ac:dyDescent="0.25">
      <c r="A53" s="19" t="s">
        <v>159</v>
      </c>
      <c r="B53" s="8">
        <v>45390</v>
      </c>
      <c r="C53" s="8">
        <v>45395</v>
      </c>
      <c r="D53" t="s">
        <v>29</v>
      </c>
      <c r="E53" t="s">
        <v>30</v>
      </c>
      <c r="F53" s="49">
        <f t="shared" ca="1" si="0"/>
        <v>5</v>
      </c>
      <c r="G53" s="16" t="s">
        <v>31</v>
      </c>
      <c r="H53" s="11" t="s">
        <v>160</v>
      </c>
      <c r="I53" t="s">
        <v>33</v>
      </c>
      <c r="J53" s="14" t="s">
        <v>64</v>
      </c>
      <c r="K53" t="s">
        <v>90</v>
      </c>
      <c r="L53" t="s">
        <v>36</v>
      </c>
      <c r="M53" t="str">
        <f>VLOOKUP(Incidents[[#This Row],[Ticket ID]],[1]Incidents!$A$2:$D$792,4,FALSE)</f>
        <v>2 - High</v>
      </c>
      <c r="N53">
        <f>VLOOKUP(Incidents[[#This Row],[Priority]],'SLA Config'!$B$3:$C$6,2,FALSE)</f>
        <v>5</v>
      </c>
      <c r="O53" t="str">
        <f ca="1">IF(Incidents[[#This Row],[Age (days)]]&gt;Incidents[[#This Row],[SLA Threshold]],"NO","Yes")</f>
        <v>Yes</v>
      </c>
    </row>
    <row r="54" spans="1:15" x14ac:dyDescent="0.25">
      <c r="A54" s="19" t="s">
        <v>161</v>
      </c>
      <c r="B54" s="8">
        <v>45442</v>
      </c>
      <c r="C54" s="8">
        <v>45448</v>
      </c>
      <c r="D54" t="s">
        <v>29</v>
      </c>
      <c r="E54" s="17" t="s">
        <v>30</v>
      </c>
      <c r="F54" s="49">
        <f t="shared" ca="1" si="0"/>
        <v>5</v>
      </c>
      <c r="G54" s="16" t="s">
        <v>31</v>
      </c>
      <c r="H54" s="11" t="s">
        <v>162</v>
      </c>
      <c r="I54" t="s">
        <v>33</v>
      </c>
      <c r="J54" s="14" t="s">
        <v>69</v>
      </c>
      <c r="K54" s="27" t="s">
        <v>81</v>
      </c>
      <c r="L54" t="s">
        <v>71</v>
      </c>
      <c r="M54" t="str">
        <f>VLOOKUP(Incidents[[#This Row],[Ticket ID]],[1]Incidents!$A$2:$D$792,4,FALSE)</f>
        <v>4 - Low</v>
      </c>
      <c r="N54">
        <f>VLOOKUP(Incidents[[#This Row],[Priority]],'SLA Config'!$B$3:$C$6,2,FALSE)</f>
        <v>25</v>
      </c>
      <c r="O54" t="str">
        <f ca="1">IF(Incidents[[#This Row],[Age (days)]]&gt;Incidents[[#This Row],[SLA Threshold]],"NO","Yes")</f>
        <v>Yes</v>
      </c>
    </row>
    <row r="55" spans="1:15" x14ac:dyDescent="0.25">
      <c r="A55" s="19" t="s">
        <v>163</v>
      </c>
      <c r="B55" s="8">
        <v>45460</v>
      </c>
      <c r="C55" s="8">
        <v>45465</v>
      </c>
      <c r="D55" t="s">
        <v>29</v>
      </c>
      <c r="E55" t="s">
        <v>46</v>
      </c>
      <c r="F55" s="49">
        <f t="shared" ca="1" si="0"/>
        <v>5</v>
      </c>
      <c r="G55" s="16" t="s">
        <v>31</v>
      </c>
      <c r="H55" t="s">
        <v>164</v>
      </c>
      <c r="I55" t="s">
        <v>33</v>
      </c>
      <c r="J55" s="14" t="s">
        <v>69</v>
      </c>
      <c r="K55" t="s">
        <v>70</v>
      </c>
      <c r="L55" s="27" t="s">
        <v>71</v>
      </c>
      <c r="M55" t="str">
        <f>VLOOKUP(Incidents[[#This Row],[Ticket ID]],[1]Incidents!$A$2:$D$792,4,FALSE)</f>
        <v>4 - Low</v>
      </c>
      <c r="N55">
        <f>VLOOKUP(Incidents[[#This Row],[Priority]],'SLA Config'!$B$3:$C$6,2,FALSE)</f>
        <v>25</v>
      </c>
      <c r="O55" t="str">
        <f ca="1">IF(Incidents[[#This Row],[Age (days)]]&gt;Incidents[[#This Row],[SLA Threshold]],"NO","Yes")</f>
        <v>Yes</v>
      </c>
    </row>
    <row r="56" spans="1:15" ht="30" x14ac:dyDescent="0.25">
      <c r="A56" s="19" t="s">
        <v>165</v>
      </c>
      <c r="B56" s="8">
        <v>45488</v>
      </c>
      <c r="C56" s="8">
        <v>45494</v>
      </c>
      <c r="D56" t="s">
        <v>29</v>
      </c>
      <c r="E56" s="17" t="s">
        <v>46</v>
      </c>
      <c r="F56" s="49">
        <f t="shared" ca="1" si="0"/>
        <v>5</v>
      </c>
      <c r="G56" s="16" t="s">
        <v>31</v>
      </c>
      <c r="H56" s="11" t="s">
        <v>166</v>
      </c>
      <c r="I56" t="s">
        <v>33</v>
      </c>
      <c r="J56" s="14" t="s">
        <v>69</v>
      </c>
      <c r="K56" s="27" t="s">
        <v>70</v>
      </c>
      <c r="L56" t="s">
        <v>71</v>
      </c>
      <c r="M56" t="str">
        <f>VLOOKUP(Incidents[[#This Row],[Ticket ID]],[1]Incidents!$A$2:$D$792,4,FALSE)</f>
        <v>4 - Low</v>
      </c>
      <c r="N56">
        <f>VLOOKUP(Incidents[[#This Row],[Priority]],'SLA Config'!$B$3:$C$6,2,FALSE)</f>
        <v>25</v>
      </c>
      <c r="O56" t="str">
        <f ca="1">IF(Incidents[[#This Row],[Age (days)]]&gt;Incidents[[#This Row],[SLA Threshold]],"NO","Yes")</f>
        <v>Yes</v>
      </c>
    </row>
    <row r="57" spans="1:15" x14ac:dyDescent="0.25">
      <c r="A57" s="19" t="s">
        <v>167</v>
      </c>
      <c r="B57" s="8">
        <v>45495</v>
      </c>
      <c r="C57" s="8">
        <v>45501</v>
      </c>
      <c r="D57" t="s">
        <v>29</v>
      </c>
      <c r="E57" t="s">
        <v>38</v>
      </c>
      <c r="F57" s="49">
        <f t="shared" ca="1" si="0"/>
        <v>5</v>
      </c>
      <c r="G57" s="16" t="s">
        <v>31</v>
      </c>
      <c r="H57" t="s">
        <v>168</v>
      </c>
      <c r="I57" t="s">
        <v>33</v>
      </c>
      <c r="J57" s="14" t="s">
        <v>34</v>
      </c>
      <c r="K57" t="s">
        <v>41</v>
      </c>
      <c r="L57" t="s">
        <v>36</v>
      </c>
      <c r="M57" t="str">
        <f>VLOOKUP(Incidents[[#This Row],[Ticket ID]],[1]Incidents!$A$2:$D$792,4,FALSE)</f>
        <v>4 - Low</v>
      </c>
      <c r="N57">
        <f>VLOOKUP(Incidents[[#This Row],[Priority]],'SLA Config'!$B$3:$C$6,2,FALSE)</f>
        <v>25</v>
      </c>
      <c r="O57" t="str">
        <f ca="1">IF(Incidents[[#This Row],[Age (days)]]&gt;Incidents[[#This Row],[SLA Threshold]],"NO","Yes")</f>
        <v>Yes</v>
      </c>
    </row>
    <row r="58" spans="1:15" x14ac:dyDescent="0.25">
      <c r="A58" t="s">
        <v>169</v>
      </c>
      <c r="B58" s="1">
        <v>44813</v>
      </c>
      <c r="C58" s="1">
        <v>44818</v>
      </c>
      <c r="D58" t="s">
        <v>29</v>
      </c>
      <c r="E58" t="s">
        <v>54</v>
      </c>
      <c r="F58" s="49">
        <f t="shared" ca="1" si="0"/>
        <v>4</v>
      </c>
      <c r="G58" s="16" t="s">
        <v>31</v>
      </c>
      <c r="H58" s="11" t="s">
        <v>170</v>
      </c>
      <c r="I58" t="s">
        <v>33</v>
      </c>
      <c r="J58" s="14" t="s">
        <v>64</v>
      </c>
      <c r="K58" t="s">
        <v>44</v>
      </c>
      <c r="L58" t="s">
        <v>36</v>
      </c>
      <c r="M58" t="str">
        <f>VLOOKUP(Incidents[[#This Row],[Ticket ID]],[1]Incidents!$A$2:$D$792,4,FALSE)</f>
        <v>3 - Medium</v>
      </c>
      <c r="N58">
        <f>VLOOKUP(Incidents[[#This Row],[Priority]],'SLA Config'!$B$3:$C$6,2,FALSE)</f>
        <v>15</v>
      </c>
      <c r="O58" t="str">
        <f ca="1">IF(Incidents[[#This Row],[Age (days)]]&gt;Incidents[[#This Row],[SLA Threshold]],"NO","Yes")</f>
        <v>Yes</v>
      </c>
    </row>
    <row r="59" spans="1:15" ht="30" x14ac:dyDescent="0.25">
      <c r="A59" s="2" t="s">
        <v>171</v>
      </c>
      <c r="B59" s="1">
        <v>45020</v>
      </c>
      <c r="C59" s="8">
        <v>45025</v>
      </c>
      <c r="D59" t="s">
        <v>29</v>
      </c>
      <c r="E59" t="s">
        <v>54</v>
      </c>
      <c r="F59" s="49">
        <f t="shared" ca="1" si="0"/>
        <v>4</v>
      </c>
      <c r="G59" s="16" t="s">
        <v>31</v>
      </c>
      <c r="H59" s="11" t="s">
        <v>172</v>
      </c>
      <c r="I59" t="s">
        <v>33</v>
      </c>
      <c r="J59" s="14" t="s">
        <v>64</v>
      </c>
      <c r="K59" t="s">
        <v>44</v>
      </c>
      <c r="L59" t="s">
        <v>36</v>
      </c>
      <c r="M59" t="str">
        <f>VLOOKUP(Incidents[[#This Row],[Ticket ID]],[1]Incidents!$A$2:$D$792,4,FALSE)</f>
        <v>3 - Medium</v>
      </c>
      <c r="N59">
        <f>VLOOKUP(Incidents[[#This Row],[Priority]],'SLA Config'!$B$3:$C$6,2,FALSE)</f>
        <v>15</v>
      </c>
      <c r="O59" t="str">
        <f ca="1">IF(Incidents[[#This Row],[Age (days)]]&gt;Incidents[[#This Row],[SLA Threshold]],"NO","Yes")</f>
        <v>Yes</v>
      </c>
    </row>
    <row r="60" spans="1:15" x14ac:dyDescent="0.25">
      <c r="A60" s="2" t="s">
        <v>173</v>
      </c>
      <c r="B60" s="1">
        <v>45162</v>
      </c>
      <c r="C60" s="8">
        <v>45167</v>
      </c>
      <c r="D60" t="s">
        <v>29</v>
      </c>
      <c r="E60" s="17" t="s">
        <v>104</v>
      </c>
      <c r="F60" s="49">
        <f t="shared" ca="1" si="0"/>
        <v>4</v>
      </c>
      <c r="G60" s="16" t="s">
        <v>51</v>
      </c>
      <c r="H60" s="11" t="s">
        <v>174</v>
      </c>
      <c r="I60" t="s">
        <v>33</v>
      </c>
      <c r="J60" s="14" t="s">
        <v>64</v>
      </c>
      <c r="K60" t="s">
        <v>44</v>
      </c>
      <c r="L60" t="s">
        <v>36</v>
      </c>
      <c r="M60" t="str">
        <f>VLOOKUP(Incidents[[#This Row],[Ticket ID]],[1]Incidents!$A$2:$D$792,4,FALSE)</f>
        <v>4 - Low</v>
      </c>
      <c r="N60">
        <f>VLOOKUP(Incidents[[#This Row],[Priority]],'SLA Config'!$B$3:$C$6,2,FALSE)</f>
        <v>25</v>
      </c>
      <c r="O60" t="str">
        <f ca="1">IF(Incidents[[#This Row],[Age (days)]]&gt;Incidents[[#This Row],[SLA Threshold]],"NO","Yes")</f>
        <v>Yes</v>
      </c>
    </row>
    <row r="61" spans="1:15" x14ac:dyDescent="0.25">
      <c r="A61" s="17" t="s">
        <v>175</v>
      </c>
      <c r="B61" s="1">
        <v>45258</v>
      </c>
      <c r="C61" s="8">
        <v>45263</v>
      </c>
      <c r="D61" t="s">
        <v>29</v>
      </c>
      <c r="E61" t="s">
        <v>104</v>
      </c>
      <c r="F61" s="49">
        <f t="shared" ca="1" si="0"/>
        <v>4</v>
      </c>
      <c r="G61" s="16" t="s">
        <v>51</v>
      </c>
      <c r="H61" s="11" t="s">
        <v>176</v>
      </c>
      <c r="I61" t="s">
        <v>33</v>
      </c>
      <c r="J61" s="14" t="s">
        <v>64</v>
      </c>
      <c r="K61" t="s">
        <v>119</v>
      </c>
      <c r="L61" t="s">
        <v>120</v>
      </c>
      <c r="M61" t="str">
        <f>VLOOKUP(Incidents[[#This Row],[Ticket ID]],[1]Incidents!$A$2:$D$792,4,FALSE)</f>
        <v>3 - Medium</v>
      </c>
      <c r="N61">
        <f>VLOOKUP(Incidents[[#This Row],[Priority]],'SLA Config'!$B$3:$C$6,2,FALSE)</f>
        <v>15</v>
      </c>
      <c r="O61" t="str">
        <f ca="1">IF(Incidents[[#This Row],[Age (days)]]&gt;Incidents[[#This Row],[SLA Threshold]],"NO","Yes")</f>
        <v>Yes</v>
      </c>
    </row>
    <row r="62" spans="1:15" x14ac:dyDescent="0.25">
      <c r="A62" s="19" t="s">
        <v>177</v>
      </c>
      <c r="B62" s="1">
        <v>45295</v>
      </c>
      <c r="C62" s="8">
        <v>45300</v>
      </c>
      <c r="D62" t="s">
        <v>29</v>
      </c>
      <c r="E62" s="17" t="s">
        <v>38</v>
      </c>
      <c r="F62" s="49">
        <f t="shared" ca="1" si="0"/>
        <v>4</v>
      </c>
      <c r="G62" s="16" t="s">
        <v>31</v>
      </c>
      <c r="H62" s="11" t="s">
        <v>178</v>
      </c>
      <c r="I62" t="s">
        <v>33</v>
      </c>
      <c r="J62" s="14" t="s">
        <v>64</v>
      </c>
      <c r="K62" t="s">
        <v>41</v>
      </c>
      <c r="L62" t="s">
        <v>36</v>
      </c>
      <c r="M62" t="str">
        <f>VLOOKUP(Incidents[[#This Row],[Ticket ID]],[1]Incidents!$A$2:$D$792,4,FALSE)</f>
        <v>2 - High</v>
      </c>
      <c r="N62">
        <f>VLOOKUP(Incidents[[#This Row],[Priority]],'SLA Config'!$B$3:$C$6,2,FALSE)</f>
        <v>5</v>
      </c>
      <c r="O62" t="str">
        <f ca="1">IF(Incidents[[#This Row],[Age (days)]]&gt;Incidents[[#This Row],[SLA Threshold]],"NO","Yes")</f>
        <v>Yes</v>
      </c>
    </row>
    <row r="63" spans="1:15" x14ac:dyDescent="0.25">
      <c r="A63" s="2" t="s">
        <v>179</v>
      </c>
      <c r="B63" s="1">
        <v>45336</v>
      </c>
      <c r="C63" s="8">
        <v>45341</v>
      </c>
      <c r="D63" t="s">
        <v>29</v>
      </c>
      <c r="E63" t="s">
        <v>30</v>
      </c>
      <c r="F63" s="49">
        <f t="shared" ca="1" si="0"/>
        <v>4</v>
      </c>
      <c r="G63" s="16" t="s">
        <v>31</v>
      </c>
      <c r="H63" s="11" t="s">
        <v>180</v>
      </c>
      <c r="I63" t="s">
        <v>33</v>
      </c>
      <c r="J63" s="14" t="s">
        <v>64</v>
      </c>
      <c r="K63" t="s">
        <v>44</v>
      </c>
      <c r="L63" t="s">
        <v>36</v>
      </c>
      <c r="M63" t="str">
        <f>VLOOKUP(Incidents[[#This Row],[Ticket ID]],[1]Incidents!$A$2:$D$792,4,FALSE)</f>
        <v>2 - High</v>
      </c>
      <c r="N63">
        <f>VLOOKUP(Incidents[[#This Row],[Priority]],'SLA Config'!$B$3:$C$6,2,FALSE)</f>
        <v>5</v>
      </c>
      <c r="O63" t="str">
        <f ca="1">IF(Incidents[[#This Row],[Age (days)]]&gt;Incidents[[#This Row],[SLA Threshold]],"NO","Yes")</f>
        <v>Yes</v>
      </c>
    </row>
    <row r="64" spans="1:15" x14ac:dyDescent="0.25">
      <c r="A64" s="2" t="s">
        <v>181</v>
      </c>
      <c r="B64" s="1">
        <v>45344</v>
      </c>
      <c r="C64" s="8">
        <v>45349</v>
      </c>
      <c r="D64" t="s">
        <v>29</v>
      </c>
      <c r="E64" t="s">
        <v>30</v>
      </c>
      <c r="F64" s="49">
        <f t="shared" ca="1" si="0"/>
        <v>4</v>
      </c>
      <c r="G64" s="16" t="s">
        <v>31</v>
      </c>
      <c r="H64" s="11" t="s">
        <v>182</v>
      </c>
      <c r="I64" t="s">
        <v>33</v>
      </c>
      <c r="J64" s="14" t="s">
        <v>64</v>
      </c>
      <c r="K64" t="s">
        <v>90</v>
      </c>
      <c r="L64" t="s">
        <v>36</v>
      </c>
      <c r="M64" t="str">
        <f>VLOOKUP(Incidents[[#This Row],[Ticket ID]],[1]Incidents!$A$2:$D$792,4,FALSE)</f>
        <v>2 - High</v>
      </c>
      <c r="N64">
        <f>VLOOKUP(Incidents[[#This Row],[Priority]],'SLA Config'!$B$3:$C$6,2,FALSE)</f>
        <v>5</v>
      </c>
      <c r="O64" t="str">
        <f ca="1">IF(Incidents[[#This Row],[Age (days)]]&gt;Incidents[[#This Row],[SLA Threshold]],"NO","Yes")</f>
        <v>Yes</v>
      </c>
    </row>
    <row r="65" spans="1:15" x14ac:dyDescent="0.25">
      <c r="A65" s="2" t="s">
        <v>183</v>
      </c>
      <c r="B65" s="1">
        <v>45363</v>
      </c>
      <c r="C65" s="8">
        <v>45368</v>
      </c>
      <c r="D65" t="s">
        <v>29</v>
      </c>
      <c r="E65" t="s">
        <v>38</v>
      </c>
      <c r="F65" s="49">
        <f t="shared" ca="1" si="0"/>
        <v>4</v>
      </c>
      <c r="G65" s="16" t="s">
        <v>51</v>
      </c>
      <c r="H65" t="s">
        <v>184</v>
      </c>
      <c r="I65" t="s">
        <v>33</v>
      </c>
      <c r="J65" s="14" t="s">
        <v>64</v>
      </c>
      <c r="K65" t="s">
        <v>44</v>
      </c>
      <c r="L65" t="s">
        <v>36</v>
      </c>
      <c r="M65" t="str">
        <f>VLOOKUP(Incidents[[#This Row],[Ticket ID]],[1]Incidents!$A$2:$D$792,4,FALSE)</f>
        <v>2 - High</v>
      </c>
      <c r="N65">
        <f>VLOOKUP(Incidents[[#This Row],[Priority]],'SLA Config'!$B$3:$C$6,2,FALSE)</f>
        <v>5</v>
      </c>
      <c r="O65" t="str">
        <f ca="1">IF(Incidents[[#This Row],[Age (days)]]&gt;Incidents[[#This Row],[SLA Threshold]],"NO","Yes")</f>
        <v>Yes</v>
      </c>
    </row>
    <row r="66" spans="1:15" x14ac:dyDescent="0.25">
      <c r="A66" s="2" t="s">
        <v>185</v>
      </c>
      <c r="B66" s="1">
        <v>45364</v>
      </c>
      <c r="C66" s="8">
        <v>45369</v>
      </c>
      <c r="D66" t="s">
        <v>29</v>
      </c>
      <c r="E66" t="s">
        <v>30</v>
      </c>
      <c r="F66" s="49">
        <f t="shared" ref="F66:F129" ca="1" si="1">IF(ISBLANK(C66), NETWORKDAYS(B66,TODAY()), NETWORKDAYS(B66,C66))</f>
        <v>4</v>
      </c>
      <c r="G66" s="16" t="s">
        <v>31</v>
      </c>
      <c r="H66" t="s">
        <v>186</v>
      </c>
      <c r="I66" t="s">
        <v>33</v>
      </c>
      <c r="J66" s="14" t="s">
        <v>64</v>
      </c>
      <c r="K66" t="s">
        <v>90</v>
      </c>
      <c r="L66" t="s">
        <v>36</v>
      </c>
      <c r="M66" t="str">
        <f>VLOOKUP(Incidents[[#This Row],[Ticket ID]],[1]Incidents!$A$2:$D$792,4,FALSE)</f>
        <v>4 - Low</v>
      </c>
      <c r="N66">
        <f>VLOOKUP(Incidents[[#This Row],[Priority]],'SLA Config'!$B$3:$C$6,2,FALSE)</f>
        <v>25</v>
      </c>
      <c r="O66" t="str">
        <f ca="1">IF(Incidents[[#This Row],[Age (days)]]&gt;Incidents[[#This Row],[SLA Threshold]],"NO","Yes")</f>
        <v>Yes</v>
      </c>
    </row>
    <row r="67" spans="1:15" x14ac:dyDescent="0.25">
      <c r="A67" s="2" t="s">
        <v>187</v>
      </c>
      <c r="B67" s="8">
        <v>45441</v>
      </c>
      <c r="C67" s="8">
        <v>45446</v>
      </c>
      <c r="D67" t="s">
        <v>29</v>
      </c>
      <c r="E67" t="s">
        <v>38</v>
      </c>
      <c r="F67" s="49">
        <f t="shared" ca="1" si="1"/>
        <v>4</v>
      </c>
      <c r="G67" s="16" t="s">
        <v>31</v>
      </c>
      <c r="H67" t="s">
        <v>188</v>
      </c>
      <c r="I67" t="s">
        <v>33</v>
      </c>
      <c r="J67" s="14" t="s">
        <v>69</v>
      </c>
      <c r="K67" t="s">
        <v>81</v>
      </c>
      <c r="L67" t="s">
        <v>71</v>
      </c>
      <c r="M67" t="str">
        <f>VLOOKUP(Incidents[[#This Row],[Ticket ID]],[1]Incidents!$A$2:$D$792,4,FALSE)</f>
        <v>4 - Low</v>
      </c>
      <c r="N67">
        <f>VLOOKUP(Incidents[[#This Row],[Priority]],'SLA Config'!$B$3:$C$6,2,FALSE)</f>
        <v>25</v>
      </c>
      <c r="O67" t="str">
        <f ca="1">IF(Incidents[[#This Row],[Age (days)]]&gt;Incidents[[#This Row],[SLA Threshold]],"NO","Yes")</f>
        <v>Yes</v>
      </c>
    </row>
    <row r="68" spans="1:15" x14ac:dyDescent="0.25">
      <c r="A68" s="19" t="s">
        <v>189</v>
      </c>
      <c r="B68" s="8">
        <v>45455</v>
      </c>
      <c r="C68" s="8">
        <v>45460</v>
      </c>
      <c r="D68" t="s">
        <v>29</v>
      </c>
      <c r="E68" s="17" t="s">
        <v>46</v>
      </c>
      <c r="F68" s="49">
        <f t="shared" ca="1" si="1"/>
        <v>4</v>
      </c>
      <c r="G68" s="16" t="s">
        <v>31</v>
      </c>
      <c r="H68" s="11" t="s">
        <v>190</v>
      </c>
      <c r="I68" t="s">
        <v>33</v>
      </c>
      <c r="J68" s="14" t="s">
        <v>69</v>
      </c>
      <c r="K68" s="27" t="s">
        <v>70</v>
      </c>
      <c r="L68" s="27" t="s">
        <v>71</v>
      </c>
      <c r="M68" t="str">
        <f>VLOOKUP(Incidents[[#This Row],[Ticket ID]],[1]Incidents!$A$2:$D$792,4,FALSE)</f>
        <v>4 - Low</v>
      </c>
      <c r="N68">
        <f>VLOOKUP(Incidents[[#This Row],[Priority]],'SLA Config'!$B$3:$C$6,2,FALSE)</f>
        <v>25</v>
      </c>
      <c r="O68" t="str">
        <f ca="1">IF(Incidents[[#This Row],[Age (days)]]&gt;Incidents[[#This Row],[SLA Threshold]],"NO","Yes")</f>
        <v>Yes</v>
      </c>
    </row>
    <row r="69" spans="1:15" x14ac:dyDescent="0.25">
      <c r="A69" s="2" t="s">
        <v>191</v>
      </c>
      <c r="B69" s="1">
        <v>45166</v>
      </c>
      <c r="C69" s="8">
        <v>45416</v>
      </c>
      <c r="D69" t="s">
        <v>29</v>
      </c>
      <c r="E69" t="s">
        <v>104</v>
      </c>
      <c r="F69" s="49">
        <f t="shared" ca="1" si="1"/>
        <v>180</v>
      </c>
      <c r="G69" s="16" t="s">
        <v>51</v>
      </c>
      <c r="H69" s="11" t="s">
        <v>192</v>
      </c>
      <c r="I69" t="s">
        <v>193</v>
      </c>
      <c r="J69" s="14" t="s">
        <v>40</v>
      </c>
      <c r="K69" t="s">
        <v>119</v>
      </c>
      <c r="L69" t="s">
        <v>120</v>
      </c>
      <c r="M69" t="str">
        <f>VLOOKUP(Incidents[[#This Row],[Ticket ID]],[1]Incidents!$A$2:$D$792,4,FALSE)</f>
        <v>2 - High</v>
      </c>
      <c r="N69">
        <f>VLOOKUP(Incidents[[#This Row],[Priority]],'SLA Config'!$B$3:$C$6,2,FALSE)</f>
        <v>5</v>
      </c>
      <c r="O69" t="str">
        <f ca="1">IF(Incidents[[#This Row],[Age (days)]]&gt;Incidents[[#This Row],[SLA Threshold]],"NO","Yes")</f>
        <v>NO</v>
      </c>
    </row>
    <row r="70" spans="1:15" x14ac:dyDescent="0.25">
      <c r="A70" s="19" t="s">
        <v>194</v>
      </c>
      <c r="B70" s="8">
        <v>45470</v>
      </c>
      <c r="C70" s="29">
        <v>45669</v>
      </c>
      <c r="D70" t="s">
        <v>29</v>
      </c>
      <c r="E70" s="17" t="s">
        <v>30</v>
      </c>
      <c r="F70" s="49">
        <f t="shared" ca="1" si="1"/>
        <v>142</v>
      </c>
      <c r="G70" s="16" t="s">
        <v>31</v>
      </c>
      <c r="H70" t="s">
        <v>195</v>
      </c>
      <c r="I70" t="s">
        <v>193</v>
      </c>
      <c r="J70" s="14" t="s">
        <v>196</v>
      </c>
      <c r="K70" s="27" t="s">
        <v>70</v>
      </c>
      <c r="L70" s="27" t="s">
        <v>71</v>
      </c>
      <c r="M70" t="str">
        <f>VLOOKUP(Incidents[[#This Row],[Ticket ID]],[1]Incidents!$A$2:$D$792,4,FALSE)</f>
        <v>4 - Low</v>
      </c>
      <c r="N70">
        <f>VLOOKUP(Incidents[[#This Row],[Priority]],'SLA Config'!$B$3:$C$6,2,FALSE)</f>
        <v>25</v>
      </c>
      <c r="O70" t="str">
        <f ca="1">IF(Incidents[[#This Row],[Age (days)]]&gt;Incidents[[#This Row],[SLA Threshold]],"NO","Yes")</f>
        <v>NO</v>
      </c>
    </row>
    <row r="71" spans="1:15" x14ac:dyDescent="0.25">
      <c r="A71" s="19" t="s">
        <v>197</v>
      </c>
      <c r="B71" s="8">
        <v>45474</v>
      </c>
      <c r="C71" s="29">
        <v>45668</v>
      </c>
      <c r="D71" t="s">
        <v>29</v>
      </c>
      <c r="E71" s="17" t="s">
        <v>38</v>
      </c>
      <c r="F71" s="49">
        <f t="shared" ca="1" si="1"/>
        <v>140</v>
      </c>
      <c r="G71" s="16" t="s">
        <v>31</v>
      </c>
      <c r="H71" s="11" t="s">
        <v>198</v>
      </c>
      <c r="I71" t="s">
        <v>193</v>
      </c>
      <c r="J71" s="14" t="s">
        <v>196</v>
      </c>
      <c r="K71" s="27" t="s">
        <v>81</v>
      </c>
      <c r="L71" t="s">
        <v>71</v>
      </c>
      <c r="M71" t="str">
        <f>VLOOKUP(Incidents[[#This Row],[Ticket ID]],[1]Incidents!$A$2:$D$792,4,FALSE)</f>
        <v>4 - Low</v>
      </c>
      <c r="N71">
        <f>VLOOKUP(Incidents[[#This Row],[Priority]],'SLA Config'!$B$3:$C$6,2,FALSE)</f>
        <v>25</v>
      </c>
      <c r="O71" t="str">
        <f ca="1">IF(Incidents[[#This Row],[Age (days)]]&gt;Incidents[[#This Row],[SLA Threshold]],"NO","Yes")</f>
        <v>NO</v>
      </c>
    </row>
    <row r="72" spans="1:15" x14ac:dyDescent="0.25">
      <c r="A72" t="s">
        <v>199</v>
      </c>
      <c r="B72" s="1">
        <v>44853</v>
      </c>
      <c r="C72" s="1">
        <v>45018</v>
      </c>
      <c r="D72" t="s">
        <v>29</v>
      </c>
      <c r="E72" t="s">
        <v>54</v>
      </c>
      <c r="F72" s="49">
        <f t="shared" ca="1" si="1"/>
        <v>118</v>
      </c>
      <c r="G72" s="16" t="s">
        <v>31</v>
      </c>
      <c r="H72" s="11" t="s">
        <v>200</v>
      </c>
      <c r="I72" t="s">
        <v>193</v>
      </c>
      <c r="J72" s="14" t="s">
        <v>40</v>
      </c>
      <c r="K72" t="s">
        <v>201</v>
      </c>
      <c r="L72" t="s">
        <v>120</v>
      </c>
      <c r="M72" t="str">
        <f>VLOOKUP(Incidents[[#This Row],[Ticket ID]],[1]Incidents!$A$2:$D$792,4,FALSE)</f>
        <v>4 - Low</v>
      </c>
      <c r="N72">
        <f>VLOOKUP(Incidents[[#This Row],[Priority]],'SLA Config'!$B$3:$C$6,2,FALSE)</f>
        <v>25</v>
      </c>
      <c r="O72" t="str">
        <f ca="1">IF(Incidents[[#This Row],[Age (days)]]&gt;Incidents[[#This Row],[SLA Threshold]],"NO","Yes")</f>
        <v>NO</v>
      </c>
    </row>
    <row r="73" spans="1:15" x14ac:dyDescent="0.25">
      <c r="A73" s="19" t="s">
        <v>202</v>
      </c>
      <c r="B73" s="1">
        <v>45322</v>
      </c>
      <c r="C73" s="8">
        <v>45482</v>
      </c>
      <c r="D73" t="s">
        <v>29</v>
      </c>
      <c r="E73" t="s">
        <v>38</v>
      </c>
      <c r="F73" s="49">
        <f t="shared" ca="1" si="1"/>
        <v>115</v>
      </c>
      <c r="G73" s="16" t="s">
        <v>31</v>
      </c>
      <c r="H73" s="11" t="s">
        <v>203</v>
      </c>
      <c r="I73" t="s">
        <v>193</v>
      </c>
      <c r="J73" s="14" t="s">
        <v>34</v>
      </c>
      <c r="K73" t="s">
        <v>81</v>
      </c>
      <c r="L73" t="s">
        <v>71</v>
      </c>
      <c r="M73" t="str">
        <f>VLOOKUP(Incidents[[#This Row],[Ticket ID]],[1]Incidents!$A$2:$D$792,4,FALSE)</f>
        <v>3 - Medium</v>
      </c>
      <c r="N73">
        <f>VLOOKUP(Incidents[[#This Row],[Priority]],'SLA Config'!$B$3:$C$6,2,FALSE)</f>
        <v>15</v>
      </c>
      <c r="O73" t="str">
        <f ca="1">IF(Incidents[[#This Row],[Age (days)]]&gt;Incidents[[#This Row],[SLA Threshold]],"NO","Yes")</f>
        <v>NO</v>
      </c>
    </row>
    <row r="74" spans="1:15" x14ac:dyDescent="0.25">
      <c r="A74" s="2" t="s">
        <v>204</v>
      </c>
      <c r="B74" s="1">
        <v>45042</v>
      </c>
      <c r="C74" s="8">
        <v>45200</v>
      </c>
      <c r="D74" t="s">
        <v>29</v>
      </c>
      <c r="E74" t="s">
        <v>104</v>
      </c>
      <c r="F74" s="49">
        <f t="shared" ca="1" si="1"/>
        <v>113</v>
      </c>
      <c r="G74" s="16" t="s">
        <v>31</v>
      </c>
      <c r="H74" s="11" t="s">
        <v>205</v>
      </c>
      <c r="I74" t="s">
        <v>193</v>
      </c>
      <c r="J74" s="14" t="s">
        <v>206</v>
      </c>
      <c r="K74" t="s">
        <v>207</v>
      </c>
      <c r="L74" t="s">
        <v>71</v>
      </c>
      <c r="M74" t="str">
        <f>VLOOKUP(Incidents[[#This Row],[Ticket ID]],[1]Incidents!$A$2:$D$792,4,FALSE)</f>
        <v>4 - Low</v>
      </c>
      <c r="N74">
        <f>VLOOKUP(Incidents[[#This Row],[Priority]],'SLA Config'!$B$3:$C$6,2,FALSE)</f>
        <v>25</v>
      </c>
      <c r="O74" t="str">
        <f ca="1">IF(Incidents[[#This Row],[Age (days)]]&gt;Incidents[[#This Row],[SLA Threshold]],"NO","Yes")</f>
        <v>NO</v>
      </c>
    </row>
    <row r="75" spans="1:15" x14ac:dyDescent="0.25">
      <c r="A75" s="2" t="s">
        <v>208</v>
      </c>
      <c r="B75" s="1">
        <v>45041</v>
      </c>
      <c r="C75" s="8">
        <v>45188</v>
      </c>
      <c r="D75" t="s">
        <v>29</v>
      </c>
      <c r="E75" t="s">
        <v>209</v>
      </c>
      <c r="F75" s="49">
        <f t="shared" ca="1" si="1"/>
        <v>106</v>
      </c>
      <c r="G75" s="16" t="s">
        <v>31</v>
      </c>
      <c r="H75" s="11" t="s">
        <v>210</v>
      </c>
      <c r="I75" t="s">
        <v>193</v>
      </c>
      <c r="J75" s="14" t="s">
        <v>40</v>
      </c>
      <c r="K75" t="s">
        <v>201</v>
      </c>
      <c r="L75" t="s">
        <v>120</v>
      </c>
      <c r="M75" t="str">
        <f>VLOOKUP(Incidents[[#This Row],[Ticket ID]],[1]Incidents!$A$2:$D$792,4,FALSE)</f>
        <v>4 - Low</v>
      </c>
      <c r="N75">
        <f>VLOOKUP(Incidents[[#This Row],[Priority]],'SLA Config'!$B$3:$C$6,2,FALSE)</f>
        <v>25</v>
      </c>
      <c r="O75" t="str">
        <f ca="1">IF(Incidents[[#This Row],[Age (days)]]&gt;Incidents[[#This Row],[SLA Threshold]],"NO","Yes")</f>
        <v>NO</v>
      </c>
    </row>
    <row r="76" spans="1:15" x14ac:dyDescent="0.25">
      <c r="A76" s="2" t="s">
        <v>211</v>
      </c>
      <c r="B76" s="1">
        <v>45177</v>
      </c>
      <c r="C76" s="8">
        <v>45326</v>
      </c>
      <c r="D76" t="s">
        <v>29</v>
      </c>
      <c r="E76" t="s">
        <v>104</v>
      </c>
      <c r="F76" s="49">
        <f t="shared" ca="1" si="1"/>
        <v>106</v>
      </c>
      <c r="G76" s="16" t="s">
        <v>31</v>
      </c>
      <c r="H76" s="11" t="s">
        <v>212</v>
      </c>
      <c r="I76" t="s">
        <v>193</v>
      </c>
      <c r="J76" s="14" t="s">
        <v>40</v>
      </c>
      <c r="K76" t="s">
        <v>201</v>
      </c>
      <c r="L76" t="s">
        <v>120</v>
      </c>
      <c r="M76" t="str">
        <f>VLOOKUP(Incidents[[#This Row],[Ticket ID]],[1]Incidents!$A$2:$D$792,4,FALSE)</f>
        <v>4 - Low</v>
      </c>
      <c r="N76">
        <f>VLOOKUP(Incidents[[#This Row],[Priority]],'SLA Config'!$B$3:$C$6,2,FALSE)</f>
        <v>25</v>
      </c>
      <c r="O76" t="str">
        <f ca="1">IF(Incidents[[#This Row],[Age (days)]]&gt;Incidents[[#This Row],[SLA Threshold]],"NO","Yes")</f>
        <v>NO</v>
      </c>
    </row>
    <row r="77" spans="1:15" x14ac:dyDescent="0.25">
      <c r="A77" s="2" t="s">
        <v>213</v>
      </c>
      <c r="B77" s="1">
        <v>45357</v>
      </c>
      <c r="C77" s="8">
        <v>45476</v>
      </c>
      <c r="D77" t="s">
        <v>29</v>
      </c>
      <c r="E77" t="s">
        <v>30</v>
      </c>
      <c r="F77" s="49">
        <f t="shared" ca="1" si="1"/>
        <v>86</v>
      </c>
      <c r="G77" s="16" t="s">
        <v>31</v>
      </c>
      <c r="H77" t="s">
        <v>214</v>
      </c>
      <c r="I77" t="s">
        <v>193</v>
      </c>
      <c r="J77" s="14" t="s">
        <v>40</v>
      </c>
      <c r="K77" t="s">
        <v>215</v>
      </c>
      <c r="L77" t="s">
        <v>120</v>
      </c>
      <c r="M77" t="str">
        <f>VLOOKUP(Incidents[[#This Row],[Ticket ID]],[1]Incidents!$A$2:$D$792,4,FALSE)</f>
        <v>3 - Medium</v>
      </c>
      <c r="N77">
        <f>VLOOKUP(Incidents[[#This Row],[Priority]],'SLA Config'!$B$3:$C$6,2,FALSE)</f>
        <v>15</v>
      </c>
      <c r="O77" t="str">
        <f ca="1">IF(Incidents[[#This Row],[Age (days)]]&gt;Incidents[[#This Row],[SLA Threshold]],"NO","Yes")</f>
        <v>NO</v>
      </c>
    </row>
    <row r="78" spans="1:15" ht="30" x14ac:dyDescent="0.25">
      <c r="A78" t="s">
        <v>216</v>
      </c>
      <c r="B78" s="1">
        <v>44826</v>
      </c>
      <c r="C78" s="1">
        <v>44941</v>
      </c>
      <c r="D78" t="s">
        <v>29</v>
      </c>
      <c r="E78" t="s">
        <v>54</v>
      </c>
      <c r="F78" s="49">
        <f t="shared" ca="1" si="1"/>
        <v>82</v>
      </c>
      <c r="G78" s="16" t="s">
        <v>31</v>
      </c>
      <c r="H78" s="11" t="s">
        <v>217</v>
      </c>
      <c r="I78" t="s">
        <v>193</v>
      </c>
      <c r="J78" s="14" t="s">
        <v>40</v>
      </c>
      <c r="K78" t="s">
        <v>218</v>
      </c>
      <c r="L78" t="s">
        <v>120</v>
      </c>
      <c r="M78" t="str">
        <f>VLOOKUP(Incidents[[#This Row],[Ticket ID]],[1]Incidents!$A$2:$D$792,4,FALSE)</f>
        <v>3 - Medium</v>
      </c>
      <c r="N78">
        <f>VLOOKUP(Incidents[[#This Row],[Priority]],'SLA Config'!$B$3:$C$6,2,FALSE)</f>
        <v>15</v>
      </c>
      <c r="O78" t="str">
        <f ca="1">IF(Incidents[[#This Row],[Age (days)]]&gt;Incidents[[#This Row],[SLA Threshold]],"NO","Yes")</f>
        <v>NO</v>
      </c>
    </row>
    <row r="79" spans="1:15" x14ac:dyDescent="0.25">
      <c r="A79" s="2" t="s">
        <v>219</v>
      </c>
      <c r="B79" s="1">
        <v>45372</v>
      </c>
      <c r="C79" s="8">
        <v>45487</v>
      </c>
      <c r="D79" t="s">
        <v>29</v>
      </c>
      <c r="E79" t="s">
        <v>38</v>
      </c>
      <c r="F79" s="49">
        <f t="shared" ca="1" si="1"/>
        <v>82</v>
      </c>
      <c r="G79" s="16" t="s">
        <v>31</v>
      </c>
      <c r="H79" t="s">
        <v>220</v>
      </c>
      <c r="I79" t="s">
        <v>193</v>
      </c>
      <c r="J79" s="14" t="s">
        <v>40</v>
      </c>
      <c r="K79" t="s">
        <v>215</v>
      </c>
      <c r="L79" t="s">
        <v>120</v>
      </c>
      <c r="M79" t="str">
        <f>VLOOKUP(Incidents[[#This Row],[Ticket ID]],[1]Incidents!$A$2:$D$792,4,FALSE)</f>
        <v>4 - Low</v>
      </c>
      <c r="N79">
        <f>VLOOKUP(Incidents[[#This Row],[Priority]],'SLA Config'!$B$3:$C$6,2,FALSE)</f>
        <v>25</v>
      </c>
      <c r="O79" t="str">
        <f ca="1">IF(Incidents[[#This Row],[Age (days)]]&gt;Incidents[[#This Row],[SLA Threshold]],"NO","Yes")</f>
        <v>NO</v>
      </c>
    </row>
    <row r="80" spans="1:15" x14ac:dyDescent="0.25">
      <c r="A80" t="s">
        <v>221</v>
      </c>
      <c r="B80" s="1">
        <v>44862</v>
      </c>
      <c r="C80" s="1">
        <v>44976</v>
      </c>
      <c r="D80" t="s">
        <v>29</v>
      </c>
      <c r="E80" t="s">
        <v>54</v>
      </c>
      <c r="F80" s="49">
        <f t="shared" ca="1" si="1"/>
        <v>81</v>
      </c>
      <c r="G80" s="16" t="s">
        <v>31</v>
      </c>
      <c r="H80" s="11" t="s">
        <v>222</v>
      </c>
      <c r="I80" t="s">
        <v>193</v>
      </c>
      <c r="J80" s="14" t="s">
        <v>40</v>
      </c>
      <c r="K80" t="s">
        <v>201</v>
      </c>
      <c r="L80" t="s">
        <v>120</v>
      </c>
      <c r="M80" t="str">
        <f>VLOOKUP(Incidents[[#This Row],[Ticket ID]],[1]Incidents!$A$2:$D$792,4,FALSE)</f>
        <v>4 - Low</v>
      </c>
      <c r="N80">
        <f>VLOOKUP(Incidents[[#This Row],[Priority]],'SLA Config'!$B$3:$C$6,2,FALSE)</f>
        <v>25</v>
      </c>
      <c r="O80" t="str">
        <f ca="1">IF(Incidents[[#This Row],[Age (days)]]&gt;Incidents[[#This Row],[SLA Threshold]],"NO","Yes")</f>
        <v>NO</v>
      </c>
    </row>
    <row r="81" spans="1:15" ht="30" x14ac:dyDescent="0.25">
      <c r="A81" s="2" t="s">
        <v>223</v>
      </c>
      <c r="B81" s="1">
        <v>45042</v>
      </c>
      <c r="C81" s="8">
        <v>45151</v>
      </c>
      <c r="D81" t="s">
        <v>29</v>
      </c>
      <c r="E81" t="s">
        <v>104</v>
      </c>
      <c r="F81" s="49">
        <f t="shared" ca="1" si="1"/>
        <v>78</v>
      </c>
      <c r="G81" s="16" t="s">
        <v>31</v>
      </c>
      <c r="H81" s="11" t="s">
        <v>224</v>
      </c>
      <c r="I81" t="s">
        <v>193</v>
      </c>
      <c r="J81" s="14" t="s">
        <v>206</v>
      </c>
      <c r="K81" t="s">
        <v>207</v>
      </c>
      <c r="L81" t="s">
        <v>71</v>
      </c>
      <c r="M81" t="str">
        <f>VLOOKUP(Incidents[[#This Row],[Ticket ID]],[1]Incidents!$A$2:$D$792,4,FALSE)</f>
        <v>4 - Low</v>
      </c>
      <c r="N81">
        <f>VLOOKUP(Incidents[[#This Row],[Priority]],'SLA Config'!$B$3:$C$6,2,FALSE)</f>
        <v>25</v>
      </c>
      <c r="O81" t="str">
        <f ca="1">IF(Incidents[[#This Row],[Age (days)]]&gt;Incidents[[#This Row],[SLA Threshold]],"NO","Yes")</f>
        <v>NO</v>
      </c>
    </row>
    <row r="82" spans="1:15" x14ac:dyDescent="0.25">
      <c r="A82" s="2" t="s">
        <v>225</v>
      </c>
      <c r="B82" s="1">
        <v>45042</v>
      </c>
      <c r="C82" s="8">
        <v>45151</v>
      </c>
      <c r="D82" t="s">
        <v>29</v>
      </c>
      <c r="E82" t="s">
        <v>104</v>
      </c>
      <c r="F82" s="49">
        <f t="shared" ca="1" si="1"/>
        <v>78</v>
      </c>
      <c r="G82" s="16" t="s">
        <v>31</v>
      </c>
      <c r="H82" s="11" t="s">
        <v>226</v>
      </c>
      <c r="I82" t="s">
        <v>193</v>
      </c>
      <c r="J82" s="14" t="s">
        <v>206</v>
      </c>
      <c r="K82" t="s">
        <v>207</v>
      </c>
      <c r="L82" t="s">
        <v>71</v>
      </c>
      <c r="M82" t="str">
        <f>VLOOKUP(Incidents[[#This Row],[Ticket ID]],[1]Incidents!$A$2:$D$792,4,FALSE)</f>
        <v>4 - Low</v>
      </c>
      <c r="N82">
        <f>VLOOKUP(Incidents[[#This Row],[Priority]],'SLA Config'!$B$3:$C$6,2,FALSE)</f>
        <v>25</v>
      </c>
      <c r="O82" t="str">
        <f ca="1">IF(Incidents[[#This Row],[Age (days)]]&gt;Incidents[[#This Row],[SLA Threshold]],"NO","Yes")</f>
        <v>NO</v>
      </c>
    </row>
    <row r="83" spans="1:15" x14ac:dyDescent="0.25">
      <c r="A83" s="2" t="s">
        <v>227</v>
      </c>
      <c r="B83" s="1">
        <v>45042</v>
      </c>
      <c r="C83" s="8">
        <v>45151</v>
      </c>
      <c r="D83" t="s">
        <v>29</v>
      </c>
      <c r="E83" t="s">
        <v>104</v>
      </c>
      <c r="F83" s="49">
        <f t="shared" ca="1" si="1"/>
        <v>78</v>
      </c>
      <c r="G83" s="16" t="s">
        <v>31</v>
      </c>
      <c r="H83" s="11" t="s">
        <v>228</v>
      </c>
      <c r="I83" t="s">
        <v>193</v>
      </c>
      <c r="J83" s="14" t="s">
        <v>206</v>
      </c>
      <c r="K83" t="s">
        <v>207</v>
      </c>
      <c r="L83" t="s">
        <v>71</v>
      </c>
      <c r="M83" t="str">
        <f>VLOOKUP(Incidents[[#This Row],[Ticket ID]],[1]Incidents!$A$2:$D$792,4,FALSE)</f>
        <v>4 - Low</v>
      </c>
      <c r="N83">
        <f>VLOOKUP(Incidents[[#This Row],[Priority]],'SLA Config'!$B$3:$C$6,2,FALSE)</f>
        <v>25</v>
      </c>
      <c r="O83" t="str">
        <f ca="1">IF(Incidents[[#This Row],[Age (days)]]&gt;Incidents[[#This Row],[SLA Threshold]],"NO","Yes")</f>
        <v>NO</v>
      </c>
    </row>
    <row r="84" spans="1:15" x14ac:dyDescent="0.25">
      <c r="A84" s="19" t="s">
        <v>229</v>
      </c>
      <c r="B84" s="1">
        <v>45309</v>
      </c>
      <c r="C84" s="8">
        <v>45418</v>
      </c>
      <c r="D84" t="s">
        <v>29</v>
      </c>
      <c r="E84" t="s">
        <v>38</v>
      </c>
      <c r="F84" s="49">
        <f t="shared" ca="1" si="1"/>
        <v>78</v>
      </c>
      <c r="G84" s="16" t="s">
        <v>31</v>
      </c>
      <c r="H84" s="11" t="s">
        <v>230</v>
      </c>
      <c r="I84" t="s">
        <v>193</v>
      </c>
      <c r="J84" s="14" t="s">
        <v>196</v>
      </c>
      <c r="K84" t="s">
        <v>231</v>
      </c>
      <c r="L84" t="s">
        <v>120</v>
      </c>
      <c r="M84" t="str">
        <f>VLOOKUP(Incidents[[#This Row],[Ticket ID]],[1]Incidents!$A$2:$D$792,4,FALSE)</f>
        <v>4 - Low</v>
      </c>
      <c r="N84">
        <f>VLOOKUP(Incidents[[#This Row],[Priority]],'SLA Config'!$B$3:$C$6,2,FALSE)</f>
        <v>25</v>
      </c>
      <c r="O84" t="str">
        <f ca="1">IF(Incidents[[#This Row],[Age (days)]]&gt;Incidents[[#This Row],[SLA Threshold]],"NO","Yes")</f>
        <v>NO</v>
      </c>
    </row>
    <row r="85" spans="1:15" ht="30" x14ac:dyDescent="0.25">
      <c r="A85" t="s">
        <v>232</v>
      </c>
      <c r="B85" s="1">
        <v>44872</v>
      </c>
      <c r="C85" s="1">
        <v>44976</v>
      </c>
      <c r="D85" t="s">
        <v>29</v>
      </c>
      <c r="E85" t="s">
        <v>54</v>
      </c>
      <c r="F85" s="49">
        <f t="shared" ca="1" si="1"/>
        <v>75</v>
      </c>
      <c r="G85" s="16" t="s">
        <v>51</v>
      </c>
      <c r="H85" s="11" t="s">
        <v>233</v>
      </c>
      <c r="I85" t="s">
        <v>193</v>
      </c>
      <c r="J85" s="14" t="s">
        <v>40</v>
      </c>
      <c r="K85" t="s">
        <v>218</v>
      </c>
      <c r="L85" t="s">
        <v>120</v>
      </c>
      <c r="M85" t="str">
        <f>VLOOKUP(Incidents[[#This Row],[Ticket ID]],[1]Incidents!$A$2:$D$792,4,FALSE)</f>
        <v>4 - Low</v>
      </c>
      <c r="N85">
        <f>VLOOKUP(Incidents[[#This Row],[Priority]],'SLA Config'!$B$3:$C$6,2,FALSE)</f>
        <v>25</v>
      </c>
      <c r="O85" t="str">
        <f ca="1">IF(Incidents[[#This Row],[Age (days)]]&gt;Incidents[[#This Row],[SLA Threshold]],"NO","Yes")</f>
        <v>NO</v>
      </c>
    </row>
    <row r="86" spans="1:15" x14ac:dyDescent="0.25">
      <c r="A86" s="19" t="s">
        <v>234</v>
      </c>
      <c r="B86" s="8">
        <v>45397</v>
      </c>
      <c r="C86" s="8">
        <v>45496</v>
      </c>
      <c r="D86" t="s">
        <v>29</v>
      </c>
      <c r="E86" t="s">
        <v>30</v>
      </c>
      <c r="F86" s="49">
        <f t="shared" ca="1" si="1"/>
        <v>72</v>
      </c>
      <c r="G86" s="16" t="s">
        <v>31</v>
      </c>
      <c r="H86" s="11" t="s">
        <v>235</v>
      </c>
      <c r="I86" t="s">
        <v>193</v>
      </c>
      <c r="J86" s="14" t="s">
        <v>196</v>
      </c>
      <c r="K86" t="s">
        <v>236</v>
      </c>
      <c r="L86" t="s">
        <v>36</v>
      </c>
      <c r="M86" t="str">
        <f>VLOOKUP(Incidents[[#This Row],[Ticket ID]],[1]Incidents!$A$2:$D$792,4,FALSE)</f>
        <v>3 - Medium</v>
      </c>
      <c r="N86">
        <f>VLOOKUP(Incidents[[#This Row],[Priority]],'SLA Config'!$B$3:$C$6,2,FALSE)</f>
        <v>15</v>
      </c>
      <c r="O86" t="str">
        <f ca="1">IF(Incidents[[#This Row],[Age (days)]]&gt;Incidents[[#This Row],[SLA Threshold]],"NO","Yes")</f>
        <v>NO</v>
      </c>
    </row>
    <row r="87" spans="1:15" x14ac:dyDescent="0.25">
      <c r="A87" s="19" t="s">
        <v>237</v>
      </c>
      <c r="B87" s="8">
        <v>45453</v>
      </c>
      <c r="C87" s="8">
        <v>45551</v>
      </c>
      <c r="D87" t="s">
        <v>29</v>
      </c>
      <c r="E87" s="17" t="s">
        <v>104</v>
      </c>
      <c r="F87" s="49">
        <f t="shared" ca="1" si="1"/>
        <v>71</v>
      </c>
      <c r="G87" s="16" t="s">
        <v>31</v>
      </c>
      <c r="H87" s="11" t="s">
        <v>238</v>
      </c>
      <c r="I87" t="s">
        <v>193</v>
      </c>
      <c r="J87" s="14" t="s">
        <v>239</v>
      </c>
      <c r="K87" s="27" t="s">
        <v>240</v>
      </c>
      <c r="L87" s="27" t="s">
        <v>71</v>
      </c>
      <c r="M87" t="str">
        <f>VLOOKUP(Incidents[[#This Row],[Ticket ID]],[1]Incidents!$A$2:$D$792,4,FALSE)</f>
        <v>3 - Medium</v>
      </c>
      <c r="N87">
        <f>VLOOKUP(Incidents[[#This Row],[Priority]],'SLA Config'!$B$3:$C$6,2,FALSE)</f>
        <v>15</v>
      </c>
      <c r="O87" t="str">
        <f ca="1">IF(Incidents[[#This Row],[Age (days)]]&gt;Incidents[[#This Row],[SLA Threshold]],"NO","Yes")</f>
        <v>NO</v>
      </c>
    </row>
    <row r="88" spans="1:15" x14ac:dyDescent="0.25">
      <c r="A88" t="s">
        <v>241</v>
      </c>
      <c r="B88" s="1">
        <v>44912</v>
      </c>
      <c r="C88" s="1">
        <v>45011</v>
      </c>
      <c r="D88" t="s">
        <v>29</v>
      </c>
      <c r="E88" t="s">
        <v>54</v>
      </c>
      <c r="F88" s="49">
        <f t="shared" ca="1" si="1"/>
        <v>70</v>
      </c>
      <c r="G88" s="16" t="s">
        <v>31</v>
      </c>
      <c r="H88" s="11" t="s">
        <v>242</v>
      </c>
      <c r="I88" t="s">
        <v>193</v>
      </c>
      <c r="J88" s="14" t="s">
        <v>40</v>
      </c>
      <c r="K88" t="s">
        <v>201</v>
      </c>
      <c r="L88" t="s">
        <v>120</v>
      </c>
      <c r="M88" t="str">
        <f>VLOOKUP(Incidents[[#This Row],[Ticket ID]],[1]Incidents!$A$2:$D$792,4,FALSE)</f>
        <v>4 - Low</v>
      </c>
      <c r="N88">
        <f>VLOOKUP(Incidents[[#This Row],[Priority]],'SLA Config'!$B$3:$C$6,2,FALSE)</f>
        <v>25</v>
      </c>
      <c r="O88" t="str">
        <f ca="1">IF(Incidents[[#This Row],[Age (days)]]&gt;Incidents[[#This Row],[SLA Threshold]],"NO","Yes")</f>
        <v>NO</v>
      </c>
    </row>
    <row r="89" spans="1:15" x14ac:dyDescent="0.25">
      <c r="A89" s="2" t="s">
        <v>243</v>
      </c>
      <c r="B89" s="1">
        <v>45190</v>
      </c>
      <c r="C89" s="8">
        <v>45286</v>
      </c>
      <c r="D89" t="s">
        <v>29</v>
      </c>
      <c r="E89" t="s">
        <v>30</v>
      </c>
      <c r="F89" s="49">
        <f t="shared" ca="1" si="1"/>
        <v>69</v>
      </c>
      <c r="G89" s="16" t="s">
        <v>31</v>
      </c>
      <c r="H89" s="11" t="s">
        <v>244</v>
      </c>
      <c r="I89" t="s">
        <v>193</v>
      </c>
      <c r="J89" s="14" t="s">
        <v>40</v>
      </c>
      <c r="K89" t="s">
        <v>201</v>
      </c>
      <c r="L89" t="s">
        <v>120</v>
      </c>
      <c r="M89" t="str">
        <f>VLOOKUP(Incidents[[#This Row],[Ticket ID]],[1]Incidents!$A$2:$D$792,4,FALSE)</f>
        <v>3 - Medium</v>
      </c>
      <c r="N89">
        <f>VLOOKUP(Incidents[[#This Row],[Priority]],'SLA Config'!$B$3:$C$6,2,FALSE)</f>
        <v>15</v>
      </c>
      <c r="O89" t="str">
        <f ca="1">IF(Incidents[[#This Row],[Age (days)]]&gt;Incidents[[#This Row],[SLA Threshold]],"NO","Yes")</f>
        <v>NO</v>
      </c>
    </row>
    <row r="90" spans="1:15" x14ac:dyDescent="0.25">
      <c r="A90" s="17" t="s">
        <v>245</v>
      </c>
      <c r="B90" s="1">
        <v>45244</v>
      </c>
      <c r="C90" s="8">
        <v>45340</v>
      </c>
      <c r="D90" t="s">
        <v>29</v>
      </c>
      <c r="E90" t="s">
        <v>104</v>
      </c>
      <c r="F90" s="49">
        <f t="shared" ca="1" si="1"/>
        <v>69</v>
      </c>
      <c r="G90" s="16" t="s">
        <v>31</v>
      </c>
      <c r="H90" s="11" t="s">
        <v>246</v>
      </c>
      <c r="I90" t="s">
        <v>193</v>
      </c>
      <c r="J90" s="14" t="s">
        <v>40</v>
      </c>
      <c r="K90" t="s">
        <v>201</v>
      </c>
      <c r="L90" t="s">
        <v>120</v>
      </c>
      <c r="M90" t="str">
        <f>VLOOKUP(Incidents[[#This Row],[Ticket ID]],[1]Incidents!$A$2:$D$792,4,FALSE)</f>
        <v>4 - Low</v>
      </c>
      <c r="N90">
        <f>VLOOKUP(Incidents[[#This Row],[Priority]],'SLA Config'!$B$3:$C$6,2,FALSE)</f>
        <v>25</v>
      </c>
      <c r="O90" t="str">
        <f ca="1">IF(Incidents[[#This Row],[Age (days)]]&gt;Incidents[[#This Row],[SLA Threshold]],"NO","Yes")</f>
        <v>NO</v>
      </c>
    </row>
    <row r="91" spans="1:15" x14ac:dyDescent="0.25">
      <c r="A91" s="19" t="s">
        <v>247</v>
      </c>
      <c r="B91" s="8">
        <v>45517</v>
      </c>
      <c r="C91" s="29">
        <v>45613</v>
      </c>
      <c r="D91" t="s">
        <v>29</v>
      </c>
      <c r="E91" s="17" t="s">
        <v>30</v>
      </c>
      <c r="F91" s="49">
        <f t="shared" ca="1" si="1"/>
        <v>69</v>
      </c>
      <c r="G91" s="16" t="s">
        <v>31</v>
      </c>
      <c r="H91" t="s">
        <v>248</v>
      </c>
      <c r="I91" t="s">
        <v>193</v>
      </c>
      <c r="J91" s="14" t="s">
        <v>40</v>
      </c>
      <c r="K91" s="27" t="s">
        <v>215</v>
      </c>
      <c r="L91" s="27" t="s">
        <v>120</v>
      </c>
      <c r="M91" t="str">
        <f>VLOOKUP(Incidents[[#This Row],[Ticket ID]],[1]Incidents!$A$2:$D$792,4,FALSE)</f>
        <v>3 - Medium</v>
      </c>
      <c r="N91">
        <f>VLOOKUP(Incidents[[#This Row],[Priority]],'SLA Config'!$B$3:$C$6,2,FALSE)</f>
        <v>15</v>
      </c>
      <c r="O91" t="str">
        <f ca="1">IF(Incidents[[#This Row],[Age (days)]]&gt;Incidents[[#This Row],[SLA Threshold]],"NO","Yes")</f>
        <v>NO</v>
      </c>
    </row>
    <row r="92" spans="1:15" x14ac:dyDescent="0.25">
      <c r="A92" s="2" t="s">
        <v>249</v>
      </c>
      <c r="B92" s="1">
        <v>45177</v>
      </c>
      <c r="C92" s="8">
        <v>45272</v>
      </c>
      <c r="D92" t="s">
        <v>29</v>
      </c>
      <c r="E92" t="s">
        <v>30</v>
      </c>
      <c r="F92" s="49">
        <f t="shared" ca="1" si="1"/>
        <v>68</v>
      </c>
      <c r="G92" s="16" t="s">
        <v>31</v>
      </c>
      <c r="H92" s="11" t="s">
        <v>250</v>
      </c>
      <c r="I92" t="s">
        <v>193</v>
      </c>
      <c r="J92" s="14" t="s">
        <v>40</v>
      </c>
      <c r="K92" t="s">
        <v>201</v>
      </c>
      <c r="L92" t="s">
        <v>120</v>
      </c>
      <c r="M92" t="str">
        <f>VLOOKUP(Incidents[[#This Row],[Ticket ID]],[1]Incidents!$A$2:$D$792,4,FALSE)</f>
        <v>4 - Low</v>
      </c>
      <c r="N92">
        <f>VLOOKUP(Incidents[[#This Row],[Priority]],'SLA Config'!$B$3:$C$6,2,FALSE)</f>
        <v>25</v>
      </c>
      <c r="O92" t="str">
        <f ca="1">IF(Incidents[[#This Row],[Age (days)]]&gt;Incidents[[#This Row],[SLA Threshold]],"NO","Yes")</f>
        <v>NO</v>
      </c>
    </row>
    <row r="93" spans="1:15" ht="30" x14ac:dyDescent="0.25">
      <c r="A93" s="19" t="s">
        <v>251</v>
      </c>
      <c r="B93" s="8">
        <v>45399</v>
      </c>
      <c r="C93" s="8">
        <v>45490</v>
      </c>
      <c r="D93" t="s">
        <v>29</v>
      </c>
      <c r="E93" t="s">
        <v>38</v>
      </c>
      <c r="F93" s="49">
        <f t="shared" ca="1" si="1"/>
        <v>66</v>
      </c>
      <c r="G93" s="16" t="s">
        <v>31</v>
      </c>
      <c r="H93" s="11" t="s">
        <v>252</v>
      </c>
      <c r="I93" t="s">
        <v>193</v>
      </c>
      <c r="J93" s="14" t="s">
        <v>196</v>
      </c>
      <c r="K93" t="s">
        <v>81</v>
      </c>
      <c r="L93" t="s">
        <v>71</v>
      </c>
      <c r="M93" t="str">
        <f>VLOOKUP(Incidents[[#This Row],[Ticket ID]],[1]Incidents!$A$2:$D$792,4,FALSE)</f>
        <v>4 - Low</v>
      </c>
      <c r="N93">
        <f>VLOOKUP(Incidents[[#This Row],[Priority]],'SLA Config'!$B$3:$C$6,2,FALSE)</f>
        <v>25</v>
      </c>
      <c r="O93" t="str">
        <f ca="1">IF(Incidents[[#This Row],[Age (days)]]&gt;Incidents[[#This Row],[SLA Threshold]],"NO","Yes")</f>
        <v>NO</v>
      </c>
    </row>
    <row r="94" spans="1:15" x14ac:dyDescent="0.25">
      <c r="A94" s="2" t="s">
        <v>253</v>
      </c>
      <c r="B94" s="1">
        <v>45005</v>
      </c>
      <c r="C94" s="8">
        <v>45094</v>
      </c>
      <c r="D94" t="s">
        <v>29</v>
      </c>
      <c r="E94" t="s">
        <v>54</v>
      </c>
      <c r="F94" s="49">
        <f t="shared" ca="1" si="1"/>
        <v>65</v>
      </c>
      <c r="G94" s="16" t="s">
        <v>31</v>
      </c>
      <c r="H94" s="11" t="s">
        <v>254</v>
      </c>
      <c r="I94" t="s">
        <v>193</v>
      </c>
      <c r="J94" s="14" t="s">
        <v>40</v>
      </c>
      <c r="K94" t="s">
        <v>255</v>
      </c>
      <c r="L94" t="s">
        <v>120</v>
      </c>
      <c r="M94" t="str">
        <f>VLOOKUP(Incidents[[#This Row],[Ticket ID]],[1]Incidents!$A$2:$D$792,4,FALSE)</f>
        <v>4 - Low</v>
      </c>
      <c r="N94">
        <f>VLOOKUP(Incidents[[#This Row],[Priority]],'SLA Config'!$B$3:$C$6,2,FALSE)</f>
        <v>25</v>
      </c>
      <c r="O94" t="str">
        <f ca="1">IF(Incidents[[#This Row],[Age (days)]]&gt;Incidents[[#This Row],[SLA Threshold]],"NO","Yes")</f>
        <v>NO</v>
      </c>
    </row>
    <row r="95" spans="1:15" x14ac:dyDescent="0.25">
      <c r="A95" s="2" t="s">
        <v>256</v>
      </c>
      <c r="B95" s="1">
        <v>45378</v>
      </c>
      <c r="C95" s="8">
        <v>45468</v>
      </c>
      <c r="D95" t="s">
        <v>29</v>
      </c>
      <c r="E95" s="17" t="s">
        <v>38</v>
      </c>
      <c r="F95" s="49">
        <f t="shared" ca="1" si="1"/>
        <v>65</v>
      </c>
      <c r="G95" s="16" t="s">
        <v>31</v>
      </c>
      <c r="H95" t="s">
        <v>257</v>
      </c>
      <c r="I95" t="s">
        <v>193</v>
      </c>
      <c r="J95" s="14" t="s">
        <v>40</v>
      </c>
      <c r="K95" t="s">
        <v>215</v>
      </c>
      <c r="L95" t="s">
        <v>120</v>
      </c>
      <c r="M95" t="str">
        <f>VLOOKUP(Incidents[[#This Row],[Ticket ID]],[1]Incidents!$A$2:$D$792,4,FALSE)</f>
        <v>3 - Medium</v>
      </c>
      <c r="N95">
        <f>VLOOKUP(Incidents[[#This Row],[Priority]],'SLA Config'!$B$3:$C$6,2,FALSE)</f>
        <v>15</v>
      </c>
      <c r="O95" t="str">
        <f ca="1">IF(Incidents[[#This Row],[Age (days)]]&gt;Incidents[[#This Row],[SLA Threshold]],"NO","Yes")</f>
        <v>NO</v>
      </c>
    </row>
    <row r="96" spans="1:15" x14ac:dyDescent="0.25">
      <c r="A96" s="2" t="s">
        <v>258</v>
      </c>
      <c r="B96" s="1">
        <v>45348</v>
      </c>
      <c r="C96" s="8">
        <v>45432</v>
      </c>
      <c r="D96" t="s">
        <v>29</v>
      </c>
      <c r="E96" t="s">
        <v>30</v>
      </c>
      <c r="F96" s="49">
        <f t="shared" ca="1" si="1"/>
        <v>61</v>
      </c>
      <c r="G96" s="16" t="s">
        <v>31</v>
      </c>
      <c r="H96" s="11" t="s">
        <v>259</v>
      </c>
      <c r="I96" t="s">
        <v>193</v>
      </c>
      <c r="J96" s="14" t="s">
        <v>239</v>
      </c>
      <c r="K96" t="s">
        <v>260</v>
      </c>
      <c r="L96" t="s">
        <v>71</v>
      </c>
      <c r="M96" t="str">
        <f>VLOOKUP(Incidents[[#This Row],[Ticket ID]],[1]Incidents!$A$2:$D$792,4,FALSE)</f>
        <v>3 - Medium</v>
      </c>
      <c r="N96">
        <f>VLOOKUP(Incidents[[#This Row],[Priority]],'SLA Config'!$B$3:$C$6,2,FALSE)</f>
        <v>15</v>
      </c>
      <c r="O96" t="str">
        <f ca="1">IF(Incidents[[#This Row],[Age (days)]]&gt;Incidents[[#This Row],[SLA Threshold]],"NO","Yes")</f>
        <v>NO</v>
      </c>
    </row>
    <row r="97" spans="1:15" x14ac:dyDescent="0.25">
      <c r="A97" s="2" t="s">
        <v>261</v>
      </c>
      <c r="B97" s="1">
        <v>45209</v>
      </c>
      <c r="C97" s="8">
        <v>45292</v>
      </c>
      <c r="D97" t="s">
        <v>29</v>
      </c>
      <c r="E97" t="s">
        <v>104</v>
      </c>
      <c r="F97" s="49">
        <f t="shared" ca="1" si="1"/>
        <v>60</v>
      </c>
      <c r="G97" s="16" t="s">
        <v>51</v>
      </c>
      <c r="H97" s="11" t="s">
        <v>262</v>
      </c>
      <c r="I97" t="s">
        <v>193</v>
      </c>
      <c r="J97" s="14" t="s">
        <v>40</v>
      </c>
      <c r="K97" t="s">
        <v>119</v>
      </c>
      <c r="L97" t="s">
        <v>120</v>
      </c>
      <c r="M97" t="str">
        <f>VLOOKUP(Incidents[[#This Row],[Ticket ID]],[1]Incidents!$A$2:$D$792,4,FALSE)</f>
        <v>2 - High</v>
      </c>
      <c r="N97">
        <f>VLOOKUP(Incidents[[#This Row],[Priority]],'SLA Config'!$B$3:$C$6,2,FALSE)</f>
        <v>5</v>
      </c>
      <c r="O97" t="str">
        <f ca="1">IF(Incidents[[#This Row],[Age (days)]]&gt;Incidents[[#This Row],[SLA Threshold]],"NO","Yes")</f>
        <v>NO</v>
      </c>
    </row>
    <row r="98" spans="1:15" x14ac:dyDescent="0.25">
      <c r="A98" s="2" t="s">
        <v>263</v>
      </c>
      <c r="B98" s="1">
        <v>45345</v>
      </c>
      <c r="C98" s="8">
        <v>45427</v>
      </c>
      <c r="D98" t="s">
        <v>29</v>
      </c>
      <c r="E98" t="s">
        <v>104</v>
      </c>
      <c r="F98" s="49">
        <f t="shared" ca="1" si="1"/>
        <v>59</v>
      </c>
      <c r="G98" s="16" t="s">
        <v>31</v>
      </c>
      <c r="H98" s="11" t="s">
        <v>264</v>
      </c>
      <c r="I98" t="s">
        <v>193</v>
      </c>
      <c r="J98" s="14" t="s">
        <v>239</v>
      </c>
      <c r="K98" t="s">
        <v>44</v>
      </c>
      <c r="L98" t="s">
        <v>36</v>
      </c>
      <c r="M98" t="str">
        <f>VLOOKUP(Incidents[[#This Row],[Ticket ID]],[1]Incidents!$A$2:$D$792,4,FALSE)</f>
        <v>3 - Medium</v>
      </c>
      <c r="N98">
        <f>VLOOKUP(Incidents[[#This Row],[Priority]],'SLA Config'!$B$3:$C$6,2,FALSE)</f>
        <v>15</v>
      </c>
      <c r="O98" t="str">
        <f ca="1">IF(Incidents[[#This Row],[Age (days)]]&gt;Incidents[[#This Row],[SLA Threshold]],"NO","Yes")</f>
        <v>NO</v>
      </c>
    </row>
    <row r="99" spans="1:15" x14ac:dyDescent="0.25">
      <c r="A99" s="19" t="s">
        <v>265</v>
      </c>
      <c r="B99" s="1">
        <v>44936</v>
      </c>
      <c r="C99" s="1">
        <v>45013</v>
      </c>
      <c r="D99" t="s">
        <v>29</v>
      </c>
      <c r="E99" t="s">
        <v>104</v>
      </c>
      <c r="F99" s="49">
        <f t="shared" ca="1" si="1"/>
        <v>56</v>
      </c>
      <c r="G99" s="16" t="s">
        <v>31</v>
      </c>
      <c r="H99" s="11" t="s">
        <v>266</v>
      </c>
      <c r="I99" t="s">
        <v>193</v>
      </c>
      <c r="J99" s="14" t="s">
        <v>40</v>
      </c>
      <c r="K99" t="s">
        <v>267</v>
      </c>
      <c r="L99" t="s">
        <v>71</v>
      </c>
      <c r="M99" t="str">
        <f>VLOOKUP(Incidents[[#This Row],[Ticket ID]],[1]Incidents!$A$2:$D$792,4,FALSE)</f>
        <v>4 - Low</v>
      </c>
      <c r="N99">
        <f>VLOOKUP(Incidents[[#This Row],[Priority]],'SLA Config'!$B$3:$C$6,2,FALSE)</f>
        <v>25</v>
      </c>
      <c r="O99" t="str">
        <f ca="1">IF(Incidents[[#This Row],[Age (days)]]&gt;Incidents[[#This Row],[SLA Threshold]],"NO","Yes")</f>
        <v>NO</v>
      </c>
    </row>
    <row r="100" spans="1:15" x14ac:dyDescent="0.25">
      <c r="A100" s="2" t="s">
        <v>268</v>
      </c>
      <c r="B100" s="1">
        <v>45042</v>
      </c>
      <c r="C100" s="8">
        <v>45117</v>
      </c>
      <c r="D100" t="s">
        <v>29</v>
      </c>
      <c r="E100" t="s">
        <v>104</v>
      </c>
      <c r="F100" s="49">
        <f t="shared" ca="1" si="1"/>
        <v>54</v>
      </c>
      <c r="G100" s="16" t="s">
        <v>31</v>
      </c>
      <c r="H100" s="11" t="s">
        <v>269</v>
      </c>
      <c r="I100" t="s">
        <v>193</v>
      </c>
      <c r="J100" s="14" t="s">
        <v>206</v>
      </c>
      <c r="K100" t="s">
        <v>207</v>
      </c>
      <c r="L100" t="s">
        <v>71</v>
      </c>
      <c r="M100" t="str">
        <f>VLOOKUP(Incidents[[#This Row],[Ticket ID]],[1]Incidents!$A$2:$D$792,4,FALSE)</f>
        <v>4 - Low</v>
      </c>
      <c r="N100">
        <f>VLOOKUP(Incidents[[#This Row],[Priority]],'SLA Config'!$B$3:$C$6,2,FALSE)</f>
        <v>25</v>
      </c>
      <c r="O100" t="str">
        <f ca="1">IF(Incidents[[#This Row],[Age (days)]]&gt;Incidents[[#This Row],[SLA Threshold]],"NO","Yes")</f>
        <v>NO</v>
      </c>
    </row>
    <row r="101" spans="1:15" x14ac:dyDescent="0.25">
      <c r="A101" s="2" t="s">
        <v>270</v>
      </c>
      <c r="B101" s="1">
        <v>45266</v>
      </c>
      <c r="C101" s="8">
        <v>45340</v>
      </c>
      <c r="D101" t="s">
        <v>29</v>
      </c>
      <c r="E101" t="s">
        <v>104</v>
      </c>
      <c r="F101" s="49">
        <f t="shared" ca="1" si="1"/>
        <v>53</v>
      </c>
      <c r="G101" s="16" t="s">
        <v>31</v>
      </c>
      <c r="H101" s="11" t="s">
        <v>271</v>
      </c>
      <c r="I101" t="s">
        <v>193</v>
      </c>
      <c r="J101" s="14" t="s">
        <v>40</v>
      </c>
      <c r="K101" t="s">
        <v>231</v>
      </c>
      <c r="L101" t="s">
        <v>120</v>
      </c>
      <c r="M101" t="str">
        <f>VLOOKUP(Incidents[[#This Row],[Ticket ID]],[1]Incidents!$A$2:$D$792,4,FALSE)</f>
        <v>3 - Medium</v>
      </c>
      <c r="N101">
        <f>VLOOKUP(Incidents[[#This Row],[Priority]],'SLA Config'!$B$3:$C$6,2,FALSE)</f>
        <v>15</v>
      </c>
      <c r="O101" t="str">
        <f ca="1">IF(Incidents[[#This Row],[Age (days)]]&gt;Incidents[[#This Row],[SLA Threshold]],"NO","Yes")</f>
        <v>NO</v>
      </c>
    </row>
    <row r="102" spans="1:15" x14ac:dyDescent="0.25">
      <c r="A102" s="2" t="s">
        <v>272</v>
      </c>
      <c r="B102" s="1">
        <v>45191</v>
      </c>
      <c r="C102" s="8">
        <v>45262</v>
      </c>
      <c r="D102" t="s">
        <v>29</v>
      </c>
      <c r="E102" t="s">
        <v>273</v>
      </c>
      <c r="F102" s="49">
        <f t="shared" ca="1" si="1"/>
        <v>51</v>
      </c>
      <c r="G102" s="16" t="s">
        <v>31</v>
      </c>
      <c r="H102" s="11" t="s">
        <v>274</v>
      </c>
      <c r="I102" t="s">
        <v>193</v>
      </c>
      <c r="J102" s="14" t="s">
        <v>40</v>
      </c>
      <c r="K102" t="s">
        <v>201</v>
      </c>
      <c r="L102" t="s">
        <v>120</v>
      </c>
      <c r="M102" t="str">
        <f>VLOOKUP(Incidents[[#This Row],[Ticket ID]],[1]Incidents!$A$2:$D$792,4,FALSE)</f>
        <v>3 - Medium</v>
      </c>
      <c r="N102">
        <f>VLOOKUP(Incidents[[#This Row],[Priority]],'SLA Config'!$B$3:$C$6,2,FALSE)</f>
        <v>15</v>
      </c>
      <c r="O102" t="str">
        <f ca="1">IF(Incidents[[#This Row],[Age (days)]]&gt;Incidents[[#This Row],[SLA Threshold]],"NO","Yes")</f>
        <v>NO</v>
      </c>
    </row>
    <row r="103" spans="1:15" x14ac:dyDescent="0.25">
      <c r="A103" s="19" t="s">
        <v>275</v>
      </c>
      <c r="B103" s="8">
        <v>45526</v>
      </c>
      <c r="C103" s="8">
        <v>45595</v>
      </c>
      <c r="D103" t="s">
        <v>29</v>
      </c>
      <c r="E103" s="17" t="s">
        <v>30</v>
      </c>
      <c r="F103" s="49">
        <f t="shared" ca="1" si="1"/>
        <v>50</v>
      </c>
      <c r="G103" s="16" t="s">
        <v>31</v>
      </c>
      <c r="H103" t="s">
        <v>276</v>
      </c>
      <c r="I103" t="s">
        <v>193</v>
      </c>
      <c r="J103" s="14" t="s">
        <v>40</v>
      </c>
      <c r="K103" t="s">
        <v>215</v>
      </c>
      <c r="L103" s="27" t="s">
        <v>120</v>
      </c>
      <c r="M103" t="str">
        <f>VLOOKUP(Incidents[[#This Row],[Ticket ID]],[1]Incidents!$A$2:$D$792,4,FALSE)</f>
        <v>4 - Low</v>
      </c>
      <c r="N103">
        <f>VLOOKUP(Incidents[[#This Row],[Priority]],'SLA Config'!$B$3:$C$6,2,FALSE)</f>
        <v>25</v>
      </c>
      <c r="O103" t="str">
        <f ca="1">IF(Incidents[[#This Row],[Age (days)]]&gt;Incidents[[#This Row],[SLA Threshold]],"NO","Yes")</f>
        <v>NO</v>
      </c>
    </row>
    <row r="104" spans="1:15" ht="30" x14ac:dyDescent="0.25">
      <c r="A104" t="s">
        <v>277</v>
      </c>
      <c r="B104" s="1">
        <v>44720</v>
      </c>
      <c r="C104" s="1">
        <v>44788</v>
      </c>
      <c r="D104" t="s">
        <v>29</v>
      </c>
      <c r="E104" t="s">
        <v>54</v>
      </c>
      <c r="F104" s="49">
        <f t="shared" ca="1" si="1"/>
        <v>49</v>
      </c>
      <c r="G104" s="16" t="s">
        <v>51</v>
      </c>
      <c r="H104" s="11" t="s">
        <v>278</v>
      </c>
      <c r="I104" t="s">
        <v>193</v>
      </c>
      <c r="J104" s="14" t="s">
        <v>40</v>
      </c>
      <c r="K104" t="s">
        <v>218</v>
      </c>
      <c r="L104" t="s">
        <v>120</v>
      </c>
      <c r="M104" t="str">
        <f>VLOOKUP(Incidents[[#This Row],[Ticket ID]],[1]Incidents!$A$2:$D$792,4,FALSE)</f>
        <v>4 - Low</v>
      </c>
      <c r="N104">
        <f>VLOOKUP(Incidents[[#This Row],[Priority]],'SLA Config'!$B$3:$C$6,2,FALSE)</f>
        <v>25</v>
      </c>
      <c r="O104" t="str">
        <f ca="1">IF(Incidents[[#This Row],[Age (days)]]&gt;Incidents[[#This Row],[SLA Threshold]],"NO","Yes")</f>
        <v>NO</v>
      </c>
    </row>
    <row r="105" spans="1:15" x14ac:dyDescent="0.25">
      <c r="A105" s="2" t="s">
        <v>279</v>
      </c>
      <c r="B105" s="1">
        <v>45329</v>
      </c>
      <c r="C105" s="8">
        <v>45395</v>
      </c>
      <c r="D105" t="s">
        <v>29</v>
      </c>
      <c r="E105" t="s">
        <v>104</v>
      </c>
      <c r="F105" s="49">
        <f t="shared" ca="1" si="1"/>
        <v>48</v>
      </c>
      <c r="G105" s="16" t="s">
        <v>31</v>
      </c>
      <c r="H105" s="11" t="s">
        <v>280</v>
      </c>
      <c r="I105" t="s">
        <v>193</v>
      </c>
      <c r="J105" s="14" t="s">
        <v>40</v>
      </c>
      <c r="K105" t="s">
        <v>281</v>
      </c>
      <c r="L105" t="s">
        <v>120</v>
      </c>
      <c r="M105" t="str">
        <f>VLOOKUP(Incidents[[#This Row],[Ticket ID]],[1]Incidents!$A$2:$D$792,4,FALSE)</f>
        <v>3 - Medium</v>
      </c>
      <c r="N105">
        <f>VLOOKUP(Incidents[[#This Row],[Priority]],'SLA Config'!$B$3:$C$6,2,FALSE)</f>
        <v>15</v>
      </c>
      <c r="O105" t="str">
        <f ca="1">IF(Incidents[[#This Row],[Age (days)]]&gt;Incidents[[#This Row],[SLA Threshold]],"NO","Yes")</f>
        <v>NO</v>
      </c>
    </row>
    <row r="106" spans="1:15" ht="45" x14ac:dyDescent="0.25">
      <c r="A106" t="s">
        <v>282</v>
      </c>
      <c r="B106" s="1">
        <v>44704</v>
      </c>
      <c r="C106" s="1">
        <v>44767</v>
      </c>
      <c r="D106" t="s">
        <v>29</v>
      </c>
      <c r="E106" t="s">
        <v>54</v>
      </c>
      <c r="F106" s="49">
        <f t="shared" ca="1" si="1"/>
        <v>46</v>
      </c>
      <c r="G106" s="16" t="s">
        <v>31</v>
      </c>
      <c r="H106" s="11" t="s">
        <v>283</v>
      </c>
      <c r="I106" t="s">
        <v>193</v>
      </c>
      <c r="J106" s="14" t="s">
        <v>196</v>
      </c>
      <c r="K106" t="s">
        <v>56</v>
      </c>
      <c r="L106" t="s">
        <v>120</v>
      </c>
      <c r="M106" t="str">
        <f>VLOOKUP(Incidents[[#This Row],[Ticket ID]],[1]Incidents!$A$2:$D$792,4,FALSE)</f>
        <v>4 - Low</v>
      </c>
      <c r="N106">
        <f>VLOOKUP(Incidents[[#This Row],[Priority]],'SLA Config'!$B$3:$C$6,2,FALSE)</f>
        <v>25</v>
      </c>
      <c r="O106" t="str">
        <f ca="1">IF(Incidents[[#This Row],[Age (days)]]&gt;Incidents[[#This Row],[SLA Threshold]],"NO","Yes")</f>
        <v>NO</v>
      </c>
    </row>
    <row r="107" spans="1:15" x14ac:dyDescent="0.25">
      <c r="A107" s="2" t="s">
        <v>284</v>
      </c>
      <c r="B107" s="1">
        <v>45042</v>
      </c>
      <c r="C107" s="8">
        <v>45105</v>
      </c>
      <c r="D107" t="s">
        <v>29</v>
      </c>
      <c r="E107" t="s">
        <v>104</v>
      </c>
      <c r="F107" s="49">
        <f t="shared" ca="1" si="1"/>
        <v>46</v>
      </c>
      <c r="G107" s="16" t="s">
        <v>31</v>
      </c>
      <c r="H107" s="11" t="s">
        <v>285</v>
      </c>
      <c r="I107" t="s">
        <v>193</v>
      </c>
      <c r="J107" s="14" t="s">
        <v>286</v>
      </c>
      <c r="K107" t="s">
        <v>207</v>
      </c>
      <c r="L107" t="s">
        <v>71</v>
      </c>
      <c r="M107" t="str">
        <f>VLOOKUP(Incidents[[#This Row],[Ticket ID]],[1]Incidents!$A$2:$D$792,4,FALSE)</f>
        <v>3 - Medium</v>
      </c>
      <c r="N107">
        <f>VLOOKUP(Incidents[[#This Row],[Priority]],'SLA Config'!$B$3:$C$6,2,FALSE)</f>
        <v>15</v>
      </c>
      <c r="O107" t="str">
        <f ca="1">IF(Incidents[[#This Row],[Age (days)]]&gt;Incidents[[#This Row],[SLA Threshold]],"NO","Yes")</f>
        <v>NO</v>
      </c>
    </row>
    <row r="108" spans="1:15" x14ac:dyDescent="0.25">
      <c r="A108" s="2" t="s">
        <v>287</v>
      </c>
      <c r="B108" s="1">
        <v>45264</v>
      </c>
      <c r="C108" s="8">
        <v>45326</v>
      </c>
      <c r="D108" t="s">
        <v>29</v>
      </c>
      <c r="E108" s="17" t="s">
        <v>104</v>
      </c>
      <c r="F108" s="49">
        <f t="shared" ca="1" si="1"/>
        <v>45</v>
      </c>
      <c r="G108" s="16" t="s">
        <v>51</v>
      </c>
      <c r="H108" s="11" t="s">
        <v>288</v>
      </c>
      <c r="I108" t="s">
        <v>193</v>
      </c>
      <c r="J108" s="14" t="s">
        <v>40</v>
      </c>
      <c r="K108" t="s">
        <v>119</v>
      </c>
      <c r="L108" t="s">
        <v>120</v>
      </c>
      <c r="M108" t="str">
        <f>VLOOKUP(Incidents[[#This Row],[Ticket ID]],[1]Incidents!$A$2:$D$792,4,FALSE)</f>
        <v>3 - Medium</v>
      </c>
      <c r="N108">
        <f>VLOOKUP(Incidents[[#This Row],[Priority]],'SLA Config'!$B$3:$C$6,2,FALSE)</f>
        <v>15</v>
      </c>
      <c r="O108" t="str">
        <f ca="1">IF(Incidents[[#This Row],[Age (days)]]&gt;Incidents[[#This Row],[SLA Threshold]],"NO","Yes")</f>
        <v>NO</v>
      </c>
    </row>
    <row r="109" spans="1:15" x14ac:dyDescent="0.25">
      <c r="A109" s="2" t="s">
        <v>289</v>
      </c>
      <c r="B109" s="1">
        <v>45176</v>
      </c>
      <c r="C109" s="8">
        <v>45237</v>
      </c>
      <c r="D109" t="s">
        <v>29</v>
      </c>
      <c r="E109" t="s">
        <v>30</v>
      </c>
      <c r="F109" s="49">
        <f t="shared" ca="1" si="1"/>
        <v>44</v>
      </c>
      <c r="G109" s="16" t="s">
        <v>51</v>
      </c>
      <c r="H109" s="11" t="s">
        <v>290</v>
      </c>
      <c r="I109" t="s">
        <v>193</v>
      </c>
      <c r="J109" s="14" t="s">
        <v>40</v>
      </c>
      <c r="K109" t="s">
        <v>119</v>
      </c>
      <c r="L109" t="s">
        <v>120</v>
      </c>
      <c r="M109" t="str">
        <f>VLOOKUP(Incidents[[#This Row],[Ticket ID]],[1]Incidents!$A$2:$D$792,4,FALSE)</f>
        <v>3 - Medium</v>
      </c>
      <c r="N109">
        <f>VLOOKUP(Incidents[[#This Row],[Priority]],'SLA Config'!$B$3:$C$6,2,FALSE)</f>
        <v>15</v>
      </c>
      <c r="O109" t="str">
        <f ca="1">IF(Incidents[[#This Row],[Age (days)]]&gt;Incidents[[#This Row],[SLA Threshold]],"NO","Yes")</f>
        <v>NO</v>
      </c>
    </row>
    <row r="110" spans="1:15" ht="30" x14ac:dyDescent="0.25">
      <c r="A110" s="19" t="s">
        <v>291</v>
      </c>
      <c r="B110" s="8">
        <v>45405</v>
      </c>
      <c r="C110" s="8">
        <v>45465</v>
      </c>
      <c r="D110" t="s">
        <v>29</v>
      </c>
      <c r="E110" t="s">
        <v>30</v>
      </c>
      <c r="F110" s="49">
        <f t="shared" ca="1" si="1"/>
        <v>44</v>
      </c>
      <c r="G110" s="16" t="s">
        <v>31</v>
      </c>
      <c r="H110" s="11" t="s">
        <v>292</v>
      </c>
      <c r="I110" t="s">
        <v>193</v>
      </c>
      <c r="J110" s="14" t="s">
        <v>196</v>
      </c>
      <c r="K110" t="s">
        <v>81</v>
      </c>
      <c r="L110" t="s">
        <v>71</v>
      </c>
      <c r="M110" t="str">
        <f>VLOOKUP(Incidents[[#This Row],[Ticket ID]],[1]Incidents!$A$2:$D$792,4,FALSE)</f>
        <v>3 - Medium</v>
      </c>
      <c r="N110">
        <f>VLOOKUP(Incidents[[#This Row],[Priority]],'SLA Config'!$B$3:$C$6,2,FALSE)</f>
        <v>15</v>
      </c>
      <c r="O110" t="str">
        <f ca="1">IF(Incidents[[#This Row],[Age (days)]]&gt;Incidents[[#This Row],[SLA Threshold]],"NO","Yes")</f>
        <v>NO</v>
      </c>
    </row>
    <row r="111" spans="1:15" x14ac:dyDescent="0.25">
      <c r="A111" s="28" t="s">
        <v>293</v>
      </c>
      <c r="B111" s="29">
        <v>45629</v>
      </c>
      <c r="C111" s="29">
        <v>45690</v>
      </c>
      <c r="D111" s="28" t="s">
        <v>29</v>
      </c>
      <c r="E111" s="28" t="s">
        <v>30</v>
      </c>
      <c r="F111" s="49">
        <f t="shared" ca="1" si="1"/>
        <v>44</v>
      </c>
      <c r="G111" s="28" t="s">
        <v>31</v>
      </c>
      <c r="H111" s="28" t="s">
        <v>294</v>
      </c>
      <c r="I111" t="s">
        <v>193</v>
      </c>
      <c r="J111" s="14"/>
      <c r="K111" s="28" t="s">
        <v>295</v>
      </c>
      <c r="M111" t="str">
        <f>VLOOKUP(Incidents[[#This Row],[Ticket ID]],[1]Incidents!$A$2:$D$792,4,FALSE)</f>
        <v>3 - Medium</v>
      </c>
      <c r="N111">
        <f>VLOOKUP(Incidents[[#This Row],[Priority]],'SLA Config'!$B$3:$C$6,2,FALSE)</f>
        <v>15</v>
      </c>
      <c r="O111" t="str">
        <f ca="1">IF(Incidents[[#This Row],[Age (days)]]&gt;Incidents[[#This Row],[SLA Threshold]],"NO","Yes")</f>
        <v>NO</v>
      </c>
    </row>
    <row r="112" spans="1:15" x14ac:dyDescent="0.25">
      <c r="A112" s="2" t="s">
        <v>296</v>
      </c>
      <c r="B112" s="1">
        <v>45035</v>
      </c>
      <c r="C112" s="8">
        <v>45095</v>
      </c>
      <c r="D112" t="s">
        <v>29</v>
      </c>
      <c r="E112" s="17" t="s">
        <v>209</v>
      </c>
      <c r="F112" s="49">
        <f t="shared" ca="1" si="1"/>
        <v>43</v>
      </c>
      <c r="G112" s="16" t="s">
        <v>31</v>
      </c>
      <c r="H112" s="11" t="s">
        <v>297</v>
      </c>
      <c r="I112" t="s">
        <v>193</v>
      </c>
      <c r="J112" s="14" t="s">
        <v>40</v>
      </c>
      <c r="K112" t="s">
        <v>201</v>
      </c>
      <c r="L112" t="s">
        <v>120</v>
      </c>
      <c r="M112" t="str">
        <f>VLOOKUP(Incidents[[#This Row],[Ticket ID]],[1]Incidents!$A$2:$D$792,4,FALSE)</f>
        <v>4 - Low</v>
      </c>
      <c r="N112">
        <f>VLOOKUP(Incidents[[#This Row],[Priority]],'SLA Config'!$B$3:$C$6,2,FALSE)</f>
        <v>25</v>
      </c>
      <c r="O112" t="str">
        <f ca="1">IF(Incidents[[#This Row],[Age (days)]]&gt;Incidents[[#This Row],[SLA Threshold]],"NO","Yes")</f>
        <v>NO</v>
      </c>
    </row>
    <row r="113" spans="1:15" x14ac:dyDescent="0.25">
      <c r="A113" s="28" t="s">
        <v>298</v>
      </c>
      <c r="B113" s="29">
        <v>45637</v>
      </c>
      <c r="C113" s="8">
        <v>45740</v>
      </c>
      <c r="D113" s="28" t="s">
        <v>29</v>
      </c>
      <c r="E113" s="28" t="s">
        <v>38</v>
      </c>
      <c r="F113" s="49">
        <f t="shared" ca="1" si="1"/>
        <v>74</v>
      </c>
      <c r="G113" s="28" t="s">
        <v>51</v>
      </c>
      <c r="H113" s="28" t="s">
        <v>299</v>
      </c>
      <c r="I113" t="s">
        <v>193</v>
      </c>
      <c r="J113" s="14"/>
      <c r="K113" s="28" t="s">
        <v>119</v>
      </c>
      <c r="L113" t="s">
        <v>120</v>
      </c>
      <c r="M113" t="str">
        <f>VLOOKUP(Incidents[[#This Row],[Ticket ID]],[1]Incidents!$A$2:$D$792,4,FALSE)</f>
        <v>3 - Medium</v>
      </c>
      <c r="N113">
        <f>VLOOKUP(Incidents[[#This Row],[Priority]],'SLA Config'!$B$3:$C$6,2,FALSE)</f>
        <v>15</v>
      </c>
      <c r="O113" t="str">
        <f ca="1">IF(Incidents[[#This Row],[Age (days)]]&gt;Incidents[[#This Row],[SLA Threshold]],"NO","Yes")</f>
        <v>NO</v>
      </c>
    </row>
    <row r="114" spans="1:15" x14ac:dyDescent="0.25">
      <c r="A114" s="19" t="s">
        <v>300</v>
      </c>
      <c r="B114" s="8">
        <v>45471</v>
      </c>
      <c r="C114" s="8">
        <v>45528</v>
      </c>
      <c r="D114" t="s">
        <v>29</v>
      </c>
      <c r="E114" t="s">
        <v>104</v>
      </c>
      <c r="F114" s="49">
        <f t="shared" ca="1" si="1"/>
        <v>41</v>
      </c>
      <c r="G114" s="16" t="s">
        <v>31</v>
      </c>
      <c r="H114" t="s">
        <v>301</v>
      </c>
      <c r="I114" t="s">
        <v>193</v>
      </c>
      <c r="J114" s="14" t="s">
        <v>40</v>
      </c>
      <c r="K114" t="s">
        <v>255</v>
      </c>
      <c r="L114" s="27" t="s">
        <v>120</v>
      </c>
      <c r="M114" t="str">
        <f>VLOOKUP(Incidents[[#This Row],[Ticket ID]],[1]Incidents!$A$2:$D$792,4,FALSE)</f>
        <v>4 - Low</v>
      </c>
      <c r="N114">
        <f>VLOOKUP(Incidents[[#This Row],[Priority]],'SLA Config'!$B$3:$C$6,2,FALSE)</f>
        <v>25</v>
      </c>
      <c r="O114" t="str">
        <f ca="1">IF(Incidents[[#This Row],[Age (days)]]&gt;Incidents[[#This Row],[SLA Threshold]],"NO","Yes")</f>
        <v>NO</v>
      </c>
    </row>
    <row r="115" spans="1:15" x14ac:dyDescent="0.25">
      <c r="A115" s="2" t="s">
        <v>302</v>
      </c>
      <c r="B115" s="1">
        <v>45195</v>
      </c>
      <c r="C115" s="8">
        <v>45249</v>
      </c>
      <c r="D115" t="s">
        <v>29</v>
      </c>
      <c r="E115" t="s">
        <v>38</v>
      </c>
      <c r="F115" s="49">
        <f t="shared" ca="1" si="1"/>
        <v>39</v>
      </c>
      <c r="G115" s="16" t="s">
        <v>51</v>
      </c>
      <c r="H115" s="11" t="s">
        <v>303</v>
      </c>
      <c r="I115" t="s">
        <v>193</v>
      </c>
      <c r="J115" s="14" t="s">
        <v>304</v>
      </c>
      <c r="K115" t="s">
        <v>119</v>
      </c>
      <c r="L115" t="s">
        <v>120</v>
      </c>
      <c r="M115" t="str">
        <f>VLOOKUP(Incidents[[#This Row],[Ticket ID]],[1]Incidents!$A$2:$D$792,4,FALSE)</f>
        <v>4 - Low</v>
      </c>
      <c r="N115">
        <f>VLOOKUP(Incidents[[#This Row],[Priority]],'SLA Config'!$B$3:$C$6,2,FALSE)</f>
        <v>25</v>
      </c>
      <c r="O115" t="str">
        <f ca="1">IF(Incidents[[#This Row],[Age (days)]]&gt;Incidents[[#This Row],[SLA Threshold]],"NO","Yes")</f>
        <v>NO</v>
      </c>
    </row>
    <row r="116" spans="1:15" x14ac:dyDescent="0.25">
      <c r="A116" s="2" t="s">
        <v>305</v>
      </c>
      <c r="B116" s="1">
        <v>45184</v>
      </c>
      <c r="C116" s="8">
        <v>45237</v>
      </c>
      <c r="D116" t="s">
        <v>29</v>
      </c>
      <c r="E116" t="s">
        <v>104</v>
      </c>
      <c r="F116" s="49">
        <f t="shared" ca="1" si="1"/>
        <v>38</v>
      </c>
      <c r="G116" s="16" t="s">
        <v>31</v>
      </c>
      <c r="H116" s="11" t="s">
        <v>306</v>
      </c>
      <c r="I116" t="s">
        <v>193</v>
      </c>
      <c r="J116" s="14" t="s">
        <v>307</v>
      </c>
      <c r="K116" t="s">
        <v>207</v>
      </c>
      <c r="L116" t="s">
        <v>71</v>
      </c>
      <c r="M116" t="str">
        <f>VLOOKUP(Incidents[[#This Row],[Ticket ID]],[1]Incidents!$A$2:$D$792,4,FALSE)</f>
        <v>4 - Low</v>
      </c>
      <c r="N116">
        <f>VLOOKUP(Incidents[[#This Row],[Priority]],'SLA Config'!$B$3:$C$6,2,FALSE)</f>
        <v>25</v>
      </c>
      <c r="O116" t="str">
        <f ca="1">IF(Incidents[[#This Row],[Age (days)]]&gt;Incidents[[#This Row],[SLA Threshold]],"NO","Yes")</f>
        <v>NO</v>
      </c>
    </row>
    <row r="117" spans="1:15" x14ac:dyDescent="0.25">
      <c r="A117" s="19" t="s">
        <v>308</v>
      </c>
      <c r="B117" s="8">
        <v>45462</v>
      </c>
      <c r="C117" s="8">
        <v>45514</v>
      </c>
      <c r="D117" t="s">
        <v>29</v>
      </c>
      <c r="E117" t="s">
        <v>104</v>
      </c>
      <c r="F117" s="49">
        <f t="shared" ca="1" si="1"/>
        <v>38</v>
      </c>
      <c r="G117" s="16" t="s">
        <v>31</v>
      </c>
      <c r="H117" t="s">
        <v>309</v>
      </c>
      <c r="I117" t="s">
        <v>193</v>
      </c>
      <c r="J117" s="14" t="s">
        <v>286</v>
      </c>
      <c r="K117" t="s">
        <v>310</v>
      </c>
      <c r="L117" s="27" t="s">
        <v>71</v>
      </c>
      <c r="M117" t="str">
        <f>VLOOKUP(Incidents[[#This Row],[Ticket ID]],[1]Incidents!$A$2:$D$792,4,FALSE)</f>
        <v>4 - Low</v>
      </c>
      <c r="N117">
        <f>VLOOKUP(Incidents[[#This Row],[Priority]],'SLA Config'!$B$3:$C$6,2,FALSE)</f>
        <v>25</v>
      </c>
      <c r="O117" t="str">
        <f ca="1">IF(Incidents[[#This Row],[Age (days)]]&gt;Incidents[[#This Row],[SLA Threshold]],"NO","Yes")</f>
        <v>NO</v>
      </c>
    </row>
    <row r="118" spans="1:15" x14ac:dyDescent="0.25">
      <c r="A118" s="28" t="s">
        <v>311</v>
      </c>
      <c r="B118" s="29">
        <v>45637</v>
      </c>
      <c r="C118" s="29">
        <v>45690</v>
      </c>
      <c r="D118" s="28" t="s">
        <v>29</v>
      </c>
      <c r="E118" s="28" t="s">
        <v>30</v>
      </c>
      <c r="F118" s="49">
        <f t="shared" ca="1" si="1"/>
        <v>38</v>
      </c>
      <c r="G118" s="28" t="s">
        <v>31</v>
      </c>
      <c r="H118" s="28" t="s">
        <v>312</v>
      </c>
      <c r="I118" t="s">
        <v>193</v>
      </c>
      <c r="J118" s="14" t="s">
        <v>40</v>
      </c>
      <c r="K118" s="28" t="s">
        <v>215</v>
      </c>
      <c r="L118" t="s">
        <v>120</v>
      </c>
      <c r="M118" t="str">
        <f>VLOOKUP(Incidents[[#This Row],[Ticket ID]],[1]Incidents!$A$2:$D$792,4,FALSE)</f>
        <v>2 - High</v>
      </c>
      <c r="N118">
        <f>VLOOKUP(Incidents[[#This Row],[Priority]],'SLA Config'!$B$3:$C$6,2,FALSE)</f>
        <v>5</v>
      </c>
      <c r="O118" t="str">
        <f ca="1">IF(Incidents[[#This Row],[Age (days)]]&gt;Incidents[[#This Row],[SLA Threshold]],"NO","Yes")</f>
        <v>NO</v>
      </c>
    </row>
    <row r="119" spans="1:15" x14ac:dyDescent="0.25">
      <c r="A119" s="19" t="s">
        <v>313</v>
      </c>
      <c r="B119" s="1">
        <v>45321</v>
      </c>
      <c r="C119" s="8">
        <v>45371</v>
      </c>
      <c r="D119" t="s">
        <v>29</v>
      </c>
      <c r="E119" s="17" t="s">
        <v>30</v>
      </c>
      <c r="F119" s="49">
        <f t="shared" ca="1" si="1"/>
        <v>37</v>
      </c>
      <c r="G119" s="16" t="s">
        <v>31</v>
      </c>
      <c r="H119" s="11" t="s">
        <v>314</v>
      </c>
      <c r="I119" t="s">
        <v>193</v>
      </c>
      <c r="J119" s="14" t="s">
        <v>40</v>
      </c>
      <c r="K119" t="s">
        <v>90</v>
      </c>
      <c r="L119" t="s">
        <v>36</v>
      </c>
      <c r="M119" t="str">
        <f>VLOOKUP(Incidents[[#This Row],[Ticket ID]],[1]Incidents!$A$2:$D$792,4,FALSE)</f>
        <v>4 - Low</v>
      </c>
      <c r="N119">
        <f>VLOOKUP(Incidents[[#This Row],[Priority]],'SLA Config'!$B$3:$C$6,2,FALSE)</f>
        <v>25</v>
      </c>
      <c r="O119" t="str">
        <f ca="1">IF(Incidents[[#This Row],[Age (days)]]&gt;Incidents[[#This Row],[SLA Threshold]],"NO","Yes")</f>
        <v>NO</v>
      </c>
    </row>
    <row r="120" spans="1:15" x14ac:dyDescent="0.25">
      <c r="A120" s="2" t="s">
        <v>315</v>
      </c>
      <c r="B120" s="1">
        <v>45372</v>
      </c>
      <c r="C120" s="8">
        <v>45423</v>
      </c>
      <c r="D120" t="s">
        <v>29</v>
      </c>
      <c r="E120" t="s">
        <v>38</v>
      </c>
      <c r="F120" s="49">
        <f t="shared" ca="1" si="1"/>
        <v>37</v>
      </c>
      <c r="G120" s="16" t="s">
        <v>51</v>
      </c>
      <c r="H120" t="s">
        <v>316</v>
      </c>
      <c r="I120" t="s">
        <v>193</v>
      </c>
      <c r="J120" s="14" t="s">
        <v>40</v>
      </c>
      <c r="K120" t="s">
        <v>119</v>
      </c>
      <c r="L120" t="s">
        <v>120</v>
      </c>
      <c r="M120" t="str">
        <f>VLOOKUP(Incidents[[#This Row],[Ticket ID]],[1]Incidents!$A$2:$D$792,4,FALSE)</f>
        <v>2 - High</v>
      </c>
      <c r="N120">
        <f>VLOOKUP(Incidents[[#This Row],[Priority]],'SLA Config'!$B$3:$C$6,2,FALSE)</f>
        <v>5</v>
      </c>
      <c r="O120" t="str">
        <f ca="1">IF(Incidents[[#This Row],[Age (days)]]&gt;Incidents[[#This Row],[SLA Threshold]],"NO","Yes")</f>
        <v>NO</v>
      </c>
    </row>
    <row r="121" spans="1:15" x14ac:dyDescent="0.25">
      <c r="A121" s="2" t="s">
        <v>317</v>
      </c>
      <c r="B121" s="1">
        <v>45545</v>
      </c>
      <c r="C121" s="8">
        <v>45595</v>
      </c>
      <c r="D121" t="s">
        <v>29</v>
      </c>
      <c r="E121" t="s">
        <v>38</v>
      </c>
      <c r="F121" s="49">
        <f t="shared" ca="1" si="1"/>
        <v>37</v>
      </c>
      <c r="G121" t="s">
        <v>31</v>
      </c>
      <c r="H121" t="s">
        <v>318</v>
      </c>
      <c r="I121" t="s">
        <v>193</v>
      </c>
      <c r="J121" s="14" t="s">
        <v>40</v>
      </c>
      <c r="K121" t="s">
        <v>41</v>
      </c>
      <c r="L121" t="s">
        <v>36</v>
      </c>
      <c r="M121" t="str">
        <f>VLOOKUP(Incidents[[#This Row],[Ticket ID]],[1]Incidents!$A$2:$D$792,4,FALSE)</f>
        <v>3 - Medium</v>
      </c>
      <c r="N121">
        <f>VLOOKUP(Incidents[[#This Row],[Priority]],'SLA Config'!$B$3:$C$6,2,FALSE)</f>
        <v>15</v>
      </c>
      <c r="O121" t="str">
        <f ca="1">IF(Incidents[[#This Row],[Age (days)]]&gt;Incidents[[#This Row],[SLA Threshold]],"NO","Yes")</f>
        <v>NO</v>
      </c>
    </row>
    <row r="122" spans="1:15" x14ac:dyDescent="0.25">
      <c r="A122" s="2" t="s">
        <v>319</v>
      </c>
      <c r="B122" s="1">
        <v>45184</v>
      </c>
      <c r="C122" s="8">
        <v>45235</v>
      </c>
      <c r="D122" t="s">
        <v>29</v>
      </c>
      <c r="E122" t="s">
        <v>104</v>
      </c>
      <c r="F122" s="49">
        <f t="shared" ca="1" si="1"/>
        <v>36</v>
      </c>
      <c r="G122" s="16" t="s">
        <v>31</v>
      </c>
      <c r="H122" s="11" t="s">
        <v>320</v>
      </c>
      <c r="I122" t="s">
        <v>193</v>
      </c>
      <c r="J122" s="14" t="s">
        <v>307</v>
      </c>
      <c r="K122" t="s">
        <v>207</v>
      </c>
      <c r="L122" t="s">
        <v>71</v>
      </c>
      <c r="M122" t="str">
        <f>VLOOKUP(Incidents[[#This Row],[Ticket ID]],[1]Incidents!$A$2:$D$792,4,FALSE)</f>
        <v>4 - Low</v>
      </c>
      <c r="N122">
        <f>VLOOKUP(Incidents[[#This Row],[Priority]],'SLA Config'!$B$3:$C$6,2,FALSE)</f>
        <v>25</v>
      </c>
      <c r="O122" t="str">
        <f ca="1">IF(Incidents[[#This Row],[Age (days)]]&gt;Incidents[[#This Row],[SLA Threshold]],"NO","Yes")</f>
        <v>NO</v>
      </c>
    </row>
    <row r="123" spans="1:15" x14ac:dyDescent="0.25">
      <c r="A123" s="17" t="s">
        <v>321</v>
      </c>
      <c r="B123" s="1">
        <v>45237</v>
      </c>
      <c r="C123" s="8">
        <v>45286</v>
      </c>
      <c r="D123" t="s">
        <v>29</v>
      </c>
      <c r="E123" t="s">
        <v>30</v>
      </c>
      <c r="F123" s="49">
        <f t="shared" ca="1" si="1"/>
        <v>36</v>
      </c>
      <c r="G123" s="16" t="s">
        <v>51</v>
      </c>
      <c r="H123" s="11" t="s">
        <v>322</v>
      </c>
      <c r="I123" t="s">
        <v>193</v>
      </c>
      <c r="J123" s="14" t="s">
        <v>40</v>
      </c>
      <c r="K123" t="s">
        <v>119</v>
      </c>
      <c r="L123" t="s">
        <v>120</v>
      </c>
      <c r="M123" t="str">
        <f>VLOOKUP(Incidents[[#This Row],[Ticket ID]],[1]Incidents!$A$2:$D$792,4,FALSE)</f>
        <v>4 - Low</v>
      </c>
      <c r="N123">
        <f>VLOOKUP(Incidents[[#This Row],[Priority]],'SLA Config'!$B$3:$C$6,2,FALSE)</f>
        <v>25</v>
      </c>
      <c r="O123" t="str">
        <f ca="1">IF(Incidents[[#This Row],[Age (days)]]&gt;Incidents[[#This Row],[SLA Threshold]],"NO","Yes")</f>
        <v>NO</v>
      </c>
    </row>
    <row r="124" spans="1:15" x14ac:dyDescent="0.25">
      <c r="A124" s="2" t="s">
        <v>323</v>
      </c>
      <c r="B124" s="1">
        <v>45090</v>
      </c>
      <c r="C124" s="8">
        <v>45138</v>
      </c>
      <c r="D124" t="s">
        <v>29</v>
      </c>
      <c r="E124" t="s">
        <v>324</v>
      </c>
      <c r="F124" s="49">
        <f t="shared" ca="1" si="1"/>
        <v>35</v>
      </c>
      <c r="G124" s="16" t="s">
        <v>31</v>
      </c>
      <c r="H124" s="11" t="s">
        <v>325</v>
      </c>
      <c r="I124" t="s">
        <v>193</v>
      </c>
      <c r="J124" s="14" t="s">
        <v>40</v>
      </c>
      <c r="K124" t="s">
        <v>255</v>
      </c>
      <c r="L124" t="s">
        <v>120</v>
      </c>
      <c r="M124" t="str">
        <f>VLOOKUP(Incidents[[#This Row],[Ticket ID]],[1]Incidents!$A$2:$D$792,4,FALSE)</f>
        <v>3 - Medium</v>
      </c>
      <c r="N124">
        <f>VLOOKUP(Incidents[[#This Row],[Priority]],'SLA Config'!$B$3:$C$6,2,FALSE)</f>
        <v>15</v>
      </c>
      <c r="O124" t="str">
        <f ca="1">IF(Incidents[[#This Row],[Age (days)]]&gt;Incidents[[#This Row],[SLA Threshold]],"NO","Yes")</f>
        <v>NO</v>
      </c>
    </row>
    <row r="125" spans="1:15" x14ac:dyDescent="0.25">
      <c r="A125" s="2" t="s">
        <v>326</v>
      </c>
      <c r="B125" s="1">
        <v>45187</v>
      </c>
      <c r="C125" s="8">
        <v>45235</v>
      </c>
      <c r="D125" t="s">
        <v>29</v>
      </c>
      <c r="E125" t="s">
        <v>104</v>
      </c>
      <c r="F125" s="49">
        <f t="shared" ca="1" si="1"/>
        <v>35</v>
      </c>
      <c r="G125" s="16" t="s">
        <v>31</v>
      </c>
      <c r="H125" s="11" t="s">
        <v>327</v>
      </c>
      <c r="I125" t="s">
        <v>193</v>
      </c>
      <c r="J125" s="14" t="s">
        <v>307</v>
      </c>
      <c r="K125" t="s">
        <v>207</v>
      </c>
      <c r="L125" t="s">
        <v>71</v>
      </c>
      <c r="M125" t="str">
        <f>VLOOKUP(Incidents[[#This Row],[Ticket ID]],[1]Incidents!$A$2:$D$792,4,FALSE)</f>
        <v>4 - Low</v>
      </c>
      <c r="N125">
        <f>VLOOKUP(Incidents[[#This Row],[Priority]],'SLA Config'!$B$3:$C$6,2,FALSE)</f>
        <v>25</v>
      </c>
      <c r="O125" t="str">
        <f ca="1">IF(Incidents[[#This Row],[Age (days)]]&gt;Incidents[[#This Row],[SLA Threshold]],"NO","Yes")</f>
        <v>NO</v>
      </c>
    </row>
    <row r="126" spans="1:15" x14ac:dyDescent="0.25">
      <c r="A126" s="19" t="s">
        <v>328</v>
      </c>
      <c r="B126" s="1">
        <v>45323</v>
      </c>
      <c r="C126" s="8">
        <v>45371</v>
      </c>
      <c r="D126" t="s">
        <v>29</v>
      </c>
      <c r="E126" t="s">
        <v>30</v>
      </c>
      <c r="F126" s="49">
        <f t="shared" ca="1" si="1"/>
        <v>35</v>
      </c>
      <c r="G126" s="16" t="s">
        <v>51</v>
      </c>
      <c r="H126" s="11" t="s">
        <v>329</v>
      </c>
      <c r="I126" t="s">
        <v>193</v>
      </c>
      <c r="J126" s="14" t="s">
        <v>40</v>
      </c>
      <c r="K126" t="s">
        <v>119</v>
      </c>
      <c r="L126" t="s">
        <v>120</v>
      </c>
      <c r="M126" t="str">
        <f>VLOOKUP(Incidents[[#This Row],[Ticket ID]],[1]Incidents!$A$2:$D$792,4,FALSE)</f>
        <v>4 - Low</v>
      </c>
      <c r="N126">
        <f>VLOOKUP(Incidents[[#This Row],[Priority]],'SLA Config'!$B$3:$C$6,2,FALSE)</f>
        <v>25</v>
      </c>
      <c r="O126" t="str">
        <f ca="1">IF(Incidents[[#This Row],[Age (days)]]&gt;Incidents[[#This Row],[SLA Threshold]],"NO","Yes")</f>
        <v>NO</v>
      </c>
    </row>
    <row r="127" spans="1:15" x14ac:dyDescent="0.25">
      <c r="A127" t="s">
        <v>330</v>
      </c>
      <c r="B127" s="1">
        <v>44832</v>
      </c>
      <c r="C127" s="1">
        <v>44878</v>
      </c>
      <c r="D127" t="s">
        <v>29</v>
      </c>
      <c r="E127" t="s">
        <v>54</v>
      </c>
      <c r="F127" s="49">
        <f t="shared" ca="1" si="1"/>
        <v>33</v>
      </c>
      <c r="G127" s="16" t="s">
        <v>31</v>
      </c>
      <c r="H127" s="11" t="s">
        <v>331</v>
      </c>
      <c r="I127" t="s">
        <v>193</v>
      </c>
      <c r="J127" s="15" t="s">
        <v>40</v>
      </c>
      <c r="K127" t="s">
        <v>201</v>
      </c>
      <c r="L127" t="s">
        <v>120</v>
      </c>
      <c r="M127" t="str">
        <f>VLOOKUP(Incidents[[#This Row],[Ticket ID]],[1]Incidents!$A$2:$D$792,4,FALSE)</f>
        <v>4 - Low</v>
      </c>
      <c r="N127">
        <f>VLOOKUP(Incidents[[#This Row],[Priority]],'SLA Config'!$B$3:$C$6,2,FALSE)</f>
        <v>25</v>
      </c>
      <c r="O127" t="str">
        <f ca="1">IF(Incidents[[#This Row],[Age (days)]]&gt;Incidents[[#This Row],[SLA Threshold]],"NO","Yes")</f>
        <v>NO</v>
      </c>
    </row>
    <row r="128" spans="1:15" x14ac:dyDescent="0.25">
      <c r="A128" s="2" t="s">
        <v>332</v>
      </c>
      <c r="B128" s="1">
        <v>45191</v>
      </c>
      <c r="C128" s="8">
        <v>45237</v>
      </c>
      <c r="D128" t="s">
        <v>29</v>
      </c>
      <c r="E128" t="s">
        <v>104</v>
      </c>
      <c r="F128" s="49">
        <f t="shared" ca="1" si="1"/>
        <v>33</v>
      </c>
      <c r="G128" s="16" t="s">
        <v>31</v>
      </c>
      <c r="H128" s="11" t="s">
        <v>333</v>
      </c>
      <c r="I128" t="s">
        <v>193</v>
      </c>
      <c r="J128" s="14" t="s">
        <v>40</v>
      </c>
      <c r="K128" t="s">
        <v>231</v>
      </c>
      <c r="L128" t="s">
        <v>120</v>
      </c>
      <c r="M128" t="str">
        <f>VLOOKUP(Incidents[[#This Row],[Ticket ID]],[1]Incidents!$A$2:$D$792,4,FALSE)</f>
        <v>4 - Low</v>
      </c>
      <c r="N128">
        <f>VLOOKUP(Incidents[[#This Row],[Priority]],'SLA Config'!$B$3:$C$6,2,FALSE)</f>
        <v>25</v>
      </c>
      <c r="O128" t="str">
        <f ca="1">IF(Incidents[[#This Row],[Age (days)]]&gt;Incidents[[#This Row],[SLA Threshold]],"NO","Yes")</f>
        <v>NO</v>
      </c>
    </row>
    <row r="129" spans="1:15" x14ac:dyDescent="0.25">
      <c r="A129" s="19" t="s">
        <v>334</v>
      </c>
      <c r="B129" s="1">
        <v>45324</v>
      </c>
      <c r="C129" s="8">
        <v>45370</v>
      </c>
      <c r="D129" t="s">
        <v>29</v>
      </c>
      <c r="E129" t="s">
        <v>38</v>
      </c>
      <c r="F129" s="49">
        <f t="shared" ca="1" si="1"/>
        <v>33</v>
      </c>
      <c r="G129" s="16" t="s">
        <v>51</v>
      </c>
      <c r="H129" s="11" t="s">
        <v>335</v>
      </c>
      <c r="I129" t="s">
        <v>193</v>
      </c>
      <c r="J129" s="14" t="s">
        <v>40</v>
      </c>
      <c r="K129" t="s">
        <v>119</v>
      </c>
      <c r="L129" t="s">
        <v>120</v>
      </c>
      <c r="M129" t="str">
        <f>VLOOKUP(Incidents[[#This Row],[Ticket ID]],[1]Incidents!$A$2:$D$792,4,FALSE)</f>
        <v>3 - Medium</v>
      </c>
      <c r="N129">
        <f>VLOOKUP(Incidents[[#This Row],[Priority]],'SLA Config'!$B$3:$C$6,2,FALSE)</f>
        <v>15</v>
      </c>
      <c r="O129" t="str">
        <f ca="1">IF(Incidents[[#This Row],[Age (days)]]&gt;Incidents[[#This Row],[SLA Threshold]],"NO","Yes")</f>
        <v>NO</v>
      </c>
    </row>
    <row r="130" spans="1:15" x14ac:dyDescent="0.25">
      <c r="A130" t="s">
        <v>336</v>
      </c>
      <c r="B130" s="1">
        <v>44720</v>
      </c>
      <c r="C130" s="1">
        <v>44762</v>
      </c>
      <c r="D130" t="s">
        <v>29</v>
      </c>
      <c r="E130" t="s">
        <v>54</v>
      </c>
      <c r="F130" s="49">
        <f t="shared" ref="F130:F193" ca="1" si="2">IF(ISBLANK(C130), NETWORKDAYS(B130,TODAY()), NETWORKDAYS(B130,C130))</f>
        <v>31</v>
      </c>
      <c r="G130" s="16" t="s">
        <v>51</v>
      </c>
      <c r="H130" s="11" t="s">
        <v>337</v>
      </c>
      <c r="I130" t="s">
        <v>193</v>
      </c>
      <c r="J130" s="14" t="s">
        <v>40</v>
      </c>
      <c r="K130" t="s">
        <v>201</v>
      </c>
      <c r="L130" t="s">
        <v>120</v>
      </c>
      <c r="M130" t="str">
        <f>VLOOKUP(Incidents[[#This Row],[Ticket ID]],[1]Incidents!$A$2:$D$792,4,FALSE)</f>
        <v>4 - Low</v>
      </c>
      <c r="N130">
        <f>VLOOKUP(Incidents[[#This Row],[Priority]],'SLA Config'!$B$3:$C$6,2,FALSE)</f>
        <v>25</v>
      </c>
      <c r="O130" t="str">
        <f ca="1">IF(Incidents[[#This Row],[Age (days)]]&gt;Incidents[[#This Row],[SLA Threshold]],"NO","Yes")</f>
        <v>NO</v>
      </c>
    </row>
    <row r="131" spans="1:15" x14ac:dyDescent="0.25">
      <c r="A131" t="s">
        <v>338</v>
      </c>
      <c r="B131" s="1">
        <v>44834</v>
      </c>
      <c r="C131" s="1">
        <v>44878</v>
      </c>
      <c r="D131" t="s">
        <v>29</v>
      </c>
      <c r="E131" t="s">
        <v>54</v>
      </c>
      <c r="F131" s="49">
        <f t="shared" ca="1" si="2"/>
        <v>31</v>
      </c>
      <c r="G131" s="16" t="s">
        <v>31</v>
      </c>
      <c r="H131" s="11" t="s">
        <v>339</v>
      </c>
      <c r="I131" t="s">
        <v>193</v>
      </c>
      <c r="J131" s="20" t="s">
        <v>40</v>
      </c>
      <c r="K131" t="s">
        <v>201</v>
      </c>
      <c r="L131" t="s">
        <v>120</v>
      </c>
      <c r="M131" t="str">
        <f>VLOOKUP(Incidents[[#This Row],[Ticket ID]],[1]Incidents!$A$2:$D$792,4,FALSE)</f>
        <v>4 - Low</v>
      </c>
      <c r="N131">
        <f>VLOOKUP(Incidents[[#This Row],[Priority]],'SLA Config'!$B$3:$C$6,2,FALSE)</f>
        <v>25</v>
      </c>
      <c r="O131" t="str">
        <f ca="1">IF(Incidents[[#This Row],[Age (days)]]&gt;Incidents[[#This Row],[SLA Threshold]],"NO","Yes")</f>
        <v>NO</v>
      </c>
    </row>
    <row r="132" spans="1:15" x14ac:dyDescent="0.25">
      <c r="A132" s="19" t="s">
        <v>340</v>
      </c>
      <c r="B132" s="8">
        <v>45457</v>
      </c>
      <c r="C132" s="8">
        <v>45501</v>
      </c>
      <c r="D132" t="s">
        <v>29</v>
      </c>
      <c r="E132" t="s">
        <v>104</v>
      </c>
      <c r="F132" s="49">
        <f t="shared" ca="1" si="2"/>
        <v>31</v>
      </c>
      <c r="G132" s="16" t="s">
        <v>31</v>
      </c>
      <c r="H132" t="s">
        <v>341</v>
      </c>
      <c r="I132" t="s">
        <v>193</v>
      </c>
      <c r="J132" s="20" t="s">
        <v>307</v>
      </c>
      <c r="K132" t="s">
        <v>231</v>
      </c>
      <c r="L132" s="27" t="s">
        <v>120</v>
      </c>
      <c r="M132" t="str">
        <f>VLOOKUP(Incidents[[#This Row],[Ticket ID]],[1]Incidents!$A$2:$D$792,4,FALSE)</f>
        <v>4 - Low</v>
      </c>
      <c r="N132">
        <f>VLOOKUP(Incidents[[#This Row],[Priority]],'SLA Config'!$B$3:$C$6,2,FALSE)</f>
        <v>25</v>
      </c>
      <c r="O132" t="str">
        <f ca="1">IF(Incidents[[#This Row],[Age (days)]]&gt;Incidents[[#This Row],[SLA Threshold]],"NO","Yes")</f>
        <v>NO</v>
      </c>
    </row>
    <row r="133" spans="1:15" x14ac:dyDescent="0.25">
      <c r="A133" s="2" t="s">
        <v>342</v>
      </c>
      <c r="B133" s="1">
        <v>45042</v>
      </c>
      <c r="C133" s="8">
        <v>45083</v>
      </c>
      <c r="D133" t="s">
        <v>29</v>
      </c>
      <c r="E133" t="s">
        <v>104</v>
      </c>
      <c r="F133" s="49">
        <f t="shared" ca="1" si="2"/>
        <v>30</v>
      </c>
      <c r="G133" s="16" t="s">
        <v>31</v>
      </c>
      <c r="H133" s="11" t="s">
        <v>343</v>
      </c>
      <c r="I133" t="s">
        <v>193</v>
      </c>
      <c r="J133" s="20" t="s">
        <v>206</v>
      </c>
      <c r="K133" t="s">
        <v>207</v>
      </c>
      <c r="L133" t="s">
        <v>71</v>
      </c>
      <c r="M133" t="str">
        <f>VLOOKUP(Incidents[[#This Row],[Ticket ID]],[1]Incidents!$A$2:$D$792,4,FALSE)</f>
        <v>4 - Low</v>
      </c>
      <c r="N133">
        <f>VLOOKUP(Incidents[[#This Row],[Priority]],'SLA Config'!$B$3:$C$6,2,FALSE)</f>
        <v>25</v>
      </c>
      <c r="O133" t="str">
        <f ca="1">IF(Incidents[[#This Row],[Age (days)]]&gt;Incidents[[#This Row],[SLA Threshold]],"NO","Yes")</f>
        <v>NO</v>
      </c>
    </row>
    <row r="134" spans="1:15" ht="30" x14ac:dyDescent="0.25">
      <c r="A134" s="19" t="s">
        <v>344</v>
      </c>
      <c r="B134" s="1">
        <v>45313</v>
      </c>
      <c r="C134" s="8">
        <v>45353</v>
      </c>
      <c r="D134" t="s">
        <v>29</v>
      </c>
      <c r="E134" t="s">
        <v>38</v>
      </c>
      <c r="F134" s="49">
        <f t="shared" ca="1" si="2"/>
        <v>30</v>
      </c>
      <c r="G134" s="16" t="s">
        <v>31</v>
      </c>
      <c r="H134" s="11" t="s">
        <v>345</v>
      </c>
      <c r="I134" t="s">
        <v>193</v>
      </c>
      <c r="J134" s="20" t="s">
        <v>40</v>
      </c>
      <c r="K134" t="s">
        <v>201</v>
      </c>
      <c r="L134" t="s">
        <v>120</v>
      </c>
      <c r="M134" t="str">
        <f>VLOOKUP(Incidents[[#This Row],[Ticket ID]],[1]Incidents!$A$2:$D$792,4,FALSE)</f>
        <v>3 - Medium</v>
      </c>
      <c r="N134">
        <f>VLOOKUP(Incidents[[#This Row],[Priority]],'SLA Config'!$B$3:$C$6,2,FALSE)</f>
        <v>15</v>
      </c>
      <c r="O134" t="str">
        <f ca="1">IF(Incidents[[#This Row],[Age (days)]]&gt;Incidents[[#This Row],[SLA Threshold]],"NO","Yes")</f>
        <v>NO</v>
      </c>
    </row>
    <row r="135" spans="1:15" x14ac:dyDescent="0.25">
      <c r="A135" s="28" t="s">
        <v>346</v>
      </c>
      <c r="B135" s="29">
        <v>45628</v>
      </c>
      <c r="C135" s="29">
        <v>45668</v>
      </c>
      <c r="D135" s="28" t="s">
        <v>29</v>
      </c>
      <c r="E135" s="28" t="s">
        <v>38</v>
      </c>
      <c r="F135" s="49">
        <f t="shared" ca="1" si="2"/>
        <v>30</v>
      </c>
      <c r="G135" s="28" t="s">
        <v>51</v>
      </c>
      <c r="H135" s="28" t="s">
        <v>347</v>
      </c>
      <c r="I135" t="s">
        <v>193</v>
      </c>
      <c r="J135" s="20" t="s">
        <v>348</v>
      </c>
      <c r="K135" s="28" t="s">
        <v>119</v>
      </c>
      <c r="L135" t="s">
        <v>120</v>
      </c>
      <c r="M135" t="str">
        <f>VLOOKUP(Incidents[[#This Row],[Ticket ID]],[1]Incidents!$A$2:$D$792,4,FALSE)</f>
        <v>4 - Low</v>
      </c>
      <c r="N135">
        <f>VLOOKUP(Incidents[[#This Row],[Priority]],'SLA Config'!$B$3:$C$6,2,FALSE)</f>
        <v>25</v>
      </c>
      <c r="O135" t="str">
        <f ca="1">IF(Incidents[[#This Row],[Age (days)]]&gt;Incidents[[#This Row],[SLA Threshold]],"NO","Yes")</f>
        <v>NO</v>
      </c>
    </row>
    <row r="136" spans="1:15" x14ac:dyDescent="0.25">
      <c r="A136" s="2" t="s">
        <v>349</v>
      </c>
      <c r="B136" s="1">
        <v>45026</v>
      </c>
      <c r="C136" s="8">
        <v>45064</v>
      </c>
      <c r="D136" t="s">
        <v>29</v>
      </c>
      <c r="E136" t="s">
        <v>209</v>
      </c>
      <c r="F136" s="49">
        <f t="shared" ca="1" si="2"/>
        <v>29</v>
      </c>
      <c r="G136" s="16" t="s">
        <v>51</v>
      </c>
      <c r="H136" s="11" t="s">
        <v>350</v>
      </c>
      <c r="I136" t="s">
        <v>193</v>
      </c>
      <c r="J136" s="20" t="s">
        <v>40</v>
      </c>
      <c r="K136" t="s">
        <v>119</v>
      </c>
      <c r="L136" t="s">
        <v>120</v>
      </c>
      <c r="M136" t="str">
        <f>VLOOKUP(Incidents[[#This Row],[Ticket ID]],[1]Incidents!$A$2:$D$792,4,FALSE)</f>
        <v>2 - High</v>
      </c>
      <c r="N136">
        <f>VLOOKUP(Incidents[[#This Row],[Priority]],'SLA Config'!$B$3:$C$6,2,FALSE)</f>
        <v>5</v>
      </c>
      <c r="O136" t="str">
        <f ca="1">IF(Incidents[[#This Row],[Age (days)]]&gt;Incidents[[#This Row],[SLA Threshold]],"NO","Yes")</f>
        <v>NO</v>
      </c>
    </row>
    <row r="137" spans="1:15" x14ac:dyDescent="0.25">
      <c r="A137" s="19" t="s">
        <v>351</v>
      </c>
      <c r="B137" s="8">
        <v>45463</v>
      </c>
      <c r="C137" s="8">
        <v>45503</v>
      </c>
      <c r="D137" t="s">
        <v>29</v>
      </c>
      <c r="E137" t="s">
        <v>30</v>
      </c>
      <c r="F137" s="49">
        <f t="shared" ca="1" si="2"/>
        <v>29</v>
      </c>
      <c r="G137" s="16" t="s">
        <v>31</v>
      </c>
      <c r="H137" t="s">
        <v>352</v>
      </c>
      <c r="I137" t="s">
        <v>193</v>
      </c>
      <c r="J137" s="20" t="s">
        <v>196</v>
      </c>
      <c r="K137" t="s">
        <v>70</v>
      </c>
      <c r="L137" s="27" t="s">
        <v>71</v>
      </c>
      <c r="M137" t="str">
        <f>VLOOKUP(Incidents[[#This Row],[Ticket ID]],[1]Incidents!$A$2:$D$792,4,FALSE)</f>
        <v>4 - Low</v>
      </c>
      <c r="N137">
        <f>VLOOKUP(Incidents[[#This Row],[Priority]],'SLA Config'!$B$3:$C$6,2,FALSE)</f>
        <v>25</v>
      </c>
      <c r="O137" t="str">
        <f ca="1">IF(Incidents[[#This Row],[Age (days)]]&gt;Incidents[[#This Row],[SLA Threshold]],"NO","Yes")</f>
        <v>NO</v>
      </c>
    </row>
    <row r="138" spans="1:15" x14ac:dyDescent="0.25">
      <c r="A138" s="2" t="s">
        <v>353</v>
      </c>
      <c r="B138" s="1">
        <v>45035</v>
      </c>
      <c r="C138" s="8">
        <v>45074</v>
      </c>
      <c r="D138" t="s">
        <v>29</v>
      </c>
      <c r="E138" t="s">
        <v>104</v>
      </c>
      <c r="F138" s="49">
        <f t="shared" ca="1" si="2"/>
        <v>28</v>
      </c>
      <c r="G138" s="16" t="s">
        <v>51</v>
      </c>
      <c r="H138" s="11" t="s">
        <v>354</v>
      </c>
      <c r="I138" t="s">
        <v>193</v>
      </c>
      <c r="J138" s="20" t="s">
        <v>40</v>
      </c>
      <c r="K138" t="s">
        <v>201</v>
      </c>
      <c r="L138" t="s">
        <v>120</v>
      </c>
      <c r="M138" t="str">
        <f>VLOOKUP(Incidents[[#This Row],[Ticket ID]],[1]Incidents!$A$2:$D$792,4,FALSE)</f>
        <v>3 - Medium</v>
      </c>
      <c r="N138">
        <f>VLOOKUP(Incidents[[#This Row],[Priority]],'SLA Config'!$B$3:$C$6,2,FALSE)</f>
        <v>15</v>
      </c>
      <c r="O138" t="str">
        <f ca="1">IF(Incidents[[#This Row],[Age (days)]]&gt;Incidents[[#This Row],[SLA Threshold]],"NO","Yes")</f>
        <v>NO</v>
      </c>
    </row>
    <row r="139" spans="1:15" x14ac:dyDescent="0.25">
      <c r="A139" s="2" t="s">
        <v>355</v>
      </c>
      <c r="B139" s="1">
        <v>45210</v>
      </c>
      <c r="C139" s="8">
        <v>45249</v>
      </c>
      <c r="D139" t="s">
        <v>29</v>
      </c>
      <c r="E139" t="s">
        <v>30</v>
      </c>
      <c r="F139" s="49">
        <f t="shared" ca="1" si="2"/>
        <v>28</v>
      </c>
      <c r="G139" s="16" t="s">
        <v>51</v>
      </c>
      <c r="H139" s="11" t="s">
        <v>356</v>
      </c>
      <c r="I139" t="s">
        <v>193</v>
      </c>
      <c r="J139" s="20" t="s">
        <v>40</v>
      </c>
      <c r="K139" t="s">
        <v>119</v>
      </c>
      <c r="L139" t="s">
        <v>120</v>
      </c>
      <c r="M139" t="str">
        <f>VLOOKUP(Incidents[[#This Row],[Ticket ID]],[1]Incidents!$A$2:$D$792,4,FALSE)</f>
        <v>3 - Medium</v>
      </c>
      <c r="N139">
        <f>VLOOKUP(Incidents[[#This Row],[Priority]],'SLA Config'!$B$3:$C$6,2,FALSE)</f>
        <v>15</v>
      </c>
      <c r="O139" t="str">
        <f ca="1">IF(Incidents[[#This Row],[Age (days)]]&gt;Incidents[[#This Row],[SLA Threshold]],"NO","Yes")</f>
        <v>NO</v>
      </c>
    </row>
    <row r="140" spans="1:15" x14ac:dyDescent="0.25">
      <c r="A140" s="19" t="s">
        <v>357</v>
      </c>
      <c r="B140" s="8">
        <v>45464</v>
      </c>
      <c r="C140" s="8">
        <v>45503</v>
      </c>
      <c r="D140" t="s">
        <v>29</v>
      </c>
      <c r="E140" t="s">
        <v>30</v>
      </c>
      <c r="F140" s="49">
        <f t="shared" ca="1" si="2"/>
        <v>28</v>
      </c>
      <c r="G140" s="16" t="s">
        <v>31</v>
      </c>
      <c r="H140" t="s">
        <v>358</v>
      </c>
      <c r="I140" t="s">
        <v>193</v>
      </c>
      <c r="J140" s="20" t="s">
        <v>196</v>
      </c>
      <c r="K140" t="s">
        <v>70</v>
      </c>
      <c r="L140" s="27" t="s">
        <v>71</v>
      </c>
      <c r="M140" t="str">
        <f>VLOOKUP(Incidents[[#This Row],[Ticket ID]],[1]Incidents!$A$2:$D$792,4,FALSE)</f>
        <v>4 - Low</v>
      </c>
      <c r="N140">
        <f>VLOOKUP(Incidents[[#This Row],[Priority]],'SLA Config'!$B$3:$C$6,2,FALSE)</f>
        <v>25</v>
      </c>
      <c r="O140" t="str">
        <f ca="1">IF(Incidents[[#This Row],[Age (days)]]&gt;Incidents[[#This Row],[SLA Threshold]],"NO","Yes")</f>
        <v>NO</v>
      </c>
    </row>
    <row r="141" spans="1:15" ht="30" x14ac:dyDescent="0.25">
      <c r="A141" t="s">
        <v>359</v>
      </c>
      <c r="B141" s="1">
        <v>44826</v>
      </c>
      <c r="C141" s="1">
        <v>44864</v>
      </c>
      <c r="D141" t="s">
        <v>29</v>
      </c>
      <c r="E141" t="s">
        <v>54</v>
      </c>
      <c r="F141" s="49">
        <f t="shared" ca="1" si="2"/>
        <v>27</v>
      </c>
      <c r="G141" s="16" t="s">
        <v>31</v>
      </c>
      <c r="H141" s="11" t="s">
        <v>360</v>
      </c>
      <c r="I141" t="s">
        <v>193</v>
      </c>
      <c r="J141" s="20" t="s">
        <v>40</v>
      </c>
      <c r="K141" t="s">
        <v>218</v>
      </c>
      <c r="L141" t="s">
        <v>120</v>
      </c>
      <c r="M141" t="str">
        <f>VLOOKUP(Incidents[[#This Row],[Ticket ID]],[1]Incidents!$A$2:$D$792,4,FALSE)</f>
        <v>3 - Medium</v>
      </c>
      <c r="N141">
        <f>VLOOKUP(Incidents[[#This Row],[Priority]],'SLA Config'!$B$3:$C$6,2,FALSE)</f>
        <v>15</v>
      </c>
      <c r="O141" t="str">
        <f ca="1">IF(Incidents[[#This Row],[Age (days)]]&gt;Incidents[[#This Row],[SLA Threshold]],"NO","Yes")</f>
        <v>NO</v>
      </c>
    </row>
    <row r="142" spans="1:15" x14ac:dyDescent="0.25">
      <c r="A142" s="19" t="s">
        <v>361</v>
      </c>
      <c r="B142" s="1">
        <v>45302</v>
      </c>
      <c r="C142" s="8">
        <v>45340</v>
      </c>
      <c r="D142" t="s">
        <v>29</v>
      </c>
      <c r="E142" s="17" t="s">
        <v>104</v>
      </c>
      <c r="F142" s="49">
        <f t="shared" ca="1" si="2"/>
        <v>27</v>
      </c>
      <c r="G142" s="16" t="s">
        <v>31</v>
      </c>
      <c r="H142" s="11" t="s">
        <v>362</v>
      </c>
      <c r="I142" t="s">
        <v>193</v>
      </c>
      <c r="J142" s="20" t="s">
        <v>40</v>
      </c>
      <c r="K142" t="s">
        <v>201</v>
      </c>
      <c r="L142" t="s">
        <v>120</v>
      </c>
      <c r="M142" t="str">
        <f>VLOOKUP(Incidents[[#This Row],[Ticket ID]],[1]Incidents!$A$2:$D$792,4,FALSE)</f>
        <v>3 - Medium</v>
      </c>
      <c r="N142">
        <f>VLOOKUP(Incidents[[#This Row],[Priority]],'SLA Config'!$B$3:$C$6,2,FALSE)</f>
        <v>15</v>
      </c>
      <c r="O142" t="str">
        <f ca="1">IF(Incidents[[#This Row],[Age (days)]]&gt;Incidents[[#This Row],[SLA Threshold]],"NO","Yes")</f>
        <v>NO</v>
      </c>
    </row>
    <row r="143" spans="1:15" x14ac:dyDescent="0.25">
      <c r="A143" s="2" t="s">
        <v>363</v>
      </c>
      <c r="B143" s="1">
        <v>45110</v>
      </c>
      <c r="C143" s="8">
        <v>45144</v>
      </c>
      <c r="D143" t="s">
        <v>29</v>
      </c>
      <c r="E143" s="17" t="s">
        <v>54</v>
      </c>
      <c r="F143" s="49">
        <f t="shared" ca="1" si="2"/>
        <v>25</v>
      </c>
      <c r="G143" s="16" t="s">
        <v>31</v>
      </c>
      <c r="H143" s="11" t="s">
        <v>364</v>
      </c>
      <c r="I143" t="s">
        <v>193</v>
      </c>
      <c r="J143" s="20" t="s">
        <v>40</v>
      </c>
      <c r="K143" t="s">
        <v>231</v>
      </c>
      <c r="L143" t="s">
        <v>120</v>
      </c>
      <c r="M143" t="str">
        <f>VLOOKUP(Incidents[[#This Row],[Ticket ID]],[1]Incidents!$A$2:$D$792,4,FALSE)</f>
        <v>4 - Low</v>
      </c>
      <c r="N143">
        <f>VLOOKUP(Incidents[[#This Row],[Priority]],'SLA Config'!$B$3:$C$6,2,FALSE)</f>
        <v>25</v>
      </c>
      <c r="O143" t="str">
        <f ca="1">IF(Incidents[[#This Row],[Age (days)]]&gt;Incidents[[#This Row],[SLA Threshold]],"NO","Yes")</f>
        <v>Yes</v>
      </c>
    </row>
    <row r="144" spans="1:15" x14ac:dyDescent="0.25">
      <c r="A144" s="19" t="s">
        <v>365</v>
      </c>
      <c r="B144" s="1">
        <v>45313</v>
      </c>
      <c r="C144" s="8">
        <v>45347</v>
      </c>
      <c r="D144" t="s">
        <v>29</v>
      </c>
      <c r="E144" t="s">
        <v>30</v>
      </c>
      <c r="F144" s="49">
        <f t="shared" ca="1" si="2"/>
        <v>25</v>
      </c>
      <c r="G144" s="16" t="s">
        <v>31</v>
      </c>
      <c r="H144" s="11" t="s">
        <v>366</v>
      </c>
      <c r="I144" t="s">
        <v>193</v>
      </c>
      <c r="J144" s="20" t="s">
        <v>40</v>
      </c>
      <c r="K144" t="s">
        <v>231</v>
      </c>
      <c r="L144" t="s">
        <v>120</v>
      </c>
      <c r="M144" t="str">
        <f>VLOOKUP(Incidents[[#This Row],[Ticket ID]],[1]Incidents!$A$2:$D$792,4,FALSE)</f>
        <v>3 - Medium</v>
      </c>
      <c r="N144">
        <f>VLOOKUP(Incidents[[#This Row],[Priority]],'SLA Config'!$B$3:$C$6,2,FALSE)</f>
        <v>15</v>
      </c>
      <c r="O144" t="str">
        <f ca="1">IF(Incidents[[#This Row],[Age (days)]]&gt;Incidents[[#This Row],[SLA Threshold]],"NO","Yes")</f>
        <v>NO</v>
      </c>
    </row>
    <row r="145" spans="1:15" x14ac:dyDescent="0.25">
      <c r="A145" s="2" t="s">
        <v>367</v>
      </c>
      <c r="B145" s="1">
        <v>45369</v>
      </c>
      <c r="C145" s="8">
        <v>45403</v>
      </c>
      <c r="D145" t="s">
        <v>29</v>
      </c>
      <c r="E145" t="s">
        <v>104</v>
      </c>
      <c r="F145" s="49">
        <f t="shared" ca="1" si="2"/>
        <v>25</v>
      </c>
      <c r="G145" s="16" t="s">
        <v>31</v>
      </c>
      <c r="H145" t="s">
        <v>368</v>
      </c>
      <c r="I145" t="s">
        <v>193</v>
      </c>
      <c r="J145" s="20" t="s">
        <v>40</v>
      </c>
      <c r="K145" t="s">
        <v>201</v>
      </c>
      <c r="L145" t="s">
        <v>120</v>
      </c>
      <c r="M145" t="str">
        <f>VLOOKUP(Incidents[[#This Row],[Ticket ID]],[1]Incidents!$A$2:$D$792,4,FALSE)</f>
        <v>3 - Medium</v>
      </c>
      <c r="N145">
        <f>VLOOKUP(Incidents[[#This Row],[Priority]],'SLA Config'!$B$3:$C$6,2,FALSE)</f>
        <v>15</v>
      </c>
      <c r="O145" t="str">
        <f ca="1">IF(Incidents[[#This Row],[Age (days)]]&gt;Incidents[[#This Row],[SLA Threshold]],"NO","Yes")</f>
        <v>NO</v>
      </c>
    </row>
    <row r="146" spans="1:15" x14ac:dyDescent="0.25">
      <c r="A146" t="s">
        <v>369</v>
      </c>
      <c r="B146" s="1">
        <v>44729</v>
      </c>
      <c r="C146" s="1">
        <v>44758</v>
      </c>
      <c r="D146" t="s">
        <v>29</v>
      </c>
      <c r="E146" t="s">
        <v>54</v>
      </c>
      <c r="F146" s="49">
        <f t="shared" ca="1" si="2"/>
        <v>21</v>
      </c>
      <c r="G146" s="16" t="s">
        <v>31</v>
      </c>
      <c r="H146" s="11" t="s">
        <v>370</v>
      </c>
      <c r="I146" t="s">
        <v>193</v>
      </c>
      <c r="J146" s="20" t="s">
        <v>40</v>
      </c>
      <c r="K146" t="s">
        <v>231</v>
      </c>
      <c r="L146" t="s">
        <v>120</v>
      </c>
      <c r="M146" t="str">
        <f>VLOOKUP(Incidents[[#This Row],[Ticket ID]],[1]Incidents!$A$2:$D$792,4,FALSE)</f>
        <v>4 - Low</v>
      </c>
      <c r="N146">
        <f>VLOOKUP(Incidents[[#This Row],[Priority]],'SLA Config'!$B$3:$C$6,2,FALSE)</f>
        <v>25</v>
      </c>
      <c r="O146" t="str">
        <f ca="1">IF(Incidents[[#This Row],[Age (days)]]&gt;Incidents[[#This Row],[SLA Threshold]],"NO","Yes")</f>
        <v>Yes</v>
      </c>
    </row>
    <row r="147" spans="1:15" x14ac:dyDescent="0.25">
      <c r="A147" s="2" t="s">
        <v>371</v>
      </c>
      <c r="B147" s="1">
        <v>45141</v>
      </c>
      <c r="C147" s="8">
        <v>45169</v>
      </c>
      <c r="D147" t="s">
        <v>29</v>
      </c>
      <c r="E147" t="s">
        <v>324</v>
      </c>
      <c r="F147" s="49">
        <f t="shared" ca="1" si="2"/>
        <v>21</v>
      </c>
      <c r="G147" s="16" t="s">
        <v>51</v>
      </c>
      <c r="H147" s="11" t="s">
        <v>372</v>
      </c>
      <c r="I147" t="s">
        <v>193</v>
      </c>
      <c r="J147" s="20" t="s">
        <v>40</v>
      </c>
      <c r="K147" t="s">
        <v>119</v>
      </c>
      <c r="L147" t="s">
        <v>120</v>
      </c>
      <c r="M147" t="str">
        <f>VLOOKUP(Incidents[[#This Row],[Ticket ID]],[1]Incidents!$A$2:$D$792,4,FALSE)</f>
        <v>3 - Medium</v>
      </c>
      <c r="N147">
        <f>VLOOKUP(Incidents[[#This Row],[Priority]],'SLA Config'!$B$3:$C$6,2,FALSE)</f>
        <v>15</v>
      </c>
      <c r="O147" t="str">
        <f ca="1">IF(Incidents[[#This Row],[Age (days)]]&gt;Incidents[[#This Row],[SLA Threshold]],"NO","Yes")</f>
        <v>NO</v>
      </c>
    </row>
    <row r="148" spans="1:15" x14ac:dyDescent="0.25">
      <c r="A148" s="2" t="s">
        <v>373</v>
      </c>
      <c r="B148" s="1">
        <v>45177</v>
      </c>
      <c r="C148" s="8">
        <v>45206</v>
      </c>
      <c r="D148" t="s">
        <v>29</v>
      </c>
      <c r="E148" t="s">
        <v>104</v>
      </c>
      <c r="F148" s="49">
        <f t="shared" ca="1" si="2"/>
        <v>21</v>
      </c>
      <c r="G148" s="16" t="s">
        <v>31</v>
      </c>
      <c r="H148" s="11" t="s">
        <v>374</v>
      </c>
      <c r="I148" t="s">
        <v>193</v>
      </c>
      <c r="J148" s="20" t="s">
        <v>40</v>
      </c>
      <c r="K148" t="s">
        <v>231</v>
      </c>
      <c r="L148" t="s">
        <v>120</v>
      </c>
      <c r="M148" t="str">
        <f>VLOOKUP(Incidents[[#This Row],[Ticket ID]],[1]Incidents!$A$2:$D$792,4,FALSE)</f>
        <v>3 - Medium</v>
      </c>
      <c r="N148">
        <f>VLOOKUP(Incidents[[#This Row],[Priority]],'SLA Config'!$B$3:$C$6,2,FALSE)</f>
        <v>15</v>
      </c>
      <c r="O148" t="str">
        <f ca="1">IF(Incidents[[#This Row],[Age (days)]]&gt;Incidents[[#This Row],[SLA Threshold]],"NO","Yes")</f>
        <v>NO</v>
      </c>
    </row>
    <row r="149" spans="1:15" x14ac:dyDescent="0.25">
      <c r="A149" s="19" t="s">
        <v>375</v>
      </c>
      <c r="B149" s="1">
        <v>45324</v>
      </c>
      <c r="C149" s="8">
        <v>45353</v>
      </c>
      <c r="D149" t="s">
        <v>29</v>
      </c>
      <c r="E149" t="s">
        <v>38</v>
      </c>
      <c r="F149" s="49">
        <f t="shared" ca="1" si="2"/>
        <v>21</v>
      </c>
      <c r="G149" s="16" t="s">
        <v>31</v>
      </c>
      <c r="H149" s="11" t="s">
        <v>376</v>
      </c>
      <c r="I149" t="s">
        <v>193</v>
      </c>
      <c r="J149" s="21" t="s">
        <v>40</v>
      </c>
      <c r="K149" t="s">
        <v>201</v>
      </c>
      <c r="L149" t="s">
        <v>120</v>
      </c>
      <c r="M149" t="str">
        <f>VLOOKUP(Incidents[[#This Row],[Ticket ID]],[1]Incidents!$A$2:$D$792,4,FALSE)</f>
        <v>4 - Low</v>
      </c>
      <c r="N149">
        <f>VLOOKUP(Incidents[[#This Row],[Priority]],'SLA Config'!$B$3:$C$6,2,FALSE)</f>
        <v>25</v>
      </c>
      <c r="O149" t="str">
        <f ca="1">IF(Incidents[[#This Row],[Age (days)]]&gt;Incidents[[#This Row],[SLA Threshold]],"NO","Yes")</f>
        <v>Yes</v>
      </c>
    </row>
    <row r="150" spans="1:15" x14ac:dyDescent="0.25">
      <c r="A150" s="2" t="s">
        <v>377</v>
      </c>
      <c r="B150" s="1">
        <v>45366</v>
      </c>
      <c r="C150" s="8">
        <v>45395</v>
      </c>
      <c r="D150" t="s">
        <v>29</v>
      </c>
      <c r="E150" t="s">
        <v>38</v>
      </c>
      <c r="F150" s="49">
        <f t="shared" ca="1" si="2"/>
        <v>21</v>
      </c>
      <c r="G150" s="16" t="s">
        <v>51</v>
      </c>
      <c r="H150" t="s">
        <v>378</v>
      </c>
      <c r="I150" t="s">
        <v>193</v>
      </c>
      <c r="J150" s="14" t="s">
        <v>40</v>
      </c>
      <c r="K150" t="s">
        <v>119</v>
      </c>
      <c r="L150" t="s">
        <v>120</v>
      </c>
      <c r="M150" t="str">
        <f>VLOOKUP(Incidents[[#This Row],[Ticket ID]],[1]Incidents!$A$2:$D$792,4,FALSE)</f>
        <v>3 - Medium</v>
      </c>
      <c r="N150">
        <f>VLOOKUP(Incidents[[#This Row],[Priority]],'SLA Config'!$B$3:$C$6,2,FALSE)</f>
        <v>15</v>
      </c>
      <c r="O150" t="str">
        <f ca="1">IF(Incidents[[#This Row],[Age (days)]]&gt;Incidents[[#This Row],[SLA Threshold]],"NO","Yes")</f>
        <v>NO</v>
      </c>
    </row>
    <row r="151" spans="1:15" x14ac:dyDescent="0.25">
      <c r="A151" s="2" t="s">
        <v>379</v>
      </c>
      <c r="B151" s="1">
        <v>44964</v>
      </c>
      <c r="C151" s="8">
        <v>44991</v>
      </c>
      <c r="D151" t="s">
        <v>29</v>
      </c>
      <c r="E151" t="s">
        <v>54</v>
      </c>
      <c r="F151" s="49">
        <f t="shared" ca="1" si="2"/>
        <v>20</v>
      </c>
      <c r="G151" s="16" t="s">
        <v>31</v>
      </c>
      <c r="H151" s="11" t="s">
        <v>380</v>
      </c>
      <c r="I151" t="s">
        <v>193</v>
      </c>
      <c r="J151" s="14" t="s">
        <v>40</v>
      </c>
      <c r="K151" t="s">
        <v>218</v>
      </c>
      <c r="L151" t="s">
        <v>120</v>
      </c>
      <c r="M151" t="str">
        <f>VLOOKUP(Incidents[[#This Row],[Ticket ID]],[1]Incidents!$A$2:$D$792,4,FALSE)</f>
        <v>4 - Low</v>
      </c>
      <c r="N151">
        <f>VLOOKUP(Incidents[[#This Row],[Priority]],'SLA Config'!$B$3:$C$6,2,FALSE)</f>
        <v>25</v>
      </c>
      <c r="O151" t="str">
        <f ca="1">IF(Incidents[[#This Row],[Age (days)]]&gt;Incidents[[#This Row],[SLA Threshold]],"NO","Yes")</f>
        <v>Yes</v>
      </c>
    </row>
    <row r="152" spans="1:15" x14ac:dyDescent="0.25">
      <c r="A152" s="2" t="s">
        <v>381</v>
      </c>
      <c r="B152" s="1">
        <v>45328</v>
      </c>
      <c r="C152" s="8">
        <v>45355</v>
      </c>
      <c r="D152" t="s">
        <v>29</v>
      </c>
      <c r="E152" t="s">
        <v>104</v>
      </c>
      <c r="F152" s="49">
        <f t="shared" ca="1" si="2"/>
        <v>20</v>
      </c>
      <c r="G152" s="16" t="s">
        <v>31</v>
      </c>
      <c r="H152" s="11" t="s">
        <v>382</v>
      </c>
      <c r="I152" t="s">
        <v>193</v>
      </c>
      <c r="J152" s="14" t="s">
        <v>40</v>
      </c>
      <c r="K152" t="s">
        <v>281</v>
      </c>
      <c r="L152" t="s">
        <v>120</v>
      </c>
      <c r="M152" t="str">
        <f>VLOOKUP(Incidents[[#This Row],[Ticket ID]],[1]Incidents!$A$2:$D$792,4,FALSE)</f>
        <v>4 - Low</v>
      </c>
      <c r="N152">
        <f>VLOOKUP(Incidents[[#This Row],[Priority]],'SLA Config'!$B$3:$C$6,2,FALSE)</f>
        <v>25</v>
      </c>
      <c r="O152" t="str">
        <f ca="1">IF(Incidents[[#This Row],[Age (days)]]&gt;Incidents[[#This Row],[SLA Threshold]],"NO","Yes")</f>
        <v>Yes</v>
      </c>
    </row>
    <row r="153" spans="1:15" x14ac:dyDescent="0.25">
      <c r="A153" t="s">
        <v>383</v>
      </c>
      <c r="B153" s="1">
        <v>44845</v>
      </c>
      <c r="C153" s="1">
        <v>44870</v>
      </c>
      <c r="D153" t="s">
        <v>29</v>
      </c>
      <c r="E153" t="s">
        <v>54</v>
      </c>
      <c r="F153" s="49">
        <f t="shared" ca="1" si="2"/>
        <v>19</v>
      </c>
      <c r="G153" s="16" t="s">
        <v>51</v>
      </c>
      <c r="H153" s="11" t="s">
        <v>384</v>
      </c>
      <c r="I153" t="s">
        <v>193</v>
      </c>
      <c r="J153" s="14" t="s">
        <v>304</v>
      </c>
      <c r="K153" t="s">
        <v>119</v>
      </c>
      <c r="L153" t="s">
        <v>120</v>
      </c>
      <c r="M153" t="str">
        <f>VLOOKUP(Incidents[[#This Row],[Ticket ID]],[1]Incidents!$A$2:$D$792,4,FALSE)</f>
        <v>4 - Low</v>
      </c>
      <c r="N153">
        <f>VLOOKUP(Incidents[[#This Row],[Priority]],'SLA Config'!$B$3:$C$6,2,FALSE)</f>
        <v>25</v>
      </c>
      <c r="O153" t="str">
        <f ca="1">IF(Incidents[[#This Row],[Age (days)]]&gt;Incidents[[#This Row],[SLA Threshold]],"NO","Yes")</f>
        <v>Yes</v>
      </c>
    </row>
    <row r="154" spans="1:15" x14ac:dyDescent="0.25">
      <c r="A154" s="2" t="s">
        <v>385</v>
      </c>
      <c r="B154" s="1">
        <v>45034</v>
      </c>
      <c r="C154" s="8">
        <v>45060</v>
      </c>
      <c r="D154" t="s">
        <v>29</v>
      </c>
      <c r="E154" t="s">
        <v>54</v>
      </c>
      <c r="F154" s="49">
        <f t="shared" ca="1" si="2"/>
        <v>19</v>
      </c>
      <c r="G154" s="16" t="s">
        <v>31</v>
      </c>
      <c r="H154" s="11" t="s">
        <v>386</v>
      </c>
      <c r="I154" t="s">
        <v>193</v>
      </c>
      <c r="J154" s="15" t="s">
        <v>40</v>
      </c>
      <c r="K154" t="s">
        <v>201</v>
      </c>
      <c r="L154" t="s">
        <v>120</v>
      </c>
      <c r="M154" t="str">
        <f>VLOOKUP(Incidents[[#This Row],[Ticket ID]],[1]Incidents!$A$2:$D$792,4,FALSE)</f>
        <v>4 - Low</v>
      </c>
      <c r="N154">
        <f>VLOOKUP(Incidents[[#This Row],[Priority]],'SLA Config'!$B$3:$C$6,2,FALSE)</f>
        <v>25</v>
      </c>
      <c r="O154" t="str">
        <f ca="1">IF(Incidents[[#This Row],[Age (days)]]&gt;Incidents[[#This Row],[SLA Threshold]],"NO","Yes")</f>
        <v>Yes</v>
      </c>
    </row>
    <row r="155" spans="1:15" x14ac:dyDescent="0.25">
      <c r="A155" s="19" t="s">
        <v>387</v>
      </c>
      <c r="B155" s="8">
        <v>45413</v>
      </c>
      <c r="C155" s="8">
        <v>45439</v>
      </c>
      <c r="D155" t="s">
        <v>29</v>
      </c>
      <c r="E155" t="s">
        <v>38</v>
      </c>
      <c r="F155" s="49">
        <f t="shared" ca="1" si="2"/>
        <v>19</v>
      </c>
      <c r="G155" s="16" t="s">
        <v>31</v>
      </c>
      <c r="H155" s="11" t="s">
        <v>230</v>
      </c>
      <c r="I155" t="s">
        <v>193</v>
      </c>
      <c r="J155" s="14" t="s">
        <v>196</v>
      </c>
      <c r="K155" t="s">
        <v>236</v>
      </c>
      <c r="L155" t="s">
        <v>36</v>
      </c>
      <c r="M155" t="str">
        <f>VLOOKUP(Incidents[[#This Row],[Ticket ID]],[1]Incidents!$A$2:$D$792,4,FALSE)</f>
        <v>4 - Low</v>
      </c>
      <c r="N155">
        <f>VLOOKUP(Incidents[[#This Row],[Priority]],'SLA Config'!$B$3:$C$6,2,FALSE)</f>
        <v>25</v>
      </c>
      <c r="O155" t="str">
        <f ca="1">IF(Incidents[[#This Row],[Age (days)]]&gt;Incidents[[#This Row],[SLA Threshold]],"NO","Yes")</f>
        <v>Yes</v>
      </c>
    </row>
    <row r="156" spans="1:15" x14ac:dyDescent="0.25">
      <c r="A156" s="19" t="s">
        <v>388</v>
      </c>
      <c r="B156" s="8">
        <v>45531</v>
      </c>
      <c r="C156" s="8">
        <v>45556</v>
      </c>
      <c r="D156" t="s">
        <v>29</v>
      </c>
      <c r="E156" s="17" t="s">
        <v>30</v>
      </c>
      <c r="F156" s="49">
        <f t="shared" ca="1" si="2"/>
        <v>19</v>
      </c>
      <c r="G156" s="16" t="s">
        <v>31</v>
      </c>
      <c r="H156" s="11" t="s">
        <v>389</v>
      </c>
      <c r="I156" t="s">
        <v>193</v>
      </c>
      <c r="J156" s="14" t="s">
        <v>40</v>
      </c>
      <c r="K156" s="27" t="s">
        <v>201</v>
      </c>
      <c r="L156" s="27" t="s">
        <v>36</v>
      </c>
      <c r="M156" t="str">
        <f>VLOOKUP(Incidents[[#This Row],[Ticket ID]],[1]Incidents!$A$2:$D$792,4,FALSE)</f>
        <v>3 - Medium</v>
      </c>
      <c r="N156">
        <f>VLOOKUP(Incidents[[#This Row],[Priority]],'SLA Config'!$B$3:$C$6,2,FALSE)</f>
        <v>15</v>
      </c>
      <c r="O156" t="str">
        <f ca="1">IF(Incidents[[#This Row],[Age (days)]]&gt;Incidents[[#This Row],[SLA Threshold]],"NO","Yes")</f>
        <v>NO</v>
      </c>
    </row>
    <row r="157" spans="1:15" ht="30" x14ac:dyDescent="0.25">
      <c r="A157" s="2" t="s">
        <v>390</v>
      </c>
      <c r="B157" s="1">
        <v>45029</v>
      </c>
      <c r="C157" s="8">
        <v>45053</v>
      </c>
      <c r="D157" t="s">
        <v>29</v>
      </c>
      <c r="E157" t="s">
        <v>104</v>
      </c>
      <c r="F157" s="49">
        <f t="shared" ca="1" si="2"/>
        <v>17</v>
      </c>
      <c r="G157" s="16" t="s">
        <v>51</v>
      </c>
      <c r="H157" s="11" t="s">
        <v>391</v>
      </c>
      <c r="I157" t="s">
        <v>193</v>
      </c>
      <c r="J157" s="14" t="s">
        <v>40</v>
      </c>
      <c r="K157" t="s">
        <v>218</v>
      </c>
      <c r="L157" t="s">
        <v>120</v>
      </c>
      <c r="M157" t="str">
        <f>VLOOKUP(Incidents[[#This Row],[Ticket ID]],[1]Incidents!$A$2:$D$792,4,FALSE)</f>
        <v>4 - Low</v>
      </c>
      <c r="N157">
        <f>VLOOKUP(Incidents[[#This Row],[Priority]],'SLA Config'!$B$3:$C$6,2,FALSE)</f>
        <v>25</v>
      </c>
      <c r="O157" t="str">
        <f ca="1">IF(Incidents[[#This Row],[Age (days)]]&gt;Incidents[[#This Row],[SLA Threshold]],"NO","Yes")</f>
        <v>Yes</v>
      </c>
    </row>
    <row r="158" spans="1:15" x14ac:dyDescent="0.25">
      <c r="A158" s="19" t="s">
        <v>392</v>
      </c>
      <c r="B158" s="8">
        <v>45456</v>
      </c>
      <c r="C158" s="8">
        <v>45480</v>
      </c>
      <c r="D158" t="s">
        <v>29</v>
      </c>
      <c r="E158" t="s">
        <v>104</v>
      </c>
      <c r="F158" s="49">
        <f t="shared" ca="1" si="2"/>
        <v>17</v>
      </c>
      <c r="G158" s="16" t="s">
        <v>31</v>
      </c>
      <c r="H158" t="s">
        <v>393</v>
      </c>
      <c r="I158" t="s">
        <v>193</v>
      </c>
      <c r="J158" s="14" t="s">
        <v>394</v>
      </c>
      <c r="K158" t="s">
        <v>231</v>
      </c>
      <c r="L158" s="27" t="s">
        <v>120</v>
      </c>
      <c r="M158" t="str">
        <f>VLOOKUP(Incidents[[#This Row],[Ticket ID]],[1]Incidents!$A$2:$D$792,4,FALSE)</f>
        <v>2 - High</v>
      </c>
      <c r="N158">
        <f>VLOOKUP(Incidents[[#This Row],[Priority]],'SLA Config'!$B$3:$C$6,2,FALSE)</f>
        <v>5</v>
      </c>
      <c r="O158" t="str">
        <f ca="1">IF(Incidents[[#This Row],[Age (days)]]&gt;Incidents[[#This Row],[SLA Threshold]],"NO","Yes")</f>
        <v>NO</v>
      </c>
    </row>
    <row r="159" spans="1:15" x14ac:dyDescent="0.25">
      <c r="A159" s="2" t="s">
        <v>395</v>
      </c>
      <c r="B159" s="1">
        <v>45547</v>
      </c>
      <c r="C159" s="8">
        <v>45571</v>
      </c>
      <c r="D159" t="s">
        <v>29</v>
      </c>
      <c r="E159" t="s">
        <v>46</v>
      </c>
      <c r="F159" s="49">
        <f t="shared" ca="1" si="2"/>
        <v>17</v>
      </c>
      <c r="G159" t="s">
        <v>51</v>
      </c>
      <c r="H159" t="s">
        <v>396</v>
      </c>
      <c r="I159" t="s">
        <v>193</v>
      </c>
      <c r="J159" s="14" t="s">
        <v>397</v>
      </c>
      <c r="K159" t="s">
        <v>398</v>
      </c>
      <c r="L159" t="s">
        <v>71</v>
      </c>
      <c r="M159" t="str">
        <f>VLOOKUP(Incidents[[#This Row],[Ticket ID]],[1]Incidents!$A$2:$D$792,4,FALSE)</f>
        <v>4 - Low</v>
      </c>
      <c r="N159">
        <f>VLOOKUP(Incidents[[#This Row],[Priority]],'SLA Config'!$B$3:$C$6,2,FALSE)</f>
        <v>25</v>
      </c>
      <c r="O159" t="str">
        <f ca="1">IF(Incidents[[#This Row],[Age (days)]]&gt;Incidents[[#This Row],[SLA Threshold]],"NO","Yes")</f>
        <v>Yes</v>
      </c>
    </row>
    <row r="160" spans="1:15" x14ac:dyDescent="0.25">
      <c r="A160" s="19" t="s">
        <v>399</v>
      </c>
      <c r="B160" s="1">
        <v>45324</v>
      </c>
      <c r="C160" s="8">
        <v>45347</v>
      </c>
      <c r="D160" t="s">
        <v>29</v>
      </c>
      <c r="E160" t="s">
        <v>38</v>
      </c>
      <c r="F160" s="49">
        <f t="shared" ca="1" si="2"/>
        <v>16</v>
      </c>
      <c r="G160" s="16" t="s">
        <v>51</v>
      </c>
      <c r="H160" s="11" t="s">
        <v>400</v>
      </c>
      <c r="I160" t="s">
        <v>193</v>
      </c>
      <c r="J160" s="14" t="s">
        <v>40</v>
      </c>
      <c r="K160" t="s">
        <v>401</v>
      </c>
      <c r="L160" t="s">
        <v>71</v>
      </c>
      <c r="M160" t="str">
        <f>VLOOKUP(Incidents[[#This Row],[Ticket ID]],[1]Incidents!$A$2:$D$792,4,FALSE)</f>
        <v>3 - Medium</v>
      </c>
      <c r="N160">
        <f>VLOOKUP(Incidents[[#This Row],[Priority]],'SLA Config'!$B$3:$C$6,2,FALSE)</f>
        <v>15</v>
      </c>
      <c r="O160" t="str">
        <f ca="1">IF(Incidents[[#This Row],[Age (days)]]&gt;Incidents[[#This Row],[SLA Threshold]],"NO","Yes")</f>
        <v>NO</v>
      </c>
    </row>
    <row r="161" spans="1:15" x14ac:dyDescent="0.25">
      <c r="A161" s="2" t="s">
        <v>402</v>
      </c>
      <c r="B161" s="1">
        <v>45377</v>
      </c>
      <c r="C161" s="8">
        <v>45398</v>
      </c>
      <c r="D161" t="s">
        <v>29</v>
      </c>
      <c r="E161" s="17" t="s">
        <v>38</v>
      </c>
      <c r="F161" s="49">
        <f t="shared" ca="1" si="2"/>
        <v>16</v>
      </c>
      <c r="G161" s="16" t="s">
        <v>31</v>
      </c>
      <c r="H161" t="s">
        <v>403</v>
      </c>
      <c r="I161" t="s">
        <v>193</v>
      </c>
      <c r="J161" s="14" t="s">
        <v>40</v>
      </c>
      <c r="K161" t="s">
        <v>201</v>
      </c>
      <c r="L161" t="s">
        <v>120</v>
      </c>
      <c r="M161" t="str">
        <f>VLOOKUP(Incidents[[#This Row],[Ticket ID]],[1]Incidents!$A$2:$D$792,4,FALSE)</f>
        <v>2 - High</v>
      </c>
      <c r="N161">
        <f>VLOOKUP(Incidents[[#This Row],[Priority]],'SLA Config'!$B$3:$C$6,2,FALSE)</f>
        <v>5</v>
      </c>
      <c r="O161" t="str">
        <f ca="1">IF(Incidents[[#This Row],[Age (days)]]&gt;Incidents[[#This Row],[SLA Threshold]],"NO","Yes")</f>
        <v>NO</v>
      </c>
    </row>
    <row r="162" spans="1:15" x14ac:dyDescent="0.25">
      <c r="A162" t="s">
        <v>404</v>
      </c>
      <c r="B162" s="1">
        <v>44761</v>
      </c>
      <c r="C162" s="1">
        <v>44779</v>
      </c>
      <c r="D162" t="s">
        <v>29</v>
      </c>
      <c r="E162" t="s">
        <v>104</v>
      </c>
      <c r="F162" s="49">
        <f t="shared" ca="1" si="2"/>
        <v>14</v>
      </c>
      <c r="G162" s="16" t="s">
        <v>31</v>
      </c>
      <c r="H162" s="11" t="s">
        <v>405</v>
      </c>
      <c r="I162" t="s">
        <v>193</v>
      </c>
      <c r="J162" s="15" t="s">
        <v>40</v>
      </c>
      <c r="K162" t="s">
        <v>231</v>
      </c>
      <c r="L162" t="s">
        <v>120</v>
      </c>
      <c r="M162" t="str">
        <f>VLOOKUP(Incidents[[#This Row],[Ticket ID]],[1]Incidents!$A$2:$D$792,4,FALSE)</f>
        <v>4 - Low</v>
      </c>
      <c r="N162">
        <f>VLOOKUP(Incidents[[#This Row],[Priority]],'SLA Config'!$B$3:$C$6,2,FALSE)</f>
        <v>25</v>
      </c>
      <c r="O162" t="str">
        <f ca="1">IF(Incidents[[#This Row],[Age (days)]]&gt;Incidents[[#This Row],[SLA Threshold]],"NO","Yes")</f>
        <v>Yes</v>
      </c>
    </row>
    <row r="163" spans="1:15" x14ac:dyDescent="0.25">
      <c r="A163" s="2" t="s">
        <v>406</v>
      </c>
      <c r="B163" s="1">
        <v>45350</v>
      </c>
      <c r="C163" s="8">
        <v>45369</v>
      </c>
      <c r="D163" t="s">
        <v>29</v>
      </c>
      <c r="E163" t="s">
        <v>38</v>
      </c>
      <c r="F163" s="49">
        <f t="shared" ca="1" si="2"/>
        <v>14</v>
      </c>
      <c r="G163" s="16" t="s">
        <v>51</v>
      </c>
      <c r="H163" s="11" t="s">
        <v>407</v>
      </c>
      <c r="I163" t="s">
        <v>193</v>
      </c>
      <c r="J163" s="14" t="s">
        <v>40</v>
      </c>
      <c r="K163" t="s">
        <v>119</v>
      </c>
      <c r="L163" t="s">
        <v>120</v>
      </c>
      <c r="M163" t="str">
        <f>VLOOKUP(Incidents[[#This Row],[Ticket ID]],[1]Incidents!$A$2:$D$792,4,FALSE)</f>
        <v>4 - Low</v>
      </c>
      <c r="N163">
        <f>VLOOKUP(Incidents[[#This Row],[Priority]],'SLA Config'!$B$3:$C$6,2,FALSE)</f>
        <v>25</v>
      </c>
      <c r="O163" t="str">
        <f ca="1">IF(Incidents[[#This Row],[Age (days)]]&gt;Incidents[[#This Row],[SLA Threshold]],"NO","Yes")</f>
        <v>Yes</v>
      </c>
    </row>
    <row r="164" spans="1:15" x14ac:dyDescent="0.25">
      <c r="A164" s="2" t="s">
        <v>408</v>
      </c>
      <c r="B164" s="1">
        <v>45280</v>
      </c>
      <c r="C164" s="8">
        <v>45298</v>
      </c>
      <c r="D164" t="s">
        <v>29</v>
      </c>
      <c r="E164" s="17" t="s">
        <v>38</v>
      </c>
      <c r="F164" s="49">
        <f t="shared" ca="1" si="2"/>
        <v>13</v>
      </c>
      <c r="G164" s="16" t="s">
        <v>31</v>
      </c>
      <c r="H164" s="11" t="s">
        <v>409</v>
      </c>
      <c r="I164" t="s">
        <v>193</v>
      </c>
      <c r="J164" s="14" t="s">
        <v>196</v>
      </c>
      <c r="K164" t="s">
        <v>410</v>
      </c>
      <c r="L164" t="s">
        <v>71</v>
      </c>
      <c r="M164" t="str">
        <f>VLOOKUP(Incidents[[#This Row],[Ticket ID]],[1]Incidents!$A$2:$D$792,4,FALSE)</f>
        <v>4 - Low</v>
      </c>
      <c r="N164">
        <f>VLOOKUP(Incidents[[#This Row],[Priority]],'SLA Config'!$B$3:$C$6,2,FALSE)</f>
        <v>25</v>
      </c>
      <c r="O164" t="str">
        <f ca="1">IF(Incidents[[#This Row],[Age (days)]]&gt;Incidents[[#This Row],[SLA Threshold]],"NO","Yes")</f>
        <v>Yes</v>
      </c>
    </row>
    <row r="165" spans="1:15" x14ac:dyDescent="0.25">
      <c r="A165" s="19" t="s">
        <v>411</v>
      </c>
      <c r="B165" s="1">
        <v>45301</v>
      </c>
      <c r="C165" s="8">
        <v>45319</v>
      </c>
      <c r="D165" t="s">
        <v>29</v>
      </c>
      <c r="E165" t="s">
        <v>273</v>
      </c>
      <c r="F165" s="49">
        <f t="shared" ca="1" si="2"/>
        <v>13</v>
      </c>
      <c r="G165" s="16" t="s">
        <v>51</v>
      </c>
      <c r="H165" s="11" t="s">
        <v>412</v>
      </c>
      <c r="I165" t="s">
        <v>193</v>
      </c>
      <c r="J165" s="14" t="s">
        <v>40</v>
      </c>
      <c r="K165" t="s">
        <v>119</v>
      </c>
      <c r="L165" t="s">
        <v>120</v>
      </c>
      <c r="M165" t="str">
        <f>VLOOKUP(Incidents[[#This Row],[Ticket ID]],[1]Incidents!$A$2:$D$792,4,FALSE)</f>
        <v>3 - Medium</v>
      </c>
      <c r="N165">
        <f>VLOOKUP(Incidents[[#This Row],[Priority]],'SLA Config'!$B$3:$C$6,2,FALSE)</f>
        <v>15</v>
      </c>
      <c r="O165" t="str">
        <f ca="1">IF(Incidents[[#This Row],[Age (days)]]&gt;Incidents[[#This Row],[SLA Threshold]],"NO","Yes")</f>
        <v>Yes</v>
      </c>
    </row>
    <row r="166" spans="1:15" x14ac:dyDescent="0.25">
      <c r="A166" s="2" t="s">
        <v>413</v>
      </c>
      <c r="B166" s="1">
        <v>45359</v>
      </c>
      <c r="C166" s="8">
        <v>45377</v>
      </c>
      <c r="D166" t="s">
        <v>29</v>
      </c>
      <c r="E166" t="s">
        <v>30</v>
      </c>
      <c r="F166" s="49">
        <f t="shared" ca="1" si="2"/>
        <v>13</v>
      </c>
      <c r="G166" s="16" t="s">
        <v>31</v>
      </c>
      <c r="H166" t="s">
        <v>414</v>
      </c>
      <c r="I166" t="s">
        <v>193</v>
      </c>
      <c r="J166" s="14" t="s">
        <v>239</v>
      </c>
      <c r="K166" t="s">
        <v>415</v>
      </c>
      <c r="L166" t="s">
        <v>71</v>
      </c>
      <c r="M166" t="str">
        <f>VLOOKUP(Incidents[[#This Row],[Ticket ID]],[1]Incidents!$A$2:$D$792,4,FALSE)</f>
        <v>4 - Low</v>
      </c>
      <c r="N166">
        <f>VLOOKUP(Incidents[[#This Row],[Priority]],'SLA Config'!$B$3:$C$6,2,FALSE)</f>
        <v>25</v>
      </c>
      <c r="O166" t="str">
        <f ca="1">IF(Incidents[[#This Row],[Age (days)]]&gt;Incidents[[#This Row],[SLA Threshold]],"NO","Yes")</f>
        <v>Yes</v>
      </c>
    </row>
    <row r="167" spans="1:15" x14ac:dyDescent="0.25">
      <c r="A167" s="19" t="s">
        <v>416</v>
      </c>
      <c r="B167" s="8">
        <v>45603</v>
      </c>
      <c r="C167" s="8">
        <v>45733</v>
      </c>
      <c r="D167" s="28" t="s">
        <v>29</v>
      </c>
      <c r="E167" t="s">
        <v>38</v>
      </c>
      <c r="F167" s="49">
        <f t="shared" ca="1" si="2"/>
        <v>93</v>
      </c>
      <c r="G167" s="16" t="s">
        <v>31</v>
      </c>
      <c r="H167" t="s">
        <v>417</v>
      </c>
      <c r="I167" t="s">
        <v>193</v>
      </c>
      <c r="J167" s="14" t="s">
        <v>40</v>
      </c>
      <c r="K167" t="s">
        <v>418</v>
      </c>
      <c r="L167" t="s">
        <v>71</v>
      </c>
      <c r="M167" t="str">
        <f>VLOOKUP(Incidents[[#This Row],[Ticket ID]],[1]Incidents!$A$2:$D$792,4,FALSE)</f>
        <v>4 - Low</v>
      </c>
      <c r="N167">
        <f>VLOOKUP(Incidents[[#This Row],[Priority]],'SLA Config'!$B$3:$C$6,2,FALSE)</f>
        <v>25</v>
      </c>
      <c r="O167" t="str">
        <f ca="1">IF(Incidents[[#This Row],[Age (days)]]&gt;Incidents[[#This Row],[SLA Threshold]],"NO","Yes")</f>
        <v>NO</v>
      </c>
    </row>
    <row r="168" spans="1:15" x14ac:dyDescent="0.25">
      <c r="A168" s="2" t="s">
        <v>419</v>
      </c>
      <c r="B168" s="1">
        <v>45043</v>
      </c>
      <c r="C168" s="8">
        <v>45060</v>
      </c>
      <c r="D168" t="s">
        <v>29</v>
      </c>
      <c r="E168" t="s">
        <v>104</v>
      </c>
      <c r="F168" s="49">
        <f t="shared" ca="1" si="2"/>
        <v>12</v>
      </c>
      <c r="G168" s="16" t="s">
        <v>31</v>
      </c>
      <c r="H168" s="11" t="s">
        <v>420</v>
      </c>
      <c r="I168" t="s">
        <v>193</v>
      </c>
      <c r="J168" s="14" t="s">
        <v>40</v>
      </c>
      <c r="K168" t="s">
        <v>201</v>
      </c>
      <c r="L168" t="s">
        <v>120</v>
      </c>
      <c r="M168" t="str">
        <f>VLOOKUP(Incidents[[#This Row],[Ticket ID]],[1]Incidents!$A$2:$D$792,4,FALSE)</f>
        <v>3 - Medium</v>
      </c>
      <c r="N168">
        <f>VLOOKUP(Incidents[[#This Row],[Priority]],'SLA Config'!$B$3:$C$6,2,FALSE)</f>
        <v>15</v>
      </c>
      <c r="O168" t="str">
        <f ca="1">IF(Incidents[[#This Row],[Age (days)]]&gt;Incidents[[#This Row],[SLA Threshold]],"NO","Yes")</f>
        <v>Yes</v>
      </c>
    </row>
    <row r="169" spans="1:15" x14ac:dyDescent="0.25">
      <c r="A169" s="19" t="s">
        <v>421</v>
      </c>
      <c r="B169" s="1">
        <v>45323</v>
      </c>
      <c r="C169" s="8">
        <v>45340</v>
      </c>
      <c r="D169" t="s">
        <v>29</v>
      </c>
      <c r="E169" t="s">
        <v>30</v>
      </c>
      <c r="F169" s="49">
        <f t="shared" ca="1" si="2"/>
        <v>12</v>
      </c>
      <c r="G169" s="16" t="s">
        <v>51</v>
      </c>
      <c r="H169" s="11" t="s">
        <v>422</v>
      </c>
      <c r="I169" t="s">
        <v>193</v>
      </c>
      <c r="J169" s="14" t="s">
        <v>40</v>
      </c>
      <c r="K169" t="s">
        <v>119</v>
      </c>
      <c r="L169" t="s">
        <v>120</v>
      </c>
      <c r="M169" t="str">
        <f>VLOOKUP(Incidents[[#This Row],[Ticket ID]],[1]Incidents!$A$2:$D$792,4,FALSE)</f>
        <v>3 - Medium</v>
      </c>
      <c r="N169">
        <f>VLOOKUP(Incidents[[#This Row],[Priority]],'SLA Config'!$B$3:$C$6,2,FALSE)</f>
        <v>15</v>
      </c>
      <c r="O169" t="str">
        <f ca="1">IF(Incidents[[#This Row],[Age (days)]]&gt;Incidents[[#This Row],[SLA Threshold]],"NO","Yes")</f>
        <v>Yes</v>
      </c>
    </row>
    <row r="170" spans="1:15" x14ac:dyDescent="0.25">
      <c r="A170" s="2" t="s">
        <v>423</v>
      </c>
      <c r="B170" s="1">
        <v>45341</v>
      </c>
      <c r="C170" s="8">
        <v>45356</v>
      </c>
      <c r="D170" t="s">
        <v>29</v>
      </c>
      <c r="E170" t="s">
        <v>30</v>
      </c>
      <c r="F170" s="49">
        <f t="shared" ca="1" si="2"/>
        <v>12</v>
      </c>
      <c r="G170" s="16" t="s">
        <v>31</v>
      </c>
      <c r="H170" s="11" t="s">
        <v>424</v>
      </c>
      <c r="I170" t="s">
        <v>193</v>
      </c>
      <c r="J170" s="14" t="s">
        <v>40</v>
      </c>
      <c r="K170" t="s">
        <v>231</v>
      </c>
      <c r="L170" t="s">
        <v>120</v>
      </c>
      <c r="M170" t="str">
        <f>VLOOKUP(Incidents[[#This Row],[Ticket ID]],[1]Incidents!$A$2:$D$792,4,FALSE)</f>
        <v>4 - Low</v>
      </c>
      <c r="N170">
        <f>VLOOKUP(Incidents[[#This Row],[Priority]],'SLA Config'!$B$3:$C$6,2,FALSE)</f>
        <v>25</v>
      </c>
      <c r="O170" t="str">
        <f ca="1">IF(Incidents[[#This Row],[Age (days)]]&gt;Incidents[[#This Row],[SLA Threshold]],"NO","Yes")</f>
        <v>Yes</v>
      </c>
    </row>
    <row r="171" spans="1:15" x14ac:dyDescent="0.25">
      <c r="A171" s="2" t="s">
        <v>425</v>
      </c>
      <c r="B171" s="1">
        <v>45358</v>
      </c>
      <c r="C171" s="8">
        <v>45375</v>
      </c>
      <c r="D171" t="s">
        <v>29</v>
      </c>
      <c r="E171" t="s">
        <v>30</v>
      </c>
      <c r="F171" s="49">
        <f t="shared" ca="1" si="2"/>
        <v>12</v>
      </c>
      <c r="G171" s="16" t="s">
        <v>31</v>
      </c>
      <c r="H171" t="s">
        <v>426</v>
      </c>
      <c r="I171" t="s">
        <v>193</v>
      </c>
      <c r="J171" s="14" t="s">
        <v>34</v>
      </c>
      <c r="K171" t="s">
        <v>81</v>
      </c>
      <c r="L171" t="s">
        <v>427</v>
      </c>
      <c r="M171" t="str">
        <f>VLOOKUP(Incidents[[#This Row],[Ticket ID]],[1]Incidents!$A$2:$D$792,4,FALSE)</f>
        <v>4 - Low</v>
      </c>
      <c r="N171">
        <f>VLOOKUP(Incidents[[#This Row],[Priority]],'SLA Config'!$B$3:$C$6,2,FALSE)</f>
        <v>25</v>
      </c>
      <c r="O171" t="str">
        <f ca="1">IF(Incidents[[#This Row],[Age (days)]]&gt;Incidents[[#This Row],[SLA Threshold]],"NO","Yes")</f>
        <v>Yes</v>
      </c>
    </row>
    <row r="172" spans="1:15" x14ac:dyDescent="0.25">
      <c r="A172" s="2" t="s">
        <v>428</v>
      </c>
      <c r="B172" s="8">
        <v>45583</v>
      </c>
      <c r="C172" s="8">
        <v>45623.401064814818</v>
      </c>
      <c r="D172" t="s">
        <v>29</v>
      </c>
      <c r="E172" t="s">
        <v>104</v>
      </c>
      <c r="F172" s="49">
        <f t="shared" ca="1" si="2"/>
        <v>29</v>
      </c>
      <c r="G172" s="16" t="s">
        <v>31</v>
      </c>
      <c r="H172" t="s">
        <v>429</v>
      </c>
      <c r="I172" t="s">
        <v>193</v>
      </c>
      <c r="J172" s="14" t="s">
        <v>40</v>
      </c>
      <c r="K172" t="s">
        <v>201</v>
      </c>
      <c r="L172" t="s">
        <v>120</v>
      </c>
      <c r="M172" t="str">
        <f>VLOOKUP(Incidents[[#This Row],[Ticket ID]],[1]Incidents!$A$2:$D$792,4,FALSE)</f>
        <v>3 - Medium</v>
      </c>
      <c r="N172">
        <f>VLOOKUP(Incidents[[#This Row],[Priority]],'SLA Config'!$B$3:$C$6,2,FALSE)</f>
        <v>15</v>
      </c>
      <c r="O172" t="str">
        <f ca="1">IF(Incidents[[#This Row],[Age (days)]]&gt;Incidents[[#This Row],[SLA Threshold]],"NO","Yes")</f>
        <v>NO</v>
      </c>
    </row>
    <row r="173" spans="1:15" x14ac:dyDescent="0.25">
      <c r="A173" s="28" t="s">
        <v>430</v>
      </c>
      <c r="B173" s="29">
        <v>45688</v>
      </c>
      <c r="C173" s="29">
        <v>45705</v>
      </c>
      <c r="D173" s="28" t="s">
        <v>29</v>
      </c>
      <c r="E173" s="28" t="s">
        <v>38</v>
      </c>
      <c r="F173" s="49">
        <f t="shared" ca="1" si="2"/>
        <v>12</v>
      </c>
      <c r="G173" s="28" t="s">
        <v>51</v>
      </c>
      <c r="H173" s="28" t="s">
        <v>431</v>
      </c>
      <c r="I173" t="s">
        <v>193</v>
      </c>
      <c r="J173" s="14" t="s">
        <v>40</v>
      </c>
      <c r="K173" s="28" t="s">
        <v>432</v>
      </c>
      <c r="L173" t="s">
        <v>120</v>
      </c>
      <c r="M173" t="str">
        <f>VLOOKUP(Incidents[[#This Row],[Ticket ID]],[1]Incidents!$A$2:$D$792,4,FALSE)</f>
        <v>4 - Low</v>
      </c>
      <c r="N173">
        <f>VLOOKUP(Incidents[[#This Row],[Priority]],'SLA Config'!$B$3:$C$6,2,FALSE)</f>
        <v>25</v>
      </c>
      <c r="O173" t="str">
        <f ca="1">IF(Incidents[[#This Row],[Age (days)]]&gt;Incidents[[#This Row],[SLA Threshold]],"NO","Yes")</f>
        <v>Yes</v>
      </c>
    </row>
    <row r="174" spans="1:15" x14ac:dyDescent="0.25">
      <c r="A174" s="28" t="s">
        <v>433</v>
      </c>
      <c r="B174" s="29">
        <v>45691</v>
      </c>
      <c r="C174" s="29">
        <v>45703</v>
      </c>
      <c r="D174" s="28" t="s">
        <v>29</v>
      </c>
      <c r="E174" s="28" t="s">
        <v>38</v>
      </c>
      <c r="F174" s="49">
        <f t="shared" ca="1" si="2"/>
        <v>10</v>
      </c>
      <c r="G174" s="28" t="s">
        <v>51</v>
      </c>
      <c r="H174" s="28" t="s">
        <v>434</v>
      </c>
      <c r="I174" t="s">
        <v>193</v>
      </c>
      <c r="J174" s="14" t="s">
        <v>348</v>
      </c>
      <c r="K174" s="28" t="s">
        <v>119</v>
      </c>
      <c r="L174" t="s">
        <v>120</v>
      </c>
      <c r="M174" t="str">
        <f>VLOOKUP(Incidents[[#This Row],[Ticket ID]],[1]Incidents!$A$2:$D$792,4,FALSE)</f>
        <v>2 - High</v>
      </c>
      <c r="N174">
        <f>VLOOKUP(Incidents[[#This Row],[Priority]],'SLA Config'!$B$3:$C$6,2,FALSE)</f>
        <v>5</v>
      </c>
      <c r="O174" t="str">
        <f ca="1">IF(Incidents[[#This Row],[Age (days)]]&gt;Incidents[[#This Row],[SLA Threshold]],"NO","Yes")</f>
        <v>NO</v>
      </c>
    </row>
    <row r="175" spans="1:15" x14ac:dyDescent="0.25">
      <c r="A175" s="19" t="s">
        <v>435</v>
      </c>
      <c r="B175" s="1">
        <v>44939</v>
      </c>
      <c r="C175" s="1">
        <v>44955</v>
      </c>
      <c r="D175" t="s">
        <v>29</v>
      </c>
      <c r="E175" t="s">
        <v>324</v>
      </c>
      <c r="F175" s="49">
        <f t="shared" ca="1" si="2"/>
        <v>11</v>
      </c>
      <c r="G175" s="16" t="s">
        <v>51</v>
      </c>
      <c r="H175" s="11" t="s">
        <v>436</v>
      </c>
      <c r="I175" t="s">
        <v>193</v>
      </c>
      <c r="J175" s="14" t="s">
        <v>304</v>
      </c>
      <c r="K175" t="s">
        <v>119</v>
      </c>
      <c r="L175" t="s">
        <v>120</v>
      </c>
      <c r="M175" t="str">
        <f>VLOOKUP(Incidents[[#This Row],[Ticket ID]],[1]Incidents!$A$2:$D$792,4,FALSE)</f>
        <v>4 - Low</v>
      </c>
      <c r="N175">
        <f>VLOOKUP(Incidents[[#This Row],[Priority]],'SLA Config'!$B$3:$C$6,2,FALSE)</f>
        <v>25</v>
      </c>
      <c r="O175" t="str">
        <f ca="1">IF(Incidents[[#This Row],[Age (days)]]&gt;Incidents[[#This Row],[SLA Threshold]],"NO","Yes")</f>
        <v>Yes</v>
      </c>
    </row>
    <row r="176" spans="1:15" x14ac:dyDescent="0.25">
      <c r="A176" s="19" t="s">
        <v>437</v>
      </c>
      <c r="B176" s="1">
        <v>44939</v>
      </c>
      <c r="C176" s="1">
        <v>44955</v>
      </c>
      <c r="D176" t="s">
        <v>29</v>
      </c>
      <c r="E176" t="s">
        <v>324</v>
      </c>
      <c r="F176" s="49">
        <f t="shared" ca="1" si="2"/>
        <v>11</v>
      </c>
      <c r="G176" s="16" t="s">
        <v>51</v>
      </c>
      <c r="H176" s="11" t="s">
        <v>438</v>
      </c>
      <c r="I176" t="s">
        <v>193</v>
      </c>
      <c r="J176" s="14" t="s">
        <v>304</v>
      </c>
      <c r="K176" t="s">
        <v>119</v>
      </c>
      <c r="L176" t="s">
        <v>120</v>
      </c>
      <c r="M176" t="str">
        <f>VLOOKUP(Incidents[[#This Row],[Ticket ID]],[1]Incidents!$A$2:$D$792,4,FALSE)</f>
        <v>4 - Low</v>
      </c>
      <c r="N176">
        <f>VLOOKUP(Incidents[[#This Row],[Priority]],'SLA Config'!$B$3:$C$6,2,FALSE)</f>
        <v>25</v>
      </c>
      <c r="O176" t="str">
        <f ca="1">IF(Incidents[[#This Row],[Age (days)]]&gt;Incidents[[#This Row],[SLA Threshold]],"NO","Yes")</f>
        <v>Yes</v>
      </c>
    </row>
    <row r="177" spans="1:15" x14ac:dyDescent="0.25">
      <c r="A177" s="2" t="s">
        <v>439</v>
      </c>
      <c r="B177" s="1">
        <v>45177</v>
      </c>
      <c r="C177" s="8">
        <v>45193</v>
      </c>
      <c r="D177" t="s">
        <v>29</v>
      </c>
      <c r="E177" t="s">
        <v>273</v>
      </c>
      <c r="F177" s="49">
        <f t="shared" ca="1" si="2"/>
        <v>11</v>
      </c>
      <c r="G177" s="16" t="s">
        <v>31</v>
      </c>
      <c r="H177" s="11" t="s">
        <v>440</v>
      </c>
      <c r="I177" t="s">
        <v>193</v>
      </c>
      <c r="J177" s="14" t="s">
        <v>40</v>
      </c>
      <c r="K177" t="s">
        <v>255</v>
      </c>
      <c r="L177" t="s">
        <v>120</v>
      </c>
      <c r="M177" t="str">
        <f>VLOOKUP(Incidents[[#This Row],[Ticket ID]],[1]Incidents!$A$2:$D$792,4,FALSE)</f>
        <v>3 - Medium</v>
      </c>
      <c r="N177">
        <f>VLOOKUP(Incidents[[#This Row],[Priority]],'SLA Config'!$B$3:$C$6,2,FALSE)</f>
        <v>15</v>
      </c>
      <c r="O177" t="str">
        <f ca="1">IF(Incidents[[#This Row],[Age (days)]]&gt;Incidents[[#This Row],[SLA Threshold]],"NO","Yes")</f>
        <v>Yes</v>
      </c>
    </row>
    <row r="178" spans="1:15" x14ac:dyDescent="0.25">
      <c r="A178" s="19" t="s">
        <v>441</v>
      </c>
      <c r="B178" s="1">
        <v>45310</v>
      </c>
      <c r="C178" s="8">
        <v>45326</v>
      </c>
      <c r="D178" t="s">
        <v>29</v>
      </c>
      <c r="E178" t="s">
        <v>38</v>
      </c>
      <c r="F178" s="49">
        <f t="shared" ca="1" si="2"/>
        <v>11</v>
      </c>
      <c r="G178" s="16" t="s">
        <v>51</v>
      </c>
      <c r="H178" s="11" t="s">
        <v>442</v>
      </c>
      <c r="I178" t="s">
        <v>193</v>
      </c>
      <c r="J178" s="14" t="s">
        <v>40</v>
      </c>
      <c r="K178" t="s">
        <v>119</v>
      </c>
      <c r="L178" t="s">
        <v>120</v>
      </c>
      <c r="M178" t="str">
        <f>VLOOKUP(Incidents[[#This Row],[Ticket ID]],[1]Incidents!$A$2:$D$792,4,FALSE)</f>
        <v>4 - Low</v>
      </c>
      <c r="N178">
        <f>VLOOKUP(Incidents[[#This Row],[Priority]],'SLA Config'!$B$3:$C$6,2,FALSE)</f>
        <v>25</v>
      </c>
      <c r="O178" t="str">
        <f ca="1">IF(Incidents[[#This Row],[Age (days)]]&gt;Incidents[[#This Row],[SLA Threshold]],"NO","Yes")</f>
        <v>Yes</v>
      </c>
    </row>
    <row r="179" spans="1:15" x14ac:dyDescent="0.25">
      <c r="A179" s="2" t="s">
        <v>443</v>
      </c>
      <c r="B179" s="1">
        <v>45352</v>
      </c>
      <c r="C179" s="8">
        <v>45367</v>
      </c>
      <c r="D179" t="s">
        <v>29</v>
      </c>
      <c r="E179" s="17" t="s">
        <v>104</v>
      </c>
      <c r="F179" s="49">
        <f t="shared" ca="1" si="2"/>
        <v>11</v>
      </c>
      <c r="G179" s="16" t="s">
        <v>51</v>
      </c>
      <c r="H179" s="11" t="s">
        <v>444</v>
      </c>
      <c r="I179" t="s">
        <v>193</v>
      </c>
      <c r="J179" s="14" t="s">
        <v>40</v>
      </c>
      <c r="K179" t="s">
        <v>119</v>
      </c>
      <c r="L179" t="s">
        <v>120</v>
      </c>
      <c r="M179" t="str">
        <f>VLOOKUP(Incidents[[#This Row],[Ticket ID]],[1]Incidents!$A$2:$D$792,4,FALSE)</f>
        <v>4 - Low</v>
      </c>
      <c r="N179">
        <f>VLOOKUP(Incidents[[#This Row],[Priority]],'SLA Config'!$B$3:$C$6,2,FALSE)</f>
        <v>25</v>
      </c>
      <c r="O179" t="str">
        <f ca="1">IF(Incidents[[#This Row],[Age (days)]]&gt;Incidents[[#This Row],[SLA Threshold]],"NO","Yes")</f>
        <v>Yes</v>
      </c>
    </row>
    <row r="180" spans="1:15" x14ac:dyDescent="0.25">
      <c r="A180" s="28" t="s">
        <v>445</v>
      </c>
      <c r="B180" s="29">
        <v>45679</v>
      </c>
      <c r="C180" s="29">
        <v>45693</v>
      </c>
      <c r="D180" s="28" t="s">
        <v>29</v>
      </c>
      <c r="E180" s="28" t="s">
        <v>324</v>
      </c>
      <c r="F180" s="49">
        <f t="shared" ca="1" si="2"/>
        <v>11</v>
      </c>
      <c r="G180" s="28" t="s">
        <v>51</v>
      </c>
      <c r="H180" s="28" t="s">
        <v>299</v>
      </c>
      <c r="I180" t="s">
        <v>193</v>
      </c>
      <c r="J180" s="14"/>
      <c r="K180" s="28" t="s">
        <v>119</v>
      </c>
      <c r="L180" t="s">
        <v>120</v>
      </c>
      <c r="M180" t="str">
        <f>VLOOKUP(Incidents[[#This Row],[Ticket ID]],[1]Incidents!$A$2:$D$792,4,FALSE)</f>
        <v>2 - High</v>
      </c>
      <c r="N180">
        <f>VLOOKUP(Incidents[[#This Row],[Priority]],'SLA Config'!$B$3:$C$6,2,FALSE)</f>
        <v>5</v>
      </c>
      <c r="O180" t="str">
        <f ca="1">IF(Incidents[[#This Row],[Age (days)]]&gt;Incidents[[#This Row],[SLA Threshold]],"NO","Yes")</f>
        <v>NO</v>
      </c>
    </row>
    <row r="181" spans="1:15" x14ac:dyDescent="0.25">
      <c r="A181" s="28" t="s">
        <v>446</v>
      </c>
      <c r="B181" s="29">
        <v>45694</v>
      </c>
      <c r="C181" s="29">
        <v>45703</v>
      </c>
      <c r="D181" s="28" t="s">
        <v>29</v>
      </c>
      <c r="E181" s="28" t="s">
        <v>38</v>
      </c>
      <c r="F181" s="49">
        <f t="shared" ca="1" si="2"/>
        <v>7</v>
      </c>
      <c r="G181" s="28" t="s">
        <v>51</v>
      </c>
      <c r="H181" s="28" t="s">
        <v>299</v>
      </c>
      <c r="I181" t="s">
        <v>193</v>
      </c>
      <c r="J181" s="14"/>
      <c r="K181" s="28" t="s">
        <v>119</v>
      </c>
      <c r="L181" t="s">
        <v>120</v>
      </c>
      <c r="M181" t="str">
        <f>VLOOKUP(Incidents[[#This Row],[Ticket ID]],[1]Incidents!$A$2:$D$792,4,FALSE)</f>
        <v>3 - Medium</v>
      </c>
      <c r="N181">
        <f>VLOOKUP(Incidents[[#This Row],[Priority]],'SLA Config'!$B$3:$C$6,2,FALSE)</f>
        <v>15</v>
      </c>
      <c r="O181" t="str">
        <f ca="1">IF(Incidents[[#This Row],[Age (days)]]&gt;Incidents[[#This Row],[SLA Threshold]],"NO","Yes")</f>
        <v>Yes</v>
      </c>
    </row>
    <row r="182" spans="1:15" x14ac:dyDescent="0.25">
      <c r="A182" s="28" t="s">
        <v>447</v>
      </c>
      <c r="B182" s="29">
        <v>45692</v>
      </c>
      <c r="C182" s="29">
        <v>45699</v>
      </c>
      <c r="D182" s="28" t="s">
        <v>29</v>
      </c>
      <c r="E182" s="28" t="s">
        <v>38</v>
      </c>
      <c r="F182" s="49">
        <f t="shared" ca="1" si="2"/>
        <v>6</v>
      </c>
      <c r="G182" s="28" t="s">
        <v>51</v>
      </c>
      <c r="H182" s="28" t="s">
        <v>448</v>
      </c>
      <c r="I182" t="s">
        <v>193</v>
      </c>
      <c r="J182" s="14"/>
      <c r="K182" s="28" t="s">
        <v>449</v>
      </c>
      <c r="M182" t="str">
        <f>VLOOKUP(Incidents[[#This Row],[Ticket ID]],[1]Incidents!$A$2:$D$792,4,FALSE)</f>
        <v>4 - Low</v>
      </c>
      <c r="N182">
        <f>VLOOKUP(Incidents[[#This Row],[Priority]],'SLA Config'!$B$3:$C$6,2,FALSE)</f>
        <v>25</v>
      </c>
      <c r="O182" t="str">
        <f ca="1">IF(Incidents[[#This Row],[Age (days)]]&gt;Incidents[[#This Row],[SLA Threshold]],"NO","Yes")</f>
        <v>Yes</v>
      </c>
    </row>
    <row r="183" spans="1:15" x14ac:dyDescent="0.25">
      <c r="A183" t="s">
        <v>450</v>
      </c>
      <c r="B183" s="1">
        <v>44817</v>
      </c>
      <c r="C183" s="1">
        <v>44830</v>
      </c>
      <c r="D183" t="s">
        <v>29</v>
      </c>
      <c r="E183" t="s">
        <v>54</v>
      </c>
      <c r="F183" s="49">
        <f t="shared" ca="1" si="2"/>
        <v>10</v>
      </c>
      <c r="G183" s="16" t="s">
        <v>31</v>
      </c>
      <c r="H183" s="11" t="s">
        <v>451</v>
      </c>
      <c r="I183" t="s">
        <v>193</v>
      </c>
      <c r="J183" s="14" t="s">
        <v>40</v>
      </c>
      <c r="K183" t="s">
        <v>218</v>
      </c>
      <c r="L183" t="s">
        <v>120</v>
      </c>
      <c r="M183" t="str">
        <f>VLOOKUP(Incidents[[#This Row],[Ticket ID]],[1]Incidents!$A$2:$D$792,4,FALSE)</f>
        <v>3 - Medium</v>
      </c>
      <c r="N183">
        <f>VLOOKUP(Incidents[[#This Row],[Priority]],'SLA Config'!$B$3:$C$6,2,FALSE)</f>
        <v>15</v>
      </c>
      <c r="O183" t="str">
        <f ca="1">IF(Incidents[[#This Row],[Age (days)]]&gt;Incidents[[#This Row],[SLA Threshold]],"NO","Yes")</f>
        <v>Yes</v>
      </c>
    </row>
    <row r="184" spans="1:15" x14ac:dyDescent="0.25">
      <c r="A184" t="s">
        <v>452</v>
      </c>
      <c r="B184" s="1">
        <v>44817</v>
      </c>
      <c r="C184" s="1">
        <v>44830</v>
      </c>
      <c r="D184" t="s">
        <v>29</v>
      </c>
      <c r="E184" t="s">
        <v>54</v>
      </c>
      <c r="F184" s="49">
        <f t="shared" ca="1" si="2"/>
        <v>10</v>
      </c>
      <c r="G184" s="16" t="s">
        <v>31</v>
      </c>
      <c r="H184" s="11" t="s">
        <v>453</v>
      </c>
      <c r="I184" t="s">
        <v>193</v>
      </c>
      <c r="J184" s="14" t="s">
        <v>40</v>
      </c>
      <c r="K184" t="s">
        <v>218</v>
      </c>
      <c r="L184" t="s">
        <v>120</v>
      </c>
      <c r="M184" t="str">
        <f>VLOOKUP(Incidents[[#This Row],[Ticket ID]],[1]Incidents!$A$2:$D$792,4,FALSE)</f>
        <v>4 - Low</v>
      </c>
      <c r="N184">
        <f>VLOOKUP(Incidents[[#This Row],[Priority]],'SLA Config'!$B$3:$C$6,2,FALSE)</f>
        <v>25</v>
      </c>
      <c r="O184" t="str">
        <f ca="1">IF(Incidents[[#This Row],[Age (days)]]&gt;Incidents[[#This Row],[SLA Threshold]],"NO","Yes")</f>
        <v>Yes</v>
      </c>
    </row>
    <row r="185" spans="1:15" x14ac:dyDescent="0.25">
      <c r="A185" s="2" t="s">
        <v>454</v>
      </c>
      <c r="B185" s="1">
        <v>44991</v>
      </c>
      <c r="C185" s="8">
        <v>45003</v>
      </c>
      <c r="D185" t="s">
        <v>29</v>
      </c>
      <c r="E185" s="17" t="s">
        <v>54</v>
      </c>
      <c r="F185" s="49">
        <f t="shared" ca="1" si="2"/>
        <v>10</v>
      </c>
      <c r="G185" s="16" t="s">
        <v>51</v>
      </c>
      <c r="H185" s="11" t="s">
        <v>455</v>
      </c>
      <c r="I185" t="s">
        <v>193</v>
      </c>
      <c r="J185" s="14" t="s">
        <v>304</v>
      </c>
      <c r="K185" t="s">
        <v>119</v>
      </c>
      <c r="L185" t="s">
        <v>120</v>
      </c>
      <c r="M185" t="str">
        <f>VLOOKUP(Incidents[[#This Row],[Ticket ID]],[1]Incidents!$A$2:$D$792,4,FALSE)</f>
        <v>4 - Low</v>
      </c>
      <c r="N185">
        <f>VLOOKUP(Incidents[[#This Row],[Priority]],'SLA Config'!$B$3:$C$6,2,FALSE)</f>
        <v>25</v>
      </c>
      <c r="O185" t="str">
        <f ca="1">IF(Incidents[[#This Row],[Age (days)]]&gt;Incidents[[#This Row],[SLA Threshold]],"NO","Yes")</f>
        <v>Yes</v>
      </c>
    </row>
    <row r="186" spans="1:15" x14ac:dyDescent="0.25">
      <c r="A186" s="2" t="s">
        <v>456</v>
      </c>
      <c r="B186" s="1">
        <v>45364</v>
      </c>
      <c r="C186" s="8">
        <v>45377</v>
      </c>
      <c r="D186" t="s">
        <v>29</v>
      </c>
      <c r="E186" s="17" t="s">
        <v>38</v>
      </c>
      <c r="F186" s="49">
        <f t="shared" ca="1" si="2"/>
        <v>10</v>
      </c>
      <c r="G186" s="16" t="s">
        <v>51</v>
      </c>
      <c r="H186" t="s">
        <v>457</v>
      </c>
      <c r="I186" t="s">
        <v>193</v>
      </c>
      <c r="J186" s="20" t="s">
        <v>40</v>
      </c>
      <c r="K186" t="s">
        <v>119</v>
      </c>
      <c r="L186" t="s">
        <v>120</v>
      </c>
      <c r="M186" t="str">
        <f>VLOOKUP(Incidents[[#This Row],[Ticket ID]],[1]Incidents!$A$2:$D$792,4,FALSE)</f>
        <v>3 - Medium</v>
      </c>
      <c r="N186">
        <f>VLOOKUP(Incidents[[#This Row],[Priority]],'SLA Config'!$B$3:$C$6,2,FALSE)</f>
        <v>15</v>
      </c>
      <c r="O186" t="str">
        <f ca="1">IF(Incidents[[#This Row],[Age (days)]]&gt;Incidents[[#This Row],[SLA Threshold]],"NO","Yes")</f>
        <v>Yes</v>
      </c>
    </row>
    <row r="187" spans="1:15" x14ac:dyDescent="0.25">
      <c r="A187" s="19" t="s">
        <v>458</v>
      </c>
      <c r="B187" s="8">
        <v>45461</v>
      </c>
      <c r="C187" s="8">
        <v>45474</v>
      </c>
      <c r="D187" t="s">
        <v>29</v>
      </c>
      <c r="E187" t="s">
        <v>38</v>
      </c>
      <c r="F187" s="49">
        <f t="shared" ca="1" si="2"/>
        <v>10</v>
      </c>
      <c r="G187" s="16" t="s">
        <v>51</v>
      </c>
      <c r="H187" t="s">
        <v>459</v>
      </c>
      <c r="I187" t="s">
        <v>193</v>
      </c>
      <c r="J187" s="20" t="s">
        <v>40</v>
      </c>
      <c r="K187" t="s">
        <v>119</v>
      </c>
      <c r="L187" s="27" t="s">
        <v>120</v>
      </c>
      <c r="M187" t="str">
        <f>VLOOKUP(Incidents[[#This Row],[Ticket ID]],[1]Incidents!$A$2:$D$792,4,FALSE)</f>
        <v>4 - Low</v>
      </c>
      <c r="N187">
        <f>VLOOKUP(Incidents[[#This Row],[Priority]],'SLA Config'!$B$3:$C$6,2,FALSE)</f>
        <v>25</v>
      </c>
      <c r="O187" t="str">
        <f ca="1">IF(Incidents[[#This Row],[Age (days)]]&gt;Incidents[[#This Row],[SLA Threshold]],"NO","Yes")</f>
        <v>Yes</v>
      </c>
    </row>
    <row r="188" spans="1:15" x14ac:dyDescent="0.25">
      <c r="A188" s="19" t="s">
        <v>460</v>
      </c>
      <c r="B188" s="8">
        <v>45488</v>
      </c>
      <c r="C188" s="8">
        <v>45500</v>
      </c>
      <c r="D188" t="s">
        <v>29</v>
      </c>
      <c r="E188" s="17" t="s">
        <v>104</v>
      </c>
      <c r="F188" s="49">
        <f t="shared" ca="1" si="2"/>
        <v>10</v>
      </c>
      <c r="G188" s="16" t="s">
        <v>31</v>
      </c>
      <c r="H188" s="11" t="s">
        <v>461</v>
      </c>
      <c r="I188" t="s">
        <v>193</v>
      </c>
      <c r="J188" s="20" t="s">
        <v>40</v>
      </c>
      <c r="K188" s="27" t="s">
        <v>462</v>
      </c>
      <c r="L188" t="s">
        <v>71</v>
      </c>
      <c r="M188" t="str">
        <f>VLOOKUP(Incidents[[#This Row],[Ticket ID]],[1]Incidents!$A$2:$D$792,4,FALSE)</f>
        <v>2 - High</v>
      </c>
      <c r="N188">
        <f>VLOOKUP(Incidents[[#This Row],[Priority]],'SLA Config'!$B$3:$C$6,2,FALSE)</f>
        <v>5</v>
      </c>
      <c r="O188" t="str">
        <f ca="1">IF(Incidents[[#This Row],[Age (days)]]&gt;Incidents[[#This Row],[SLA Threshold]],"NO","Yes")</f>
        <v>NO</v>
      </c>
    </row>
    <row r="189" spans="1:15" x14ac:dyDescent="0.25">
      <c r="A189" s="19" t="s">
        <v>463</v>
      </c>
      <c r="B189" s="8">
        <v>45530</v>
      </c>
      <c r="C189" s="8">
        <v>45542</v>
      </c>
      <c r="D189" t="s">
        <v>29</v>
      </c>
      <c r="E189" s="17" t="s">
        <v>38</v>
      </c>
      <c r="F189" s="49">
        <f t="shared" ca="1" si="2"/>
        <v>10</v>
      </c>
      <c r="G189" s="16" t="s">
        <v>51</v>
      </c>
      <c r="H189" t="s">
        <v>464</v>
      </c>
      <c r="I189" t="s">
        <v>193</v>
      </c>
      <c r="J189" s="20" t="s">
        <v>40</v>
      </c>
      <c r="K189" t="s">
        <v>119</v>
      </c>
      <c r="L189" s="27" t="s">
        <v>120</v>
      </c>
      <c r="M189" t="str">
        <f>VLOOKUP(Incidents[[#This Row],[Ticket ID]],[1]Incidents!$A$2:$D$792,4,FALSE)</f>
        <v>3 - Medium</v>
      </c>
      <c r="N189">
        <f>VLOOKUP(Incidents[[#This Row],[Priority]],'SLA Config'!$B$3:$C$6,2,FALSE)</f>
        <v>15</v>
      </c>
      <c r="O189" t="str">
        <f ca="1">IF(Incidents[[#This Row],[Age (days)]]&gt;Incidents[[#This Row],[SLA Threshold]],"NO","Yes")</f>
        <v>Yes</v>
      </c>
    </row>
    <row r="190" spans="1:15" x14ac:dyDescent="0.25">
      <c r="A190" s="28" t="s">
        <v>465</v>
      </c>
      <c r="B190" s="29">
        <v>45635</v>
      </c>
      <c r="C190" s="29">
        <v>45648</v>
      </c>
      <c r="D190" s="28" t="s">
        <v>29</v>
      </c>
      <c r="E190" s="28" t="s">
        <v>46</v>
      </c>
      <c r="F190" s="49">
        <f t="shared" ca="1" si="2"/>
        <v>10</v>
      </c>
      <c r="G190" s="28" t="s">
        <v>31</v>
      </c>
      <c r="H190" s="28" t="s">
        <v>466</v>
      </c>
      <c r="I190" t="s">
        <v>193</v>
      </c>
      <c r="J190" s="20"/>
      <c r="K190" s="28" t="s">
        <v>201</v>
      </c>
      <c r="L190" t="s">
        <v>120</v>
      </c>
      <c r="M190" t="str">
        <f>VLOOKUP(Incidents[[#This Row],[Ticket ID]],[1]Incidents!$A$2:$D$792,4,FALSE)</f>
        <v>3 - Medium</v>
      </c>
      <c r="N190">
        <f>VLOOKUP(Incidents[[#This Row],[Priority]],'SLA Config'!$B$3:$C$6,2,FALSE)</f>
        <v>15</v>
      </c>
      <c r="O190" t="str">
        <f ca="1">IF(Incidents[[#This Row],[Age (days)]]&gt;Incidents[[#This Row],[SLA Threshold]],"NO","Yes")</f>
        <v>Yes</v>
      </c>
    </row>
    <row r="191" spans="1:15" x14ac:dyDescent="0.25">
      <c r="A191" s="28" t="s">
        <v>467</v>
      </c>
      <c r="B191" s="29">
        <v>45699</v>
      </c>
      <c r="C191" s="29">
        <v>45706</v>
      </c>
      <c r="D191" s="28" t="s">
        <v>29</v>
      </c>
      <c r="E191" s="28" t="s">
        <v>38</v>
      </c>
      <c r="F191" s="49">
        <f t="shared" ca="1" si="2"/>
        <v>6</v>
      </c>
      <c r="G191" s="28" t="s">
        <v>51</v>
      </c>
      <c r="H191" s="28" t="s">
        <v>299</v>
      </c>
      <c r="I191" t="s">
        <v>193</v>
      </c>
      <c r="J191" s="20"/>
      <c r="K191" s="28" t="s">
        <v>119</v>
      </c>
      <c r="L191" t="s">
        <v>120</v>
      </c>
      <c r="M191" t="str">
        <f>VLOOKUP(Incidents[[#This Row],[Ticket ID]],[1]Incidents!$A$2:$D$792,4,FALSE)</f>
        <v>3 - Medium</v>
      </c>
      <c r="N191">
        <f>VLOOKUP(Incidents[[#This Row],[Priority]],'SLA Config'!$B$3:$C$6,2,FALSE)</f>
        <v>15</v>
      </c>
      <c r="O191" t="str">
        <f ca="1">IF(Incidents[[#This Row],[Age (days)]]&gt;Incidents[[#This Row],[SLA Threshold]],"NO","Yes")</f>
        <v>Yes</v>
      </c>
    </row>
    <row r="192" spans="1:15" ht="15.75" x14ac:dyDescent="0.25">
      <c r="A192" s="2" t="s">
        <v>468</v>
      </c>
      <c r="B192" s="31">
        <v>45709</v>
      </c>
      <c r="C192" s="8">
        <v>45733</v>
      </c>
      <c r="D192" s="28" t="s">
        <v>29</v>
      </c>
      <c r="E192" t="s">
        <v>324</v>
      </c>
      <c r="F192" s="49">
        <f t="shared" ca="1" si="2"/>
        <v>17</v>
      </c>
      <c r="G192" s="16" t="s">
        <v>51</v>
      </c>
      <c r="H192" s="11" t="s">
        <v>434</v>
      </c>
      <c r="I192" t="s">
        <v>193</v>
      </c>
      <c r="J192" s="20"/>
      <c r="K192" t="s">
        <v>119</v>
      </c>
      <c r="L192" t="s">
        <v>120</v>
      </c>
      <c r="M192" t="str">
        <f>VLOOKUP(Incidents[[#This Row],[Ticket ID]],[1]Incidents!$A$2:$D$792,4,FALSE)</f>
        <v>4 - Low</v>
      </c>
      <c r="N192">
        <f>VLOOKUP(Incidents[[#This Row],[Priority]],'SLA Config'!$B$3:$C$6,2,FALSE)</f>
        <v>25</v>
      </c>
      <c r="O192" t="str">
        <f ca="1">IF(Incidents[[#This Row],[Age (days)]]&gt;Incidents[[#This Row],[SLA Threshold]],"NO","Yes")</f>
        <v>Yes</v>
      </c>
    </row>
    <row r="193" spans="1:15" x14ac:dyDescent="0.25">
      <c r="A193" s="28" t="s">
        <v>469</v>
      </c>
      <c r="B193" s="29">
        <v>45623</v>
      </c>
      <c r="C193" s="29">
        <v>45635</v>
      </c>
      <c r="D193" s="28" t="s">
        <v>29</v>
      </c>
      <c r="E193" s="28" t="s">
        <v>38</v>
      </c>
      <c r="F193" s="49">
        <f t="shared" ca="1" si="2"/>
        <v>9</v>
      </c>
      <c r="G193" s="28" t="s">
        <v>51</v>
      </c>
      <c r="H193" s="28" t="s">
        <v>470</v>
      </c>
      <c r="I193" t="s">
        <v>193</v>
      </c>
      <c r="J193" s="20" t="s">
        <v>348</v>
      </c>
      <c r="K193" s="28" t="s">
        <v>119</v>
      </c>
      <c r="L193" t="s">
        <v>120</v>
      </c>
      <c r="M193" t="str">
        <f>VLOOKUP(Incidents[[#This Row],[Ticket ID]],[1]Incidents!$A$2:$D$792,4,FALSE)</f>
        <v>4 - Low</v>
      </c>
      <c r="N193">
        <f>VLOOKUP(Incidents[[#This Row],[Priority]],'SLA Config'!$B$3:$C$6,2,FALSE)</f>
        <v>25</v>
      </c>
      <c r="O193" t="str">
        <f ca="1">IF(Incidents[[#This Row],[Age (days)]]&gt;Incidents[[#This Row],[SLA Threshold]],"NO","Yes")</f>
        <v>Yes</v>
      </c>
    </row>
    <row r="194" spans="1:15" x14ac:dyDescent="0.25">
      <c r="A194" s="28" t="s">
        <v>471</v>
      </c>
      <c r="B194" s="29">
        <v>45678</v>
      </c>
      <c r="C194" s="29">
        <v>45689</v>
      </c>
      <c r="D194" s="28" t="s">
        <v>29</v>
      </c>
      <c r="E194" s="28" t="s">
        <v>30</v>
      </c>
      <c r="F194" s="49">
        <f t="shared" ref="F194:F257" ca="1" si="3">IF(ISBLANK(C194), NETWORKDAYS(B194,TODAY()), NETWORKDAYS(B194,C194))</f>
        <v>9</v>
      </c>
      <c r="G194" s="28" t="s">
        <v>51</v>
      </c>
      <c r="H194" s="28" t="s">
        <v>472</v>
      </c>
      <c r="I194" t="s">
        <v>193</v>
      </c>
      <c r="J194" s="20"/>
      <c r="K194" s="28" t="s">
        <v>207</v>
      </c>
      <c r="L194" t="s">
        <v>71</v>
      </c>
      <c r="M194" t="str">
        <f>VLOOKUP(Incidents[[#This Row],[Ticket ID]],[1]Incidents!$A$2:$D$792,4,FALSE)</f>
        <v>2 - High</v>
      </c>
      <c r="N194">
        <f>VLOOKUP(Incidents[[#This Row],[Priority]],'SLA Config'!$B$3:$C$6,2,FALSE)</f>
        <v>5</v>
      </c>
      <c r="O194" t="str">
        <f ca="1">IF(Incidents[[#This Row],[Age (days)]]&gt;Incidents[[#This Row],[SLA Threshold]],"NO","Yes")</f>
        <v>NO</v>
      </c>
    </row>
    <row r="195" spans="1:15" ht="15.75" x14ac:dyDescent="0.25">
      <c r="A195" s="2" t="s">
        <v>473</v>
      </c>
      <c r="B195" s="31">
        <v>45712</v>
      </c>
      <c r="C195" s="8">
        <v>45733</v>
      </c>
      <c r="D195" s="28" t="s">
        <v>29</v>
      </c>
      <c r="E195" t="s">
        <v>30</v>
      </c>
      <c r="F195" s="49">
        <f t="shared" ca="1" si="3"/>
        <v>16</v>
      </c>
      <c r="G195" s="16" t="s">
        <v>51</v>
      </c>
      <c r="H195" s="11" t="s">
        <v>299</v>
      </c>
      <c r="I195" t="s">
        <v>193</v>
      </c>
      <c r="J195" s="21"/>
      <c r="K195" t="s">
        <v>119</v>
      </c>
      <c r="L195" t="s">
        <v>120</v>
      </c>
      <c r="M195" t="str">
        <f>VLOOKUP(Incidents[[#This Row],[Ticket ID]],[1]Incidents!$A$2:$D$792,4,FALSE)</f>
        <v>3 - Medium</v>
      </c>
      <c r="N195">
        <f>VLOOKUP(Incidents[[#This Row],[Priority]],'SLA Config'!$B$3:$C$6,2,FALSE)</f>
        <v>15</v>
      </c>
      <c r="O195" t="str">
        <f ca="1">IF(Incidents[[#This Row],[Age (days)]]&gt;Incidents[[#This Row],[SLA Threshold]],"NO","Yes")</f>
        <v>NO</v>
      </c>
    </row>
    <row r="196" spans="1:15" x14ac:dyDescent="0.25">
      <c r="A196" s="17" t="s">
        <v>474</v>
      </c>
      <c r="B196" s="1">
        <v>45247</v>
      </c>
      <c r="C196" s="8">
        <v>45258</v>
      </c>
      <c r="D196" t="s">
        <v>29</v>
      </c>
      <c r="E196" t="s">
        <v>104</v>
      </c>
      <c r="F196" s="49">
        <f t="shared" ca="1" si="3"/>
        <v>8</v>
      </c>
      <c r="G196" s="16" t="s">
        <v>51</v>
      </c>
      <c r="H196" s="11" t="s">
        <v>475</v>
      </c>
      <c r="I196" t="s">
        <v>193</v>
      </c>
      <c r="J196" s="14" t="s">
        <v>40</v>
      </c>
      <c r="K196" t="s">
        <v>119</v>
      </c>
      <c r="L196" t="s">
        <v>120</v>
      </c>
      <c r="M196" t="str">
        <f>VLOOKUP(Incidents[[#This Row],[Ticket ID]],[1]Incidents!$A$2:$D$792,4,FALSE)</f>
        <v>4 - Low</v>
      </c>
      <c r="N196">
        <f>VLOOKUP(Incidents[[#This Row],[Priority]],'SLA Config'!$B$3:$C$6,2,FALSE)</f>
        <v>25</v>
      </c>
      <c r="O196" t="str">
        <f ca="1">IF(Incidents[[#This Row],[Age (days)]]&gt;Incidents[[#This Row],[SLA Threshold]],"NO","Yes")</f>
        <v>Yes</v>
      </c>
    </row>
    <row r="197" spans="1:15" x14ac:dyDescent="0.25">
      <c r="A197" s="19" t="s">
        <v>476</v>
      </c>
      <c r="B197" s="8">
        <v>45525</v>
      </c>
      <c r="C197" s="8">
        <v>45535</v>
      </c>
      <c r="D197" t="s">
        <v>29</v>
      </c>
      <c r="E197" s="17" t="s">
        <v>38</v>
      </c>
      <c r="F197" s="49">
        <f t="shared" ca="1" si="3"/>
        <v>8</v>
      </c>
      <c r="G197" s="16" t="s">
        <v>31</v>
      </c>
      <c r="H197" t="s">
        <v>477</v>
      </c>
      <c r="I197" t="s">
        <v>193</v>
      </c>
      <c r="J197" s="14" t="s">
        <v>40</v>
      </c>
      <c r="K197" s="27" t="s">
        <v>255</v>
      </c>
      <c r="L197" s="27" t="s">
        <v>120</v>
      </c>
      <c r="M197" t="str">
        <f>VLOOKUP(Incidents[[#This Row],[Ticket ID]],[1]Incidents!$A$2:$D$792,4,FALSE)</f>
        <v>2 - High</v>
      </c>
      <c r="N197">
        <f>VLOOKUP(Incidents[[#This Row],[Priority]],'SLA Config'!$B$3:$C$6,2,FALSE)</f>
        <v>5</v>
      </c>
      <c r="O197" t="str">
        <f ca="1">IF(Incidents[[#This Row],[Age (days)]]&gt;Incidents[[#This Row],[SLA Threshold]],"NO","Yes")</f>
        <v>NO</v>
      </c>
    </row>
    <row r="198" spans="1:15" x14ac:dyDescent="0.25">
      <c r="A198" s="2" t="s">
        <v>478</v>
      </c>
      <c r="B198" s="8">
        <v>45580</v>
      </c>
      <c r="C198" s="29">
        <v>45623</v>
      </c>
      <c r="D198" t="s">
        <v>29</v>
      </c>
      <c r="E198" t="s">
        <v>30</v>
      </c>
      <c r="F198" s="49">
        <f t="shared" ca="1" si="3"/>
        <v>32</v>
      </c>
      <c r="G198" s="16" t="s">
        <v>31</v>
      </c>
      <c r="H198" t="s">
        <v>479</v>
      </c>
      <c r="I198" t="s">
        <v>193</v>
      </c>
      <c r="J198" s="14" t="s">
        <v>40</v>
      </c>
      <c r="K198" t="s">
        <v>480</v>
      </c>
      <c r="L198" t="s">
        <v>120</v>
      </c>
      <c r="M198" t="str">
        <f>VLOOKUP(Incidents[[#This Row],[Ticket ID]],[1]Incidents!$A$2:$D$792,4,FALSE)</f>
        <v>4 - Low</v>
      </c>
      <c r="N198">
        <f>VLOOKUP(Incidents[[#This Row],[Priority]],'SLA Config'!$B$3:$C$6,2,FALSE)</f>
        <v>25</v>
      </c>
      <c r="O198" t="str">
        <f ca="1">IF(Incidents[[#This Row],[Age (days)]]&gt;Incidents[[#This Row],[SLA Threshold]],"NO","Yes")</f>
        <v>NO</v>
      </c>
    </row>
    <row r="199" spans="1:15" x14ac:dyDescent="0.25">
      <c r="A199" s="2" t="s">
        <v>481</v>
      </c>
      <c r="B199" s="8">
        <v>45583</v>
      </c>
      <c r="C199" s="8">
        <v>45594</v>
      </c>
      <c r="D199" t="s">
        <v>29</v>
      </c>
      <c r="E199" t="s">
        <v>30</v>
      </c>
      <c r="F199" s="49">
        <f t="shared" ca="1" si="3"/>
        <v>8</v>
      </c>
      <c r="G199" s="16" t="s">
        <v>31</v>
      </c>
      <c r="H199" t="s">
        <v>482</v>
      </c>
      <c r="I199" t="s">
        <v>193</v>
      </c>
      <c r="J199" s="14" t="s">
        <v>239</v>
      </c>
      <c r="K199" t="s">
        <v>90</v>
      </c>
      <c r="L199" t="s">
        <v>36</v>
      </c>
      <c r="M199" t="str">
        <f>VLOOKUP(Incidents[[#This Row],[Ticket ID]],[1]Incidents!$A$2:$D$792,4,FALSE)</f>
        <v>4 - Low</v>
      </c>
      <c r="N199">
        <f>VLOOKUP(Incidents[[#This Row],[Priority]],'SLA Config'!$B$3:$C$6,2,FALSE)</f>
        <v>25</v>
      </c>
      <c r="O199" t="str">
        <f ca="1">IF(Incidents[[#This Row],[Age (days)]]&gt;Incidents[[#This Row],[SLA Threshold]],"NO","Yes")</f>
        <v>Yes</v>
      </c>
    </row>
    <row r="200" spans="1:15" x14ac:dyDescent="0.25">
      <c r="A200" s="28" t="s">
        <v>483</v>
      </c>
      <c r="B200" s="29">
        <v>45617</v>
      </c>
      <c r="C200" s="29">
        <v>45628</v>
      </c>
      <c r="D200" s="28" t="s">
        <v>29</v>
      </c>
      <c r="E200" s="28" t="s">
        <v>46</v>
      </c>
      <c r="F200" s="49">
        <f t="shared" ca="1" si="3"/>
        <v>8</v>
      </c>
      <c r="G200" s="28" t="s">
        <v>31</v>
      </c>
      <c r="H200" s="28" t="s">
        <v>484</v>
      </c>
      <c r="I200" t="s">
        <v>193</v>
      </c>
      <c r="J200" s="14" t="s">
        <v>34</v>
      </c>
      <c r="K200" s="28" t="s">
        <v>44</v>
      </c>
      <c r="L200" t="s">
        <v>427</v>
      </c>
      <c r="M200" t="str">
        <f>VLOOKUP(Incidents[[#This Row],[Ticket ID]],[1]Incidents!$A$2:$D$792,4,FALSE)</f>
        <v>2 - High</v>
      </c>
      <c r="N200">
        <f>VLOOKUP(Incidents[[#This Row],[Priority]],'SLA Config'!$B$3:$C$6,2,FALSE)</f>
        <v>5</v>
      </c>
      <c r="O200" t="str">
        <f ca="1">IF(Incidents[[#This Row],[Age (days)]]&gt;Incidents[[#This Row],[SLA Threshold]],"NO","Yes")</f>
        <v>NO</v>
      </c>
    </row>
    <row r="201" spans="1:15" x14ac:dyDescent="0.25">
      <c r="A201" s="28" t="s">
        <v>485</v>
      </c>
      <c r="B201" s="29">
        <v>45679</v>
      </c>
      <c r="C201" s="29">
        <v>45689</v>
      </c>
      <c r="D201" s="28" t="s">
        <v>29</v>
      </c>
      <c r="E201" s="28" t="s">
        <v>30</v>
      </c>
      <c r="F201" s="49">
        <f t="shared" ca="1" si="3"/>
        <v>8</v>
      </c>
      <c r="G201" s="28" t="s">
        <v>486</v>
      </c>
      <c r="H201" s="28" t="s">
        <v>472</v>
      </c>
      <c r="I201" t="s">
        <v>193</v>
      </c>
      <c r="J201" s="14"/>
      <c r="K201" s="28" t="s">
        <v>90</v>
      </c>
      <c r="L201" t="s">
        <v>36</v>
      </c>
      <c r="M201" t="str">
        <f>VLOOKUP(Incidents[[#This Row],[Ticket ID]],[1]Incidents!$A$2:$D$792,4,FALSE)</f>
        <v>2 - High</v>
      </c>
      <c r="N201">
        <f>VLOOKUP(Incidents[[#This Row],[Priority]],'SLA Config'!$B$3:$C$6,2,FALSE)</f>
        <v>5</v>
      </c>
      <c r="O201" t="str">
        <f ca="1">IF(Incidents[[#This Row],[Age (days)]]&gt;Incidents[[#This Row],[SLA Threshold]],"NO","Yes")</f>
        <v>NO</v>
      </c>
    </row>
    <row r="202" spans="1:15" x14ac:dyDescent="0.25">
      <c r="A202" s="2" t="s">
        <v>487</v>
      </c>
      <c r="B202" s="1">
        <v>44900</v>
      </c>
      <c r="C202" s="1">
        <v>44908</v>
      </c>
      <c r="D202" t="s">
        <v>29</v>
      </c>
      <c r="E202" t="s">
        <v>54</v>
      </c>
      <c r="F202" s="49">
        <f t="shared" ca="1" si="3"/>
        <v>7</v>
      </c>
      <c r="G202" s="16" t="s">
        <v>31</v>
      </c>
      <c r="H202" s="11" t="s">
        <v>488</v>
      </c>
      <c r="I202" t="s">
        <v>193</v>
      </c>
      <c r="J202" s="15" t="s">
        <v>40</v>
      </c>
      <c r="K202" t="s">
        <v>489</v>
      </c>
      <c r="L202" t="s">
        <v>120</v>
      </c>
      <c r="M202" t="str">
        <f>VLOOKUP(Incidents[[#This Row],[Ticket ID]],[1]Incidents!$A$2:$D$792,4,FALSE)</f>
        <v>4 - Low</v>
      </c>
      <c r="N202">
        <f>VLOOKUP(Incidents[[#This Row],[Priority]],'SLA Config'!$B$3:$C$6,2,FALSE)</f>
        <v>25</v>
      </c>
      <c r="O202" t="str">
        <f ca="1">IF(Incidents[[#This Row],[Age (days)]]&gt;Incidents[[#This Row],[SLA Threshold]],"NO","Yes")</f>
        <v>Yes</v>
      </c>
    </row>
    <row r="203" spans="1:15" x14ac:dyDescent="0.25">
      <c r="A203" s="2" t="s">
        <v>490</v>
      </c>
      <c r="B203" s="1">
        <v>45001</v>
      </c>
      <c r="C203" s="8">
        <v>45011</v>
      </c>
      <c r="D203" t="s">
        <v>29</v>
      </c>
      <c r="E203" t="s">
        <v>104</v>
      </c>
      <c r="F203" s="49">
        <f t="shared" ca="1" si="3"/>
        <v>7</v>
      </c>
      <c r="G203" s="16" t="s">
        <v>51</v>
      </c>
      <c r="H203" s="11" t="s">
        <v>491</v>
      </c>
      <c r="I203" t="s">
        <v>193</v>
      </c>
      <c r="J203" s="14" t="s">
        <v>40</v>
      </c>
      <c r="K203" t="s">
        <v>201</v>
      </c>
      <c r="L203" t="s">
        <v>120</v>
      </c>
      <c r="M203" t="str">
        <f>VLOOKUP(Incidents[[#This Row],[Ticket ID]],[1]Incidents!$A$2:$D$792,4,FALSE)</f>
        <v>3 - Medium</v>
      </c>
      <c r="N203">
        <f>VLOOKUP(Incidents[[#This Row],[Priority]],'SLA Config'!$B$3:$C$6,2,FALSE)</f>
        <v>15</v>
      </c>
      <c r="O203" t="str">
        <f ca="1">IF(Incidents[[#This Row],[Age (days)]]&gt;Incidents[[#This Row],[SLA Threshold]],"NO","Yes")</f>
        <v>Yes</v>
      </c>
    </row>
    <row r="204" spans="1:15" x14ac:dyDescent="0.25">
      <c r="A204" s="2" t="s">
        <v>492</v>
      </c>
      <c r="B204" s="1">
        <v>45006</v>
      </c>
      <c r="C204" s="8">
        <v>45014</v>
      </c>
      <c r="D204" t="s">
        <v>29</v>
      </c>
      <c r="E204" s="17" t="s">
        <v>104</v>
      </c>
      <c r="F204" s="49">
        <f t="shared" ca="1" si="3"/>
        <v>7</v>
      </c>
      <c r="G204" s="16" t="s">
        <v>51</v>
      </c>
      <c r="H204" s="11" t="s">
        <v>493</v>
      </c>
      <c r="I204" t="s">
        <v>193</v>
      </c>
      <c r="J204" s="14" t="s">
        <v>40</v>
      </c>
      <c r="K204" t="s">
        <v>201</v>
      </c>
      <c r="L204" t="s">
        <v>120</v>
      </c>
      <c r="M204" t="str">
        <f>VLOOKUP(Incidents[[#This Row],[Ticket ID]],[1]Incidents!$A$2:$D$792,4,FALSE)</f>
        <v>4 - Low</v>
      </c>
      <c r="N204">
        <f>VLOOKUP(Incidents[[#This Row],[Priority]],'SLA Config'!$B$3:$C$6,2,FALSE)</f>
        <v>25</v>
      </c>
      <c r="O204" t="str">
        <f ca="1">IF(Incidents[[#This Row],[Age (days)]]&gt;Incidents[[#This Row],[SLA Threshold]],"NO","Yes")</f>
        <v>Yes</v>
      </c>
    </row>
    <row r="205" spans="1:15" x14ac:dyDescent="0.25">
      <c r="A205" s="2" t="s">
        <v>494</v>
      </c>
      <c r="B205" s="1">
        <v>45155</v>
      </c>
      <c r="C205" s="8">
        <v>45164</v>
      </c>
      <c r="D205" t="s">
        <v>29</v>
      </c>
      <c r="E205" s="17" t="s">
        <v>273</v>
      </c>
      <c r="F205" s="49">
        <f t="shared" ca="1" si="3"/>
        <v>7</v>
      </c>
      <c r="G205" s="16" t="s">
        <v>31</v>
      </c>
      <c r="H205" s="11" t="s">
        <v>495</v>
      </c>
      <c r="I205" t="s">
        <v>193</v>
      </c>
      <c r="J205" s="14" t="s">
        <v>40</v>
      </c>
      <c r="K205" t="s">
        <v>44</v>
      </c>
      <c r="L205" t="s">
        <v>36</v>
      </c>
      <c r="M205" t="str">
        <f>VLOOKUP(Incidents[[#This Row],[Ticket ID]],[1]Incidents!$A$2:$D$792,4,FALSE)</f>
        <v>4 - Low</v>
      </c>
      <c r="N205">
        <f>VLOOKUP(Incidents[[#This Row],[Priority]],'SLA Config'!$B$3:$C$6,2,FALSE)</f>
        <v>25</v>
      </c>
      <c r="O205" t="str">
        <f ca="1">IF(Incidents[[#This Row],[Age (days)]]&gt;Incidents[[#This Row],[SLA Threshold]],"NO","Yes")</f>
        <v>Yes</v>
      </c>
    </row>
    <row r="206" spans="1:15" ht="30" x14ac:dyDescent="0.25">
      <c r="A206" s="19" t="s">
        <v>496</v>
      </c>
      <c r="B206" s="1">
        <v>45313</v>
      </c>
      <c r="C206" s="8">
        <v>45321</v>
      </c>
      <c r="D206" t="s">
        <v>29</v>
      </c>
      <c r="E206" t="s">
        <v>30</v>
      </c>
      <c r="F206" s="49">
        <f t="shared" ca="1" si="3"/>
        <v>7</v>
      </c>
      <c r="G206" s="16" t="s">
        <v>31</v>
      </c>
      <c r="H206" s="11" t="s">
        <v>497</v>
      </c>
      <c r="I206" t="s">
        <v>193</v>
      </c>
      <c r="J206" s="14" t="s">
        <v>40</v>
      </c>
      <c r="K206" t="s">
        <v>231</v>
      </c>
      <c r="L206" t="s">
        <v>120</v>
      </c>
      <c r="M206" t="str">
        <f>VLOOKUP(Incidents[[#This Row],[Ticket ID]],[1]Incidents!$A$2:$D$792,4,FALSE)</f>
        <v>3 - Medium</v>
      </c>
      <c r="N206">
        <f>VLOOKUP(Incidents[[#This Row],[Priority]],'SLA Config'!$B$3:$C$6,2,FALSE)</f>
        <v>15</v>
      </c>
      <c r="O206" t="str">
        <f ca="1">IF(Incidents[[#This Row],[Age (days)]]&gt;Incidents[[#This Row],[SLA Threshold]],"NO","Yes")</f>
        <v>Yes</v>
      </c>
    </row>
    <row r="207" spans="1:15" x14ac:dyDescent="0.25">
      <c r="A207" s="19" t="s">
        <v>498</v>
      </c>
      <c r="B207" s="1">
        <v>45316</v>
      </c>
      <c r="C207" s="8">
        <v>45326</v>
      </c>
      <c r="D207" t="s">
        <v>29</v>
      </c>
      <c r="E207" s="17" t="s">
        <v>104</v>
      </c>
      <c r="F207" s="49">
        <f t="shared" ca="1" si="3"/>
        <v>7</v>
      </c>
      <c r="G207" s="16" t="s">
        <v>51</v>
      </c>
      <c r="H207" s="11" t="s">
        <v>499</v>
      </c>
      <c r="I207" t="s">
        <v>193</v>
      </c>
      <c r="J207" s="14" t="s">
        <v>34</v>
      </c>
      <c r="K207" t="s">
        <v>401</v>
      </c>
      <c r="L207" t="s">
        <v>71</v>
      </c>
      <c r="M207" t="str">
        <f>VLOOKUP(Incidents[[#This Row],[Ticket ID]],[1]Incidents!$A$2:$D$792,4,FALSE)</f>
        <v>3 - Medium</v>
      </c>
      <c r="N207">
        <f>VLOOKUP(Incidents[[#This Row],[Priority]],'SLA Config'!$B$3:$C$6,2,FALSE)</f>
        <v>15</v>
      </c>
      <c r="O207" t="str">
        <f ca="1">IF(Incidents[[#This Row],[Age (days)]]&gt;Incidents[[#This Row],[SLA Threshold]],"NO","Yes")</f>
        <v>Yes</v>
      </c>
    </row>
    <row r="208" spans="1:15" x14ac:dyDescent="0.25">
      <c r="A208" s="2" t="s">
        <v>500</v>
      </c>
      <c r="B208" s="1">
        <v>45324</v>
      </c>
      <c r="C208" s="8">
        <v>45334</v>
      </c>
      <c r="D208" t="s">
        <v>29</v>
      </c>
      <c r="E208" t="s">
        <v>30</v>
      </c>
      <c r="F208" s="49">
        <f t="shared" ca="1" si="3"/>
        <v>7</v>
      </c>
      <c r="G208" s="16" t="s">
        <v>31</v>
      </c>
      <c r="H208" s="11" t="s">
        <v>314</v>
      </c>
      <c r="I208" t="s">
        <v>193</v>
      </c>
      <c r="J208" s="14" t="s">
        <v>40</v>
      </c>
      <c r="K208" t="s">
        <v>90</v>
      </c>
      <c r="L208" t="s">
        <v>36</v>
      </c>
      <c r="M208" t="str">
        <f>VLOOKUP(Incidents[[#This Row],[Ticket ID]],[1]Incidents!$A$2:$D$792,4,FALSE)</f>
        <v>4 - Low</v>
      </c>
      <c r="N208">
        <f>VLOOKUP(Incidents[[#This Row],[Priority]],'SLA Config'!$B$3:$C$6,2,FALSE)</f>
        <v>25</v>
      </c>
      <c r="O208" t="str">
        <f ca="1">IF(Incidents[[#This Row],[Age (days)]]&gt;Incidents[[#This Row],[SLA Threshold]],"NO","Yes")</f>
        <v>Yes</v>
      </c>
    </row>
    <row r="209" spans="1:15" x14ac:dyDescent="0.25">
      <c r="A209" s="19" t="s">
        <v>501</v>
      </c>
      <c r="B209" s="8">
        <v>45400</v>
      </c>
      <c r="C209" s="8">
        <v>45410</v>
      </c>
      <c r="D209" t="s">
        <v>29</v>
      </c>
      <c r="E209" t="s">
        <v>324</v>
      </c>
      <c r="F209" s="49">
        <f t="shared" ca="1" si="3"/>
        <v>7</v>
      </c>
      <c r="G209" s="16" t="s">
        <v>31</v>
      </c>
      <c r="H209" s="11" t="s">
        <v>502</v>
      </c>
      <c r="I209" t="s">
        <v>193</v>
      </c>
      <c r="J209" s="14" t="s">
        <v>40</v>
      </c>
      <c r="K209" t="s">
        <v>503</v>
      </c>
      <c r="L209" t="s">
        <v>427</v>
      </c>
      <c r="M209" t="str">
        <f>VLOOKUP(Incidents[[#This Row],[Ticket ID]],[1]Incidents!$A$2:$D$792,4,FALSE)</f>
        <v>2 - High</v>
      </c>
      <c r="N209">
        <f>VLOOKUP(Incidents[[#This Row],[Priority]],'SLA Config'!$B$3:$C$6,2,FALSE)</f>
        <v>5</v>
      </c>
      <c r="O209" t="str">
        <f ca="1">IF(Incidents[[#This Row],[Age (days)]]&gt;Incidents[[#This Row],[SLA Threshold]],"NO","Yes")</f>
        <v>NO</v>
      </c>
    </row>
    <row r="210" spans="1:15" x14ac:dyDescent="0.25">
      <c r="A210" s="19" t="s">
        <v>504</v>
      </c>
      <c r="B210" s="8">
        <v>45407</v>
      </c>
      <c r="C210" s="8">
        <v>45416</v>
      </c>
      <c r="D210" t="s">
        <v>29</v>
      </c>
      <c r="E210" t="s">
        <v>38</v>
      </c>
      <c r="F210" s="49">
        <f t="shared" ca="1" si="3"/>
        <v>7</v>
      </c>
      <c r="G210" s="16" t="s">
        <v>31</v>
      </c>
      <c r="H210" s="11" t="s">
        <v>505</v>
      </c>
      <c r="I210" t="s">
        <v>193</v>
      </c>
      <c r="J210" s="14" t="s">
        <v>40</v>
      </c>
      <c r="K210" t="s">
        <v>201</v>
      </c>
      <c r="L210" t="s">
        <v>120</v>
      </c>
      <c r="M210" t="str">
        <f>VLOOKUP(Incidents[[#This Row],[Ticket ID]],[1]Incidents!$A$2:$D$792,4,FALSE)</f>
        <v>3 - Medium</v>
      </c>
      <c r="N210">
        <f>VLOOKUP(Incidents[[#This Row],[Priority]],'SLA Config'!$B$3:$C$6,2,FALSE)</f>
        <v>15</v>
      </c>
      <c r="O210" t="str">
        <f ca="1">IF(Incidents[[#This Row],[Age (days)]]&gt;Incidents[[#This Row],[SLA Threshold]],"NO","Yes")</f>
        <v>Yes</v>
      </c>
    </row>
    <row r="211" spans="1:15" x14ac:dyDescent="0.25">
      <c r="A211" s="2" t="s">
        <v>506</v>
      </c>
      <c r="B211" s="8">
        <v>45579</v>
      </c>
      <c r="C211" s="8">
        <v>45586</v>
      </c>
      <c r="D211" t="s">
        <v>29</v>
      </c>
      <c r="E211" t="s">
        <v>30</v>
      </c>
      <c r="F211" s="49">
        <f t="shared" ca="1" si="3"/>
        <v>6</v>
      </c>
      <c r="G211" s="16" t="s">
        <v>31</v>
      </c>
      <c r="H211" t="s">
        <v>299</v>
      </c>
      <c r="I211" t="s">
        <v>193</v>
      </c>
      <c r="J211" s="14" t="s">
        <v>40</v>
      </c>
      <c r="K211" t="s">
        <v>507</v>
      </c>
      <c r="L211" t="s">
        <v>71</v>
      </c>
      <c r="M211" t="str">
        <f>VLOOKUP(Incidents[[#This Row],[Ticket ID]],[1]Incidents!$A$2:$D$792,4,FALSE)</f>
        <v>2 - High</v>
      </c>
      <c r="N211">
        <f>VLOOKUP(Incidents[[#This Row],[Priority]],'SLA Config'!$B$3:$C$6,2,FALSE)</f>
        <v>5</v>
      </c>
      <c r="O211" t="str">
        <f ca="1">IF(Incidents[[#This Row],[Age (days)]]&gt;Incidents[[#This Row],[SLA Threshold]],"NO","Yes")</f>
        <v>NO</v>
      </c>
    </row>
    <row r="212" spans="1:15" x14ac:dyDescent="0.25">
      <c r="A212" s="28" t="s">
        <v>508</v>
      </c>
      <c r="B212" s="29">
        <v>45617</v>
      </c>
      <c r="C212" s="29">
        <v>45626</v>
      </c>
      <c r="D212" s="28" t="s">
        <v>29</v>
      </c>
      <c r="E212" s="28" t="s">
        <v>46</v>
      </c>
      <c r="F212" s="49">
        <f t="shared" ca="1" si="3"/>
        <v>7</v>
      </c>
      <c r="G212" s="28" t="s">
        <v>31</v>
      </c>
      <c r="H212" s="28" t="s">
        <v>509</v>
      </c>
      <c r="I212" t="s">
        <v>193</v>
      </c>
      <c r="J212" s="15" t="s">
        <v>34</v>
      </c>
      <c r="K212" s="28" t="s">
        <v>44</v>
      </c>
      <c r="L212" t="s">
        <v>427</v>
      </c>
      <c r="M212" t="str">
        <f>VLOOKUP(Incidents[[#This Row],[Ticket ID]],[1]Incidents!$A$2:$D$792,4,FALSE)</f>
        <v>2 - High</v>
      </c>
      <c r="N212">
        <f>VLOOKUP(Incidents[[#This Row],[Priority]],'SLA Config'!$B$3:$C$6,2,FALSE)</f>
        <v>5</v>
      </c>
      <c r="O212" t="str">
        <f ca="1">IF(Incidents[[#This Row],[Age (days)]]&gt;Incidents[[#This Row],[SLA Threshold]],"NO","Yes")</f>
        <v>NO</v>
      </c>
    </row>
    <row r="213" spans="1:15" x14ac:dyDescent="0.25">
      <c r="A213" s="2" t="s">
        <v>510</v>
      </c>
      <c r="B213" s="1">
        <v>44929</v>
      </c>
      <c r="C213" s="1">
        <v>44936</v>
      </c>
      <c r="D213" t="s">
        <v>29</v>
      </c>
      <c r="E213" t="s">
        <v>54</v>
      </c>
      <c r="F213" s="49">
        <f t="shared" ca="1" si="3"/>
        <v>6</v>
      </c>
      <c r="G213" s="16" t="s">
        <v>31</v>
      </c>
      <c r="H213" s="11" t="s">
        <v>434</v>
      </c>
      <c r="I213" t="s">
        <v>193</v>
      </c>
      <c r="J213" s="14" t="s">
        <v>304</v>
      </c>
      <c r="K213" t="s">
        <v>201</v>
      </c>
      <c r="L213" t="s">
        <v>120</v>
      </c>
      <c r="M213" t="str">
        <f>VLOOKUP(Incidents[[#This Row],[Ticket ID]],[1]Incidents!$A$2:$D$792,4,FALSE)</f>
        <v>4 - Low</v>
      </c>
      <c r="N213">
        <f>VLOOKUP(Incidents[[#This Row],[Priority]],'SLA Config'!$B$3:$C$6,2,FALSE)</f>
        <v>25</v>
      </c>
      <c r="O213" t="str">
        <f ca="1">IF(Incidents[[#This Row],[Age (days)]]&gt;Incidents[[#This Row],[SLA Threshold]],"NO","Yes")</f>
        <v>Yes</v>
      </c>
    </row>
    <row r="214" spans="1:15" x14ac:dyDescent="0.25">
      <c r="A214" s="19" t="s">
        <v>511</v>
      </c>
      <c r="B214" s="1">
        <v>44943</v>
      </c>
      <c r="C214" s="1">
        <v>44950</v>
      </c>
      <c r="D214" t="s">
        <v>29</v>
      </c>
      <c r="E214" t="s">
        <v>54</v>
      </c>
      <c r="F214" s="49">
        <f t="shared" ca="1" si="3"/>
        <v>6</v>
      </c>
      <c r="G214" s="16" t="s">
        <v>31</v>
      </c>
      <c r="H214" s="11" t="s">
        <v>512</v>
      </c>
      <c r="I214" t="s">
        <v>193</v>
      </c>
      <c r="J214" s="14" t="s">
        <v>40</v>
      </c>
      <c r="K214" t="s">
        <v>255</v>
      </c>
      <c r="L214" t="s">
        <v>120</v>
      </c>
      <c r="M214" t="str">
        <f>VLOOKUP(Incidents[[#This Row],[Ticket ID]],[1]Incidents!$A$2:$D$792,4,FALSE)</f>
        <v>4 - Low</v>
      </c>
      <c r="N214">
        <f>VLOOKUP(Incidents[[#This Row],[Priority]],'SLA Config'!$B$3:$C$6,2,FALSE)</f>
        <v>25</v>
      </c>
      <c r="O214" t="str">
        <f ca="1">IF(Incidents[[#This Row],[Age (days)]]&gt;Incidents[[#This Row],[SLA Threshold]],"NO","Yes")</f>
        <v>Yes</v>
      </c>
    </row>
    <row r="215" spans="1:15" x14ac:dyDescent="0.25">
      <c r="A215" s="2" t="s">
        <v>513</v>
      </c>
      <c r="B215" s="1">
        <v>45023</v>
      </c>
      <c r="C215" s="8">
        <v>45032</v>
      </c>
      <c r="D215" t="s">
        <v>29</v>
      </c>
      <c r="E215" t="s">
        <v>324</v>
      </c>
      <c r="F215" s="49">
        <f t="shared" ca="1" si="3"/>
        <v>6</v>
      </c>
      <c r="G215" s="16" t="s">
        <v>31</v>
      </c>
      <c r="H215" s="11" t="s">
        <v>514</v>
      </c>
      <c r="I215" t="s">
        <v>193</v>
      </c>
      <c r="J215" s="14" t="s">
        <v>40</v>
      </c>
      <c r="K215" t="s">
        <v>215</v>
      </c>
      <c r="L215" t="s">
        <v>120</v>
      </c>
      <c r="M215" t="str">
        <f>VLOOKUP(Incidents[[#This Row],[Ticket ID]],[1]Incidents!$A$2:$D$792,4,FALSE)</f>
        <v>4 - Low</v>
      </c>
      <c r="N215">
        <f>VLOOKUP(Incidents[[#This Row],[Priority]],'SLA Config'!$B$3:$C$6,2,FALSE)</f>
        <v>25</v>
      </c>
      <c r="O215" t="str">
        <f ca="1">IF(Incidents[[#This Row],[Age (days)]]&gt;Incidents[[#This Row],[SLA Threshold]],"NO","Yes")</f>
        <v>Yes</v>
      </c>
    </row>
    <row r="216" spans="1:15" x14ac:dyDescent="0.25">
      <c r="A216" s="2" t="s">
        <v>515</v>
      </c>
      <c r="B216" s="1">
        <v>45086</v>
      </c>
      <c r="C216" s="8">
        <v>45095</v>
      </c>
      <c r="D216" t="s">
        <v>29</v>
      </c>
      <c r="E216" t="s">
        <v>104</v>
      </c>
      <c r="F216" s="49">
        <f t="shared" ca="1" si="3"/>
        <v>6</v>
      </c>
      <c r="G216" s="16" t="s">
        <v>51</v>
      </c>
      <c r="H216" s="11" t="s">
        <v>516</v>
      </c>
      <c r="I216" t="s">
        <v>193</v>
      </c>
      <c r="J216" s="14" t="s">
        <v>40</v>
      </c>
      <c r="K216" t="s">
        <v>201</v>
      </c>
      <c r="L216" t="s">
        <v>120</v>
      </c>
      <c r="M216" t="str">
        <f>VLOOKUP(Incidents[[#This Row],[Ticket ID]],[1]Incidents!$A$2:$D$792,4,FALSE)</f>
        <v>4 - Low</v>
      </c>
      <c r="N216">
        <f>VLOOKUP(Incidents[[#This Row],[Priority]],'SLA Config'!$B$3:$C$6,2,FALSE)</f>
        <v>25</v>
      </c>
      <c r="O216" t="str">
        <f ca="1">IF(Incidents[[#This Row],[Age (days)]]&gt;Incidents[[#This Row],[SLA Threshold]],"NO","Yes")</f>
        <v>Yes</v>
      </c>
    </row>
    <row r="217" spans="1:15" x14ac:dyDescent="0.25">
      <c r="A217" s="19" t="s">
        <v>517</v>
      </c>
      <c r="B217" s="1">
        <v>45322</v>
      </c>
      <c r="C217" s="8">
        <v>45329</v>
      </c>
      <c r="D217" t="s">
        <v>29</v>
      </c>
      <c r="E217" t="s">
        <v>104</v>
      </c>
      <c r="F217" s="49">
        <f t="shared" ca="1" si="3"/>
        <v>6</v>
      </c>
      <c r="G217" s="16" t="s">
        <v>31</v>
      </c>
      <c r="H217" s="11" t="s">
        <v>518</v>
      </c>
      <c r="I217" t="s">
        <v>193</v>
      </c>
      <c r="J217" s="14" t="s">
        <v>40</v>
      </c>
      <c r="K217" t="s">
        <v>201</v>
      </c>
      <c r="L217" t="s">
        <v>120</v>
      </c>
      <c r="M217" t="str">
        <f>VLOOKUP(Incidents[[#This Row],[Ticket ID]],[1]Incidents!$A$2:$D$792,4,FALSE)</f>
        <v>3 - Medium</v>
      </c>
      <c r="N217">
        <f>VLOOKUP(Incidents[[#This Row],[Priority]],'SLA Config'!$B$3:$C$6,2,FALSE)</f>
        <v>15</v>
      </c>
      <c r="O217" t="str">
        <f ca="1">IF(Incidents[[#This Row],[Age (days)]]&gt;Incidents[[#This Row],[SLA Threshold]],"NO","Yes")</f>
        <v>Yes</v>
      </c>
    </row>
    <row r="218" spans="1:15" x14ac:dyDescent="0.25">
      <c r="A218" s="2" t="s">
        <v>519</v>
      </c>
      <c r="B218" s="1">
        <v>45350</v>
      </c>
      <c r="C218" s="8">
        <v>45357</v>
      </c>
      <c r="D218" t="s">
        <v>29</v>
      </c>
      <c r="E218" t="s">
        <v>104</v>
      </c>
      <c r="F218" s="49">
        <f t="shared" ca="1" si="3"/>
        <v>6</v>
      </c>
      <c r="G218" s="16" t="s">
        <v>31</v>
      </c>
      <c r="H218" s="11" t="s">
        <v>520</v>
      </c>
      <c r="I218" t="s">
        <v>193</v>
      </c>
      <c r="J218" s="14" t="s">
        <v>40</v>
      </c>
      <c r="K218" t="s">
        <v>201</v>
      </c>
      <c r="L218" t="s">
        <v>120</v>
      </c>
      <c r="M218" t="str">
        <f>VLOOKUP(Incidents[[#This Row],[Ticket ID]],[1]Incidents!$A$2:$D$792,4,FALSE)</f>
        <v>3 - Medium</v>
      </c>
      <c r="N218">
        <f>VLOOKUP(Incidents[[#This Row],[Priority]],'SLA Config'!$B$3:$C$6,2,FALSE)</f>
        <v>15</v>
      </c>
      <c r="O218" t="str">
        <f ca="1">IF(Incidents[[#This Row],[Age (days)]]&gt;Incidents[[#This Row],[SLA Threshold]],"NO","Yes")</f>
        <v>Yes</v>
      </c>
    </row>
    <row r="219" spans="1:15" x14ac:dyDescent="0.25">
      <c r="A219" s="19" t="s">
        <v>521</v>
      </c>
      <c r="B219" s="8">
        <v>45483</v>
      </c>
      <c r="C219" s="8">
        <v>45490</v>
      </c>
      <c r="D219" t="s">
        <v>29</v>
      </c>
      <c r="E219" s="17" t="s">
        <v>104</v>
      </c>
      <c r="F219" s="49">
        <f t="shared" ca="1" si="3"/>
        <v>6</v>
      </c>
      <c r="G219" s="16" t="s">
        <v>51</v>
      </c>
      <c r="H219" s="11" t="s">
        <v>522</v>
      </c>
      <c r="I219" t="s">
        <v>193</v>
      </c>
      <c r="J219" s="14" t="s">
        <v>40</v>
      </c>
      <c r="K219" s="27" t="s">
        <v>119</v>
      </c>
      <c r="L219" t="s">
        <v>120</v>
      </c>
      <c r="M219" t="str">
        <f>VLOOKUP(Incidents[[#This Row],[Ticket ID]],[1]Incidents!$A$2:$D$792,4,FALSE)</f>
        <v>4 - Low</v>
      </c>
      <c r="N219">
        <f>VLOOKUP(Incidents[[#This Row],[Priority]],'SLA Config'!$B$3:$C$6,2,FALSE)</f>
        <v>25</v>
      </c>
      <c r="O219" t="str">
        <f ca="1">IF(Incidents[[#This Row],[Age (days)]]&gt;Incidents[[#This Row],[SLA Threshold]],"NO","Yes")</f>
        <v>Yes</v>
      </c>
    </row>
    <row r="220" spans="1:15" x14ac:dyDescent="0.25">
      <c r="A220" s="19" t="s">
        <v>523</v>
      </c>
      <c r="B220" s="8">
        <v>45506</v>
      </c>
      <c r="C220" s="8">
        <v>45514</v>
      </c>
      <c r="D220" t="s">
        <v>29</v>
      </c>
      <c r="E220" t="s">
        <v>104</v>
      </c>
      <c r="F220" s="49">
        <f t="shared" ca="1" si="3"/>
        <v>6</v>
      </c>
      <c r="G220" s="16" t="s">
        <v>31</v>
      </c>
      <c r="H220" t="s">
        <v>524</v>
      </c>
      <c r="I220" t="s">
        <v>193</v>
      </c>
      <c r="J220" s="14" t="s">
        <v>40</v>
      </c>
      <c r="K220" t="s">
        <v>231</v>
      </c>
      <c r="L220" s="27" t="s">
        <v>120</v>
      </c>
      <c r="M220" t="str">
        <f>VLOOKUP(Incidents[[#This Row],[Ticket ID]],[1]Incidents!$A$2:$D$792,4,FALSE)</f>
        <v>4 - Low</v>
      </c>
      <c r="N220">
        <f>VLOOKUP(Incidents[[#This Row],[Priority]],'SLA Config'!$B$3:$C$6,2,FALSE)</f>
        <v>25</v>
      </c>
      <c r="O220" t="str">
        <f ca="1">IF(Incidents[[#This Row],[Age (days)]]&gt;Incidents[[#This Row],[SLA Threshold]],"NO","Yes")</f>
        <v>Yes</v>
      </c>
    </row>
    <row r="221" spans="1:15" x14ac:dyDescent="0.25">
      <c r="A221" s="2" t="s">
        <v>525</v>
      </c>
      <c r="B221" s="1">
        <v>45539</v>
      </c>
      <c r="C221" s="8">
        <v>45546</v>
      </c>
      <c r="D221" t="s">
        <v>29</v>
      </c>
      <c r="E221" t="s">
        <v>324</v>
      </c>
      <c r="F221" s="49">
        <f t="shared" ca="1" si="3"/>
        <v>6</v>
      </c>
      <c r="G221" t="s">
        <v>51</v>
      </c>
      <c r="H221" t="s">
        <v>526</v>
      </c>
      <c r="I221" t="s">
        <v>193</v>
      </c>
      <c r="J221" s="14" t="s">
        <v>304</v>
      </c>
      <c r="K221" t="s">
        <v>401</v>
      </c>
      <c r="L221" t="s">
        <v>71</v>
      </c>
      <c r="M221" t="str">
        <f>VLOOKUP(Incidents[[#This Row],[Ticket ID]],[1]Incidents!$A$2:$D$792,4,FALSE)</f>
        <v>4 - Low</v>
      </c>
      <c r="N221">
        <f>VLOOKUP(Incidents[[#This Row],[Priority]],'SLA Config'!$B$3:$C$6,2,FALSE)</f>
        <v>25</v>
      </c>
      <c r="O221" t="str">
        <f ca="1">IF(Incidents[[#This Row],[Age (days)]]&gt;Incidents[[#This Row],[SLA Threshold]],"NO","Yes")</f>
        <v>Yes</v>
      </c>
    </row>
    <row r="222" spans="1:15" x14ac:dyDescent="0.25">
      <c r="A222" s="28" t="s">
        <v>527</v>
      </c>
      <c r="B222" s="29">
        <v>45674</v>
      </c>
      <c r="C222" s="29">
        <v>45682</v>
      </c>
      <c r="D222" s="28" t="s">
        <v>29</v>
      </c>
      <c r="E222" s="28" t="s">
        <v>46</v>
      </c>
      <c r="F222" s="49">
        <f t="shared" ca="1" si="3"/>
        <v>6</v>
      </c>
      <c r="G222" s="28" t="s">
        <v>31</v>
      </c>
      <c r="H222" s="28" t="s">
        <v>528</v>
      </c>
      <c r="I222" t="s">
        <v>193</v>
      </c>
      <c r="J222" s="14"/>
      <c r="K222" s="28" t="s">
        <v>35</v>
      </c>
      <c r="L222" t="s">
        <v>36</v>
      </c>
      <c r="M222" t="str">
        <f>VLOOKUP(Incidents[[#This Row],[Ticket ID]],[1]Incidents!$A$2:$D$792,4,FALSE)</f>
        <v>4 - Low</v>
      </c>
      <c r="N222">
        <f>VLOOKUP(Incidents[[#This Row],[Priority]],'SLA Config'!$B$3:$C$6,2,FALSE)</f>
        <v>25</v>
      </c>
      <c r="O222" t="str">
        <f ca="1">IF(Incidents[[#This Row],[Age (days)]]&gt;Incidents[[#This Row],[SLA Threshold]],"NO","Yes")</f>
        <v>Yes</v>
      </c>
    </row>
    <row r="223" spans="1:15" ht="15.75" x14ac:dyDescent="0.3">
      <c r="A223" s="28" t="s">
        <v>529</v>
      </c>
      <c r="B223" s="29">
        <v>45706</v>
      </c>
      <c r="C223" s="39">
        <v>45796</v>
      </c>
      <c r="D223" s="32" t="s">
        <v>29</v>
      </c>
      <c r="E223" s="28" t="s">
        <v>38</v>
      </c>
      <c r="F223" s="49">
        <f t="shared" ca="1" si="3"/>
        <v>65</v>
      </c>
      <c r="G223" s="28" t="s">
        <v>31</v>
      </c>
      <c r="H223" s="28" t="s">
        <v>530</v>
      </c>
      <c r="I223" t="s">
        <v>193</v>
      </c>
      <c r="J223" s="14"/>
      <c r="K223" s="28" t="s">
        <v>231</v>
      </c>
      <c r="L223" t="s">
        <v>120</v>
      </c>
      <c r="M223" t="str">
        <f>VLOOKUP(Incidents[[#This Row],[Ticket ID]],[1]Incidents!$A$2:$D$792,4,FALSE)</f>
        <v>2 - High</v>
      </c>
      <c r="N223">
        <f>VLOOKUP(Incidents[[#This Row],[Priority]],'SLA Config'!$B$3:$C$6,2,FALSE)</f>
        <v>5</v>
      </c>
      <c r="O223" t="str">
        <f ca="1">IF(Incidents[[#This Row],[Age (days)]]&gt;Incidents[[#This Row],[SLA Threshold]],"NO","Yes")</f>
        <v>NO</v>
      </c>
    </row>
    <row r="224" spans="1:15" x14ac:dyDescent="0.25">
      <c r="A224" s="28" t="s">
        <v>531</v>
      </c>
      <c r="B224" s="29">
        <v>45680</v>
      </c>
      <c r="C224" s="8">
        <v>45727</v>
      </c>
      <c r="D224" s="28" t="s">
        <v>29</v>
      </c>
      <c r="E224" s="28" t="s">
        <v>532</v>
      </c>
      <c r="F224" s="49">
        <f t="shared" ca="1" si="3"/>
        <v>34</v>
      </c>
      <c r="G224" s="28" t="s">
        <v>51</v>
      </c>
      <c r="H224" s="28" t="s">
        <v>533</v>
      </c>
      <c r="I224" t="s">
        <v>193</v>
      </c>
      <c r="J224" s="14" t="s">
        <v>40</v>
      </c>
      <c r="K224" s="28" t="s">
        <v>207</v>
      </c>
      <c r="L224" t="s">
        <v>71</v>
      </c>
      <c r="M224" t="str">
        <f>VLOOKUP(Incidents[[#This Row],[Ticket ID]],[1]Incidents!$A$2:$D$792,4,FALSE)</f>
        <v>4 - Low</v>
      </c>
      <c r="N224">
        <f>VLOOKUP(Incidents[[#This Row],[Priority]],'SLA Config'!$B$3:$C$6,2,FALSE)</f>
        <v>25</v>
      </c>
      <c r="O224" t="str">
        <f ca="1">IF(Incidents[[#This Row],[Age (days)]]&gt;Incidents[[#This Row],[SLA Threshold]],"NO","Yes")</f>
        <v>NO</v>
      </c>
    </row>
    <row r="225" spans="1:15" x14ac:dyDescent="0.25">
      <c r="A225" s="2" t="s">
        <v>534</v>
      </c>
      <c r="B225" s="1">
        <v>45113</v>
      </c>
      <c r="C225" s="8">
        <v>45119</v>
      </c>
      <c r="D225" t="s">
        <v>29</v>
      </c>
      <c r="E225" s="17"/>
      <c r="F225" s="49">
        <f t="shared" ca="1" si="3"/>
        <v>5</v>
      </c>
      <c r="G225" s="16" t="s">
        <v>51</v>
      </c>
      <c r="H225" s="11" t="s">
        <v>535</v>
      </c>
      <c r="I225" t="s">
        <v>193</v>
      </c>
      <c r="J225" s="14" t="s">
        <v>40</v>
      </c>
      <c r="K225" t="s">
        <v>119</v>
      </c>
      <c r="L225" t="s">
        <v>120</v>
      </c>
      <c r="M225" t="str">
        <f>VLOOKUP(Incidents[[#This Row],[Ticket ID]],[1]Incidents!$A$2:$D$792,4,FALSE)</f>
        <v>3 - Medium</v>
      </c>
      <c r="N225">
        <f>VLOOKUP(Incidents[[#This Row],[Priority]],'SLA Config'!$B$3:$C$6,2,FALSE)</f>
        <v>15</v>
      </c>
      <c r="O225" t="str">
        <f ca="1">IF(Incidents[[#This Row],[Age (days)]]&gt;Incidents[[#This Row],[SLA Threshold]],"NO","Yes")</f>
        <v>Yes</v>
      </c>
    </row>
    <row r="226" spans="1:15" x14ac:dyDescent="0.25">
      <c r="A226" s="2" t="s">
        <v>536</v>
      </c>
      <c r="B226" s="1">
        <v>45132</v>
      </c>
      <c r="C226" s="8">
        <v>45138</v>
      </c>
      <c r="D226" t="s">
        <v>29</v>
      </c>
      <c r="E226" s="17" t="s">
        <v>324</v>
      </c>
      <c r="F226" s="49">
        <f t="shared" ca="1" si="3"/>
        <v>5</v>
      </c>
      <c r="G226" s="16" t="s">
        <v>51</v>
      </c>
      <c r="H226" s="11" t="s">
        <v>537</v>
      </c>
      <c r="I226" t="s">
        <v>193</v>
      </c>
      <c r="J226" s="14" t="s">
        <v>304</v>
      </c>
      <c r="K226" t="s">
        <v>119</v>
      </c>
      <c r="L226" t="s">
        <v>120</v>
      </c>
      <c r="M226" t="str">
        <f>VLOOKUP(Incidents[[#This Row],[Ticket ID]],[1]Incidents!$A$2:$D$792,4,FALSE)</f>
        <v>3 - Medium</v>
      </c>
      <c r="N226">
        <f>VLOOKUP(Incidents[[#This Row],[Priority]],'SLA Config'!$B$3:$C$6,2,FALSE)</f>
        <v>15</v>
      </c>
      <c r="O226" t="str">
        <f ca="1">IF(Incidents[[#This Row],[Age (days)]]&gt;Incidents[[#This Row],[SLA Threshold]],"NO","Yes")</f>
        <v>Yes</v>
      </c>
    </row>
    <row r="227" spans="1:15" x14ac:dyDescent="0.25">
      <c r="A227" s="2" t="s">
        <v>538</v>
      </c>
      <c r="B227" s="1">
        <v>45183</v>
      </c>
      <c r="C227" s="8">
        <v>45189</v>
      </c>
      <c r="D227" t="s">
        <v>29</v>
      </c>
      <c r="E227" t="s">
        <v>104</v>
      </c>
      <c r="F227" s="49">
        <f t="shared" ca="1" si="3"/>
        <v>5</v>
      </c>
      <c r="G227" s="16" t="s">
        <v>51</v>
      </c>
      <c r="H227" s="11" t="s">
        <v>539</v>
      </c>
      <c r="I227" t="s">
        <v>193</v>
      </c>
      <c r="J227" s="14" t="s">
        <v>40</v>
      </c>
      <c r="K227" t="s">
        <v>119</v>
      </c>
      <c r="L227" t="s">
        <v>120</v>
      </c>
      <c r="M227" t="str">
        <f>VLOOKUP(Incidents[[#This Row],[Ticket ID]],[1]Incidents!$A$2:$D$792,4,FALSE)</f>
        <v>3 - Medium</v>
      </c>
      <c r="N227">
        <f>VLOOKUP(Incidents[[#This Row],[Priority]],'SLA Config'!$B$3:$C$6,2,FALSE)</f>
        <v>15</v>
      </c>
      <c r="O227" t="str">
        <f ca="1">IF(Incidents[[#This Row],[Age (days)]]&gt;Incidents[[#This Row],[SLA Threshold]],"NO","Yes")</f>
        <v>Yes</v>
      </c>
    </row>
    <row r="228" spans="1:15" x14ac:dyDescent="0.25">
      <c r="A228" s="2" t="s">
        <v>540</v>
      </c>
      <c r="B228" s="1">
        <v>45273</v>
      </c>
      <c r="C228" s="8">
        <v>45279</v>
      </c>
      <c r="D228" t="s">
        <v>29</v>
      </c>
      <c r="E228" s="17" t="s">
        <v>104</v>
      </c>
      <c r="F228" s="49">
        <f t="shared" ca="1" si="3"/>
        <v>5</v>
      </c>
      <c r="G228" s="16" t="s">
        <v>51</v>
      </c>
      <c r="H228" s="11" t="s">
        <v>541</v>
      </c>
      <c r="I228" t="s">
        <v>193</v>
      </c>
      <c r="J228" s="14" t="s">
        <v>196</v>
      </c>
      <c r="K228" t="s">
        <v>119</v>
      </c>
      <c r="L228" t="s">
        <v>120</v>
      </c>
      <c r="M228" t="str">
        <f>VLOOKUP(Incidents[[#This Row],[Ticket ID]],[1]Incidents!$A$2:$D$792,4,FALSE)</f>
        <v>2 - High</v>
      </c>
      <c r="N228">
        <f>VLOOKUP(Incidents[[#This Row],[Priority]],'SLA Config'!$B$3:$C$6,2,FALSE)</f>
        <v>5</v>
      </c>
      <c r="O228" t="str">
        <f ca="1">IF(Incidents[[#This Row],[Age (days)]]&gt;Incidents[[#This Row],[SLA Threshold]],"NO","Yes")</f>
        <v>Yes</v>
      </c>
    </row>
    <row r="229" spans="1:15" x14ac:dyDescent="0.25">
      <c r="A229" s="2" t="s">
        <v>542</v>
      </c>
      <c r="B229" s="1">
        <v>45328</v>
      </c>
      <c r="C229" s="8">
        <v>45334</v>
      </c>
      <c r="D229" t="s">
        <v>29</v>
      </c>
      <c r="E229" t="s">
        <v>30</v>
      </c>
      <c r="F229" s="49">
        <f t="shared" ca="1" si="3"/>
        <v>5</v>
      </c>
      <c r="G229" s="16" t="s">
        <v>31</v>
      </c>
      <c r="H229" s="11" t="s">
        <v>543</v>
      </c>
      <c r="I229" t="s">
        <v>193</v>
      </c>
      <c r="J229" s="14" t="s">
        <v>40</v>
      </c>
      <c r="K229" t="s">
        <v>281</v>
      </c>
      <c r="L229" t="s">
        <v>120</v>
      </c>
      <c r="M229" t="str">
        <f>VLOOKUP(Incidents[[#This Row],[Ticket ID]],[1]Incidents!$A$2:$D$792,4,FALSE)</f>
        <v>4 - Low</v>
      </c>
      <c r="N229">
        <f>VLOOKUP(Incidents[[#This Row],[Priority]],'SLA Config'!$B$3:$C$6,2,FALSE)</f>
        <v>25</v>
      </c>
      <c r="O229" t="str">
        <f ca="1">IF(Incidents[[#This Row],[Age (days)]]&gt;Incidents[[#This Row],[SLA Threshold]],"NO","Yes")</f>
        <v>Yes</v>
      </c>
    </row>
    <row r="230" spans="1:15" x14ac:dyDescent="0.25">
      <c r="A230" s="2" t="s">
        <v>544</v>
      </c>
      <c r="B230" s="1">
        <v>45348</v>
      </c>
      <c r="C230" s="8">
        <v>45354</v>
      </c>
      <c r="D230" t="s">
        <v>29</v>
      </c>
      <c r="E230" t="s">
        <v>104</v>
      </c>
      <c r="F230" s="49">
        <f t="shared" ca="1" si="3"/>
        <v>5</v>
      </c>
      <c r="G230" s="16" t="s">
        <v>31</v>
      </c>
      <c r="H230" s="11" t="s">
        <v>545</v>
      </c>
      <c r="I230" t="s">
        <v>193</v>
      </c>
      <c r="J230" s="14" t="s">
        <v>40</v>
      </c>
      <c r="K230" t="s">
        <v>281</v>
      </c>
      <c r="L230" t="s">
        <v>120</v>
      </c>
      <c r="M230" t="str">
        <f>VLOOKUP(Incidents[[#This Row],[Ticket ID]],[1]Incidents!$A$2:$D$792,4,FALSE)</f>
        <v>4 - Low</v>
      </c>
      <c r="N230">
        <f>VLOOKUP(Incidents[[#This Row],[Priority]],'SLA Config'!$B$3:$C$6,2,FALSE)</f>
        <v>25</v>
      </c>
      <c r="O230" t="str">
        <f ca="1">IF(Incidents[[#This Row],[Age (days)]]&gt;Incidents[[#This Row],[SLA Threshold]],"NO","Yes")</f>
        <v>Yes</v>
      </c>
    </row>
    <row r="231" spans="1:15" x14ac:dyDescent="0.25">
      <c r="A231" s="2" t="s">
        <v>546</v>
      </c>
      <c r="B231" s="1">
        <v>45348</v>
      </c>
      <c r="C231" s="8">
        <v>45353</v>
      </c>
      <c r="D231" t="s">
        <v>29</v>
      </c>
      <c r="E231" t="s">
        <v>104</v>
      </c>
      <c r="F231" s="49">
        <f t="shared" ca="1" si="3"/>
        <v>5</v>
      </c>
      <c r="G231" s="16" t="s">
        <v>31</v>
      </c>
      <c r="H231" s="11" t="s">
        <v>547</v>
      </c>
      <c r="I231" t="s">
        <v>193</v>
      </c>
      <c r="J231" s="14" t="s">
        <v>40</v>
      </c>
      <c r="K231" t="s">
        <v>281</v>
      </c>
      <c r="L231" t="s">
        <v>120</v>
      </c>
      <c r="M231" t="str">
        <f>VLOOKUP(Incidents[[#This Row],[Ticket ID]],[1]Incidents!$A$2:$D$792,4,FALSE)</f>
        <v>4 - Low</v>
      </c>
      <c r="N231">
        <f>VLOOKUP(Incidents[[#This Row],[Priority]],'SLA Config'!$B$3:$C$6,2,FALSE)</f>
        <v>25</v>
      </c>
      <c r="O231" t="str">
        <f ca="1">IF(Incidents[[#This Row],[Age (days)]]&gt;Incidents[[#This Row],[SLA Threshold]],"NO","Yes")</f>
        <v>Yes</v>
      </c>
    </row>
    <row r="232" spans="1:15" x14ac:dyDescent="0.25">
      <c r="A232" s="2" t="s">
        <v>548</v>
      </c>
      <c r="B232" s="1">
        <v>45371</v>
      </c>
      <c r="C232" s="8">
        <v>45377</v>
      </c>
      <c r="D232" t="s">
        <v>29</v>
      </c>
      <c r="E232" t="s">
        <v>104</v>
      </c>
      <c r="F232" s="49">
        <f t="shared" ca="1" si="3"/>
        <v>5</v>
      </c>
      <c r="G232" s="16" t="s">
        <v>51</v>
      </c>
      <c r="H232" t="s">
        <v>549</v>
      </c>
      <c r="I232" t="s">
        <v>193</v>
      </c>
      <c r="J232" s="14" t="s">
        <v>40</v>
      </c>
      <c r="K232" t="s">
        <v>119</v>
      </c>
      <c r="L232" t="s">
        <v>120</v>
      </c>
      <c r="M232" t="str">
        <f>VLOOKUP(Incidents[[#This Row],[Ticket ID]],[1]Incidents!$A$2:$D$792,4,FALSE)</f>
        <v>4 - Low</v>
      </c>
      <c r="N232">
        <f>VLOOKUP(Incidents[[#This Row],[Priority]],'SLA Config'!$B$3:$C$6,2,FALSE)</f>
        <v>25</v>
      </c>
      <c r="O232" t="str">
        <f ca="1">IF(Incidents[[#This Row],[Age (days)]]&gt;Incidents[[#This Row],[SLA Threshold]],"NO","Yes")</f>
        <v>Yes</v>
      </c>
    </row>
    <row r="233" spans="1:15" x14ac:dyDescent="0.25">
      <c r="A233" s="19" t="s">
        <v>550</v>
      </c>
      <c r="B233" s="8">
        <v>45418</v>
      </c>
      <c r="C233" s="8">
        <v>45424</v>
      </c>
      <c r="D233" t="s">
        <v>29</v>
      </c>
      <c r="E233" t="s">
        <v>30</v>
      </c>
      <c r="F233" s="49">
        <f t="shared" ca="1" si="3"/>
        <v>5</v>
      </c>
      <c r="G233" s="16" t="s">
        <v>51</v>
      </c>
      <c r="H233" t="s">
        <v>434</v>
      </c>
      <c r="I233" t="s">
        <v>193</v>
      </c>
      <c r="J233" s="14" t="s">
        <v>40</v>
      </c>
      <c r="K233" t="s">
        <v>119</v>
      </c>
      <c r="L233" t="s">
        <v>120</v>
      </c>
      <c r="M233" t="str">
        <f>VLOOKUP(Incidents[[#This Row],[Ticket ID]],[1]Incidents!$A$2:$D$792,4,FALSE)</f>
        <v>2 - High</v>
      </c>
      <c r="N233">
        <f>VLOOKUP(Incidents[[#This Row],[Priority]],'SLA Config'!$B$3:$C$6,2,FALSE)</f>
        <v>5</v>
      </c>
      <c r="O233" t="str">
        <f ca="1">IF(Incidents[[#This Row],[Age (days)]]&gt;Incidents[[#This Row],[SLA Threshold]],"NO","Yes")</f>
        <v>Yes</v>
      </c>
    </row>
    <row r="234" spans="1:15" x14ac:dyDescent="0.25">
      <c r="A234" s="19" t="s">
        <v>551</v>
      </c>
      <c r="B234" s="8">
        <v>45446</v>
      </c>
      <c r="C234" s="8">
        <v>45452</v>
      </c>
      <c r="D234" t="s">
        <v>29</v>
      </c>
      <c r="E234" s="17" t="s">
        <v>38</v>
      </c>
      <c r="F234" s="49">
        <f t="shared" ca="1" si="3"/>
        <v>5</v>
      </c>
      <c r="G234" s="16" t="s">
        <v>51</v>
      </c>
      <c r="H234" t="s">
        <v>552</v>
      </c>
      <c r="I234" t="s">
        <v>193</v>
      </c>
      <c r="J234" s="14" t="s">
        <v>40</v>
      </c>
      <c r="K234" t="s">
        <v>119</v>
      </c>
      <c r="L234" t="s">
        <v>120</v>
      </c>
      <c r="M234" t="str">
        <f>VLOOKUP(Incidents[[#This Row],[Ticket ID]],[1]Incidents!$A$2:$D$792,4,FALSE)</f>
        <v>2 - High</v>
      </c>
      <c r="N234">
        <f>VLOOKUP(Incidents[[#This Row],[Priority]],'SLA Config'!$B$3:$C$6,2,FALSE)</f>
        <v>5</v>
      </c>
      <c r="O234" t="str">
        <f ca="1">IF(Incidents[[#This Row],[Age (days)]]&gt;Incidents[[#This Row],[SLA Threshold]],"NO","Yes")</f>
        <v>Yes</v>
      </c>
    </row>
    <row r="235" spans="1:15" x14ac:dyDescent="0.25">
      <c r="A235" s="28" t="s">
        <v>553</v>
      </c>
      <c r="B235" s="29">
        <v>45617</v>
      </c>
      <c r="C235" s="29">
        <v>45623</v>
      </c>
      <c r="D235" s="28" t="s">
        <v>29</v>
      </c>
      <c r="E235" s="28" t="s">
        <v>46</v>
      </c>
      <c r="F235" s="49">
        <f t="shared" ca="1" si="3"/>
        <v>5</v>
      </c>
      <c r="G235" s="28" t="s">
        <v>31</v>
      </c>
      <c r="H235" s="28" t="s">
        <v>554</v>
      </c>
      <c r="I235" t="s">
        <v>193</v>
      </c>
      <c r="J235" s="14" t="s">
        <v>34</v>
      </c>
      <c r="K235" s="28" t="s">
        <v>44</v>
      </c>
      <c r="L235" t="s">
        <v>427</v>
      </c>
      <c r="M235" t="str">
        <f>VLOOKUP(Incidents[[#This Row],[Ticket ID]],[1]Incidents!$A$2:$D$792,4,FALSE)</f>
        <v>2 - High</v>
      </c>
      <c r="N235">
        <f>VLOOKUP(Incidents[[#This Row],[Priority]],'SLA Config'!$B$3:$C$6,2,FALSE)</f>
        <v>5</v>
      </c>
      <c r="O235" t="str">
        <f ca="1">IF(Incidents[[#This Row],[Age (days)]]&gt;Incidents[[#This Row],[SLA Threshold]],"NO","Yes")</f>
        <v>Yes</v>
      </c>
    </row>
    <row r="236" spans="1:15" x14ac:dyDescent="0.25">
      <c r="A236" s="28" t="s">
        <v>555</v>
      </c>
      <c r="B236" s="29">
        <v>45628</v>
      </c>
      <c r="C236" s="29">
        <v>45633</v>
      </c>
      <c r="D236" s="28" t="s">
        <v>29</v>
      </c>
      <c r="E236" s="28" t="s">
        <v>532</v>
      </c>
      <c r="F236" s="49">
        <f t="shared" ca="1" si="3"/>
        <v>5</v>
      </c>
      <c r="G236" s="28" t="s">
        <v>51</v>
      </c>
      <c r="H236" s="28" t="s">
        <v>556</v>
      </c>
      <c r="I236" t="s">
        <v>193</v>
      </c>
      <c r="J236" s="14" t="s">
        <v>118</v>
      </c>
      <c r="K236" s="28" t="s">
        <v>119</v>
      </c>
      <c r="L236" t="s">
        <v>120</v>
      </c>
      <c r="M236" t="str">
        <f>VLOOKUP(Incidents[[#This Row],[Ticket ID]],[1]Incidents!$A$2:$D$792,4,FALSE)</f>
        <v>2 - High</v>
      </c>
      <c r="N236">
        <f>VLOOKUP(Incidents[[#This Row],[Priority]],'SLA Config'!$B$3:$C$6,2,FALSE)</f>
        <v>5</v>
      </c>
      <c r="O236" t="str">
        <f ca="1">IF(Incidents[[#This Row],[Age (days)]]&gt;Incidents[[#This Row],[SLA Threshold]],"NO","Yes")</f>
        <v>Yes</v>
      </c>
    </row>
    <row r="237" spans="1:15" x14ac:dyDescent="0.25">
      <c r="A237" s="28" t="s">
        <v>557</v>
      </c>
      <c r="B237" s="29">
        <v>45664</v>
      </c>
      <c r="C237" s="29">
        <v>45670</v>
      </c>
      <c r="D237" s="28" t="s">
        <v>29</v>
      </c>
      <c r="E237" s="28" t="s">
        <v>30</v>
      </c>
      <c r="F237" s="49">
        <f t="shared" ca="1" si="3"/>
        <v>5</v>
      </c>
      <c r="G237" s="28" t="s">
        <v>31</v>
      </c>
      <c r="H237" s="28" t="s">
        <v>558</v>
      </c>
      <c r="I237" t="s">
        <v>193</v>
      </c>
      <c r="J237" s="14" t="s">
        <v>34</v>
      </c>
      <c r="K237" s="28" t="s">
        <v>90</v>
      </c>
      <c r="L237" t="s">
        <v>36</v>
      </c>
      <c r="M237" t="str">
        <f>VLOOKUP(Incidents[[#This Row],[Ticket ID]],[1]Incidents!$A$2:$D$792,4,FALSE)</f>
        <v>3 - Medium</v>
      </c>
      <c r="N237">
        <f>VLOOKUP(Incidents[[#This Row],[Priority]],'SLA Config'!$B$3:$C$6,2,FALSE)</f>
        <v>15</v>
      </c>
      <c r="O237" t="str">
        <f ca="1">IF(Incidents[[#This Row],[Age (days)]]&gt;Incidents[[#This Row],[SLA Threshold]],"NO","Yes")</f>
        <v>Yes</v>
      </c>
    </row>
    <row r="238" spans="1:15" x14ac:dyDescent="0.25">
      <c r="A238" s="28" t="s">
        <v>559</v>
      </c>
      <c r="B238" s="29">
        <v>45693</v>
      </c>
      <c r="C238" s="29">
        <v>45699</v>
      </c>
      <c r="D238" s="28" t="s">
        <v>29</v>
      </c>
      <c r="E238" s="28" t="s">
        <v>30</v>
      </c>
      <c r="F238" s="49">
        <f t="shared" ca="1" si="3"/>
        <v>5</v>
      </c>
      <c r="G238" s="28" t="s">
        <v>31</v>
      </c>
      <c r="H238" s="28" t="s">
        <v>560</v>
      </c>
      <c r="I238" t="s">
        <v>193</v>
      </c>
      <c r="J238" s="14" t="s">
        <v>40</v>
      </c>
      <c r="K238" s="28" t="s">
        <v>215</v>
      </c>
      <c r="L238" t="s">
        <v>120</v>
      </c>
      <c r="M238" t="str">
        <f>VLOOKUP(Incidents[[#This Row],[Ticket ID]],[1]Incidents!$A$2:$D$792,4,FALSE)</f>
        <v>2 - High</v>
      </c>
      <c r="N238">
        <f>VLOOKUP(Incidents[[#This Row],[Priority]],'SLA Config'!$B$3:$C$6,2,FALSE)</f>
        <v>5</v>
      </c>
      <c r="O238" t="str">
        <f ca="1">IF(Incidents[[#This Row],[Age (days)]]&gt;Incidents[[#This Row],[SLA Threshold]],"NO","Yes")</f>
        <v>Yes</v>
      </c>
    </row>
    <row r="239" spans="1:15" x14ac:dyDescent="0.25">
      <c r="A239" t="s">
        <v>561</v>
      </c>
      <c r="B239" s="1">
        <v>44853</v>
      </c>
      <c r="C239" s="1">
        <v>44858</v>
      </c>
      <c r="D239" t="s">
        <v>29</v>
      </c>
      <c r="E239" t="s">
        <v>54</v>
      </c>
      <c r="F239" s="49">
        <f t="shared" ca="1" si="3"/>
        <v>4</v>
      </c>
      <c r="G239" s="16" t="s">
        <v>31</v>
      </c>
      <c r="H239" s="11" t="s">
        <v>562</v>
      </c>
      <c r="I239" t="s">
        <v>193</v>
      </c>
      <c r="J239" s="14" t="s">
        <v>40</v>
      </c>
      <c r="K239" t="s">
        <v>44</v>
      </c>
      <c r="L239" t="s">
        <v>36</v>
      </c>
      <c r="M239" t="str">
        <f>VLOOKUP(Incidents[[#This Row],[Ticket ID]],[1]Incidents!$A$2:$D$792,4,FALSE)</f>
        <v>3 - Medium</v>
      </c>
      <c r="N239">
        <f>VLOOKUP(Incidents[[#This Row],[Priority]],'SLA Config'!$B$3:$C$6,2,FALSE)</f>
        <v>15</v>
      </c>
      <c r="O239" t="str">
        <f ca="1">IF(Incidents[[#This Row],[Age (days)]]&gt;Incidents[[#This Row],[SLA Threshold]],"NO","Yes")</f>
        <v>Yes</v>
      </c>
    </row>
    <row r="240" spans="1:15" ht="30" x14ac:dyDescent="0.25">
      <c r="A240" s="19" t="s">
        <v>563</v>
      </c>
      <c r="B240" s="1">
        <v>44943</v>
      </c>
      <c r="C240" s="1">
        <v>44948</v>
      </c>
      <c r="D240" t="s">
        <v>29</v>
      </c>
      <c r="E240" t="s">
        <v>54</v>
      </c>
      <c r="F240" s="49">
        <f t="shared" ca="1" si="3"/>
        <v>4</v>
      </c>
      <c r="G240" s="16" t="s">
        <v>31</v>
      </c>
      <c r="H240" s="11" t="s">
        <v>564</v>
      </c>
      <c r="I240" t="s">
        <v>193</v>
      </c>
      <c r="J240" s="14" t="s">
        <v>40</v>
      </c>
      <c r="K240" t="s">
        <v>255</v>
      </c>
      <c r="L240" t="s">
        <v>120</v>
      </c>
      <c r="M240" t="str">
        <f>VLOOKUP(Incidents[[#This Row],[Ticket ID]],[1]Incidents!$A$2:$D$792,4,FALSE)</f>
        <v>4 - Low</v>
      </c>
      <c r="N240">
        <f>VLOOKUP(Incidents[[#This Row],[Priority]],'SLA Config'!$B$3:$C$6,2,FALSE)</f>
        <v>25</v>
      </c>
      <c r="O240" t="str">
        <f ca="1">IF(Incidents[[#This Row],[Age (days)]]&gt;Incidents[[#This Row],[SLA Threshold]],"NO","Yes")</f>
        <v>Yes</v>
      </c>
    </row>
    <row r="241" spans="1:15" x14ac:dyDescent="0.25">
      <c r="A241" s="2" t="s">
        <v>565</v>
      </c>
      <c r="B241" s="1">
        <v>45366</v>
      </c>
      <c r="C241" s="8">
        <v>45371</v>
      </c>
      <c r="D241" t="s">
        <v>29</v>
      </c>
      <c r="E241" t="s">
        <v>104</v>
      </c>
      <c r="F241" s="49">
        <f t="shared" ca="1" si="3"/>
        <v>4</v>
      </c>
      <c r="G241" s="16" t="s">
        <v>51</v>
      </c>
      <c r="H241" t="s">
        <v>566</v>
      </c>
      <c r="I241" t="s">
        <v>193</v>
      </c>
      <c r="J241" s="14" t="s">
        <v>40</v>
      </c>
      <c r="K241" t="s">
        <v>119</v>
      </c>
      <c r="L241" t="s">
        <v>120</v>
      </c>
      <c r="M241" t="str">
        <f>VLOOKUP(Incidents[[#This Row],[Ticket ID]],[1]Incidents!$A$2:$D$792,4,FALSE)</f>
        <v>2 - High</v>
      </c>
      <c r="N241">
        <f>VLOOKUP(Incidents[[#This Row],[Priority]],'SLA Config'!$B$3:$C$6,2,FALSE)</f>
        <v>5</v>
      </c>
      <c r="O241" t="str">
        <f ca="1">IF(Incidents[[#This Row],[Age (days)]]&gt;Incidents[[#This Row],[SLA Threshold]],"NO","Yes")</f>
        <v>Yes</v>
      </c>
    </row>
    <row r="242" spans="1:15" ht="15.75" x14ac:dyDescent="0.25">
      <c r="A242" s="2" t="s">
        <v>567</v>
      </c>
      <c r="B242" s="31">
        <v>45714</v>
      </c>
      <c r="C242" s="8">
        <v>45726</v>
      </c>
      <c r="D242" s="28" t="s">
        <v>29</v>
      </c>
      <c r="E242" t="s">
        <v>30</v>
      </c>
      <c r="F242" s="49">
        <f t="shared" ca="1" si="3"/>
        <v>9</v>
      </c>
      <c r="G242" s="16" t="s">
        <v>31</v>
      </c>
      <c r="H242" s="11" t="s">
        <v>568</v>
      </c>
      <c r="I242" t="s">
        <v>193</v>
      </c>
      <c r="J242" s="14"/>
      <c r="K242" t="s">
        <v>201</v>
      </c>
      <c r="L242" t="s">
        <v>120</v>
      </c>
      <c r="M242" t="str">
        <f>VLOOKUP(Incidents[[#This Row],[Ticket ID]],[1]Incidents!$A$2:$D$792,4,FALSE)</f>
        <v>2 - High</v>
      </c>
      <c r="N242">
        <f>VLOOKUP(Incidents[[#This Row],[Priority]],'SLA Config'!$B$3:$C$6,2,FALSE)</f>
        <v>5</v>
      </c>
      <c r="O242" t="str">
        <f ca="1">IF(Incidents[[#This Row],[Age (days)]]&gt;Incidents[[#This Row],[SLA Threshold]],"NO","Yes")</f>
        <v>NO</v>
      </c>
    </row>
    <row r="243" spans="1:15" x14ac:dyDescent="0.25">
      <c r="A243" s="28" t="s">
        <v>569</v>
      </c>
      <c r="B243" s="29">
        <v>45693</v>
      </c>
      <c r="C243" s="8">
        <v>45724</v>
      </c>
      <c r="D243" s="28" t="s">
        <v>29</v>
      </c>
      <c r="E243" s="28" t="s">
        <v>38</v>
      </c>
      <c r="F243" s="49">
        <f t="shared" ca="1" si="3"/>
        <v>23</v>
      </c>
      <c r="G243" s="28" t="s">
        <v>51</v>
      </c>
      <c r="H243" s="28" t="s">
        <v>299</v>
      </c>
      <c r="I243" t="s">
        <v>193</v>
      </c>
      <c r="J243" s="14"/>
      <c r="K243" s="28" t="s">
        <v>119</v>
      </c>
      <c r="L243" t="s">
        <v>120</v>
      </c>
      <c r="M243" t="str">
        <f>VLOOKUP(Incidents[[#This Row],[Ticket ID]],[1]Incidents!$A$2:$D$792,4,FALSE)</f>
        <v>2 - High</v>
      </c>
      <c r="N243">
        <f>VLOOKUP(Incidents[[#This Row],[Priority]],'SLA Config'!$B$3:$C$6,2,FALSE)</f>
        <v>5</v>
      </c>
      <c r="O243" t="str">
        <f ca="1">IF(Incidents[[#This Row],[Age (days)]]&gt;Incidents[[#This Row],[SLA Threshold]],"NO","Yes")</f>
        <v>NO</v>
      </c>
    </row>
    <row r="244" spans="1:15" x14ac:dyDescent="0.25">
      <c r="A244" s="28" t="s">
        <v>570</v>
      </c>
      <c r="B244" s="29">
        <v>45705</v>
      </c>
      <c r="C244" s="29">
        <v>45719</v>
      </c>
      <c r="D244" s="28" t="s">
        <v>29</v>
      </c>
      <c r="E244" s="28" t="s">
        <v>38</v>
      </c>
      <c r="F244" s="49">
        <f t="shared" ca="1" si="3"/>
        <v>11</v>
      </c>
      <c r="G244" s="28" t="s">
        <v>51</v>
      </c>
      <c r="H244" s="28" t="s">
        <v>571</v>
      </c>
      <c r="I244" t="s">
        <v>193</v>
      </c>
      <c r="J244" s="14"/>
      <c r="K244" s="28" t="s">
        <v>572</v>
      </c>
      <c r="M244" t="str">
        <f>VLOOKUP(Incidents[[#This Row],[Ticket ID]],[1]Incidents!$A$2:$D$792,4,FALSE)</f>
        <v>4 - Low</v>
      </c>
      <c r="N244">
        <f>VLOOKUP(Incidents[[#This Row],[Priority]],'SLA Config'!$B$3:$C$6,2,FALSE)</f>
        <v>25</v>
      </c>
      <c r="O244" t="str">
        <f ca="1">IF(Incidents[[#This Row],[Age (days)]]&gt;Incidents[[#This Row],[SLA Threshold]],"NO","Yes")</f>
        <v>Yes</v>
      </c>
    </row>
    <row r="245" spans="1:15" x14ac:dyDescent="0.25">
      <c r="A245" s="28" t="s">
        <v>573</v>
      </c>
      <c r="B245" s="29">
        <v>45695</v>
      </c>
      <c r="C245" s="29">
        <v>45717</v>
      </c>
      <c r="D245" s="28" t="s">
        <v>29</v>
      </c>
      <c r="E245" s="28" t="s">
        <v>30</v>
      </c>
      <c r="F245" s="49">
        <f t="shared" ca="1" si="3"/>
        <v>16</v>
      </c>
      <c r="G245" s="28" t="s">
        <v>31</v>
      </c>
      <c r="H245" s="28" t="s">
        <v>574</v>
      </c>
      <c r="I245" t="s">
        <v>193</v>
      </c>
      <c r="J245" s="14"/>
      <c r="K245" s="28" t="s">
        <v>575</v>
      </c>
      <c r="L245" t="s">
        <v>71</v>
      </c>
      <c r="M245" t="str">
        <f>VLOOKUP(Incidents[[#This Row],[Ticket ID]],[1]Incidents!$A$2:$D$792,4,FALSE)</f>
        <v>4 - Low</v>
      </c>
      <c r="N245">
        <f>VLOOKUP(Incidents[[#This Row],[Priority]],'SLA Config'!$B$3:$C$6,2,FALSE)</f>
        <v>25</v>
      </c>
      <c r="O245" t="str">
        <f ca="1">IF(Incidents[[#This Row],[Age (days)]]&gt;Incidents[[#This Row],[SLA Threshold]],"NO","Yes")</f>
        <v>Yes</v>
      </c>
    </row>
    <row r="246" spans="1:15" x14ac:dyDescent="0.25">
      <c r="A246" s="28" t="s">
        <v>576</v>
      </c>
      <c r="B246" s="29">
        <v>45701</v>
      </c>
      <c r="C246" s="29">
        <v>45717</v>
      </c>
      <c r="D246" s="28" t="s">
        <v>29</v>
      </c>
      <c r="E246" s="28" t="s">
        <v>46</v>
      </c>
      <c r="F246" s="49">
        <f t="shared" ca="1" si="3"/>
        <v>12</v>
      </c>
      <c r="G246" s="28" t="s">
        <v>31</v>
      </c>
      <c r="H246" s="28" t="s">
        <v>577</v>
      </c>
      <c r="I246" t="s">
        <v>193</v>
      </c>
      <c r="J246" s="14"/>
      <c r="K246" s="28" t="s">
        <v>398</v>
      </c>
      <c r="L246" t="s">
        <v>71</v>
      </c>
      <c r="M246" t="str">
        <f>VLOOKUP(Incidents[[#This Row],[Ticket ID]],[1]Incidents!$A$2:$D$792,4,FALSE)</f>
        <v>4 - Low</v>
      </c>
      <c r="N246">
        <f>VLOOKUP(Incidents[[#This Row],[Priority]],'SLA Config'!$B$3:$C$6,2,FALSE)</f>
        <v>25</v>
      </c>
      <c r="O246" t="str">
        <f ca="1">IF(Incidents[[#This Row],[Age (days)]]&gt;Incidents[[#This Row],[SLA Threshold]],"NO","Yes")</f>
        <v>Yes</v>
      </c>
    </row>
    <row r="247" spans="1:15" x14ac:dyDescent="0.25">
      <c r="A247" t="s">
        <v>578</v>
      </c>
      <c r="B247" s="1">
        <v>44700</v>
      </c>
      <c r="C247" s="1">
        <v>44808</v>
      </c>
      <c r="D247" t="s">
        <v>29</v>
      </c>
      <c r="E247" t="s">
        <v>38</v>
      </c>
      <c r="F247" s="49">
        <f t="shared" ca="1" si="3"/>
        <v>77</v>
      </c>
      <c r="G247" s="16" t="s">
        <v>51</v>
      </c>
      <c r="H247" s="11" t="s">
        <v>579</v>
      </c>
      <c r="I247" t="s">
        <v>580</v>
      </c>
      <c r="J247" s="14" t="s">
        <v>581</v>
      </c>
      <c r="K247" t="s">
        <v>41</v>
      </c>
      <c r="L247" t="s">
        <v>36</v>
      </c>
      <c r="M247" t="str">
        <f>VLOOKUP(Incidents[[#This Row],[Ticket ID]],[1]Incidents!$A$2:$D$792,4,FALSE)</f>
        <v>4 - Low</v>
      </c>
      <c r="N247">
        <f>VLOOKUP(Incidents[[#This Row],[Priority]],'SLA Config'!$B$3:$C$6,2,FALSE)</f>
        <v>25</v>
      </c>
      <c r="O247" t="str">
        <f ca="1">IF(Incidents[[#This Row],[Age (days)]]&gt;Incidents[[#This Row],[SLA Threshold]],"NO","Yes")</f>
        <v>NO</v>
      </c>
    </row>
    <row r="248" spans="1:15" x14ac:dyDescent="0.25">
      <c r="A248" s="19" t="s">
        <v>582</v>
      </c>
      <c r="B248" s="8">
        <v>45588</v>
      </c>
      <c r="C248" s="29">
        <v>45634</v>
      </c>
      <c r="D248" t="s">
        <v>29</v>
      </c>
      <c r="E248" t="s">
        <v>46</v>
      </c>
      <c r="F248" s="49">
        <f t="shared" ca="1" si="3"/>
        <v>33</v>
      </c>
      <c r="G248" s="16" t="s">
        <v>31</v>
      </c>
      <c r="H248" t="s">
        <v>583</v>
      </c>
      <c r="I248" t="s">
        <v>394</v>
      </c>
      <c r="J248" s="14" t="s">
        <v>584</v>
      </c>
      <c r="K248" t="s">
        <v>398</v>
      </c>
      <c r="L248" t="s">
        <v>71</v>
      </c>
      <c r="M248" t="str">
        <f>VLOOKUP(Incidents[[#This Row],[Ticket ID]],[1]Incidents!$A$2:$D$792,4,FALSE)</f>
        <v>4 - Low</v>
      </c>
      <c r="N248">
        <f>VLOOKUP(Incidents[[#This Row],[Priority]],'SLA Config'!$B$3:$C$6,2,FALSE)</f>
        <v>25</v>
      </c>
      <c r="O248" t="str">
        <f ca="1">IF(Incidents[[#This Row],[Age (days)]]&gt;Incidents[[#This Row],[SLA Threshold]],"NO","Yes")</f>
        <v>NO</v>
      </c>
    </row>
    <row r="249" spans="1:15" x14ac:dyDescent="0.25">
      <c r="A249" s="28" t="s">
        <v>585</v>
      </c>
      <c r="B249" s="29">
        <v>45686</v>
      </c>
      <c r="C249" s="29">
        <v>45693</v>
      </c>
      <c r="D249" s="28" t="s">
        <v>29</v>
      </c>
      <c r="E249" s="28" t="s">
        <v>30</v>
      </c>
      <c r="F249" s="49">
        <f t="shared" ca="1" si="3"/>
        <v>6</v>
      </c>
      <c r="G249" s="28" t="s">
        <v>31</v>
      </c>
      <c r="H249" s="28" t="s">
        <v>586</v>
      </c>
      <c r="I249" t="s">
        <v>394</v>
      </c>
      <c r="J249" s="14" t="s">
        <v>34</v>
      </c>
      <c r="K249" s="28" t="s">
        <v>90</v>
      </c>
      <c r="L249" t="s">
        <v>36</v>
      </c>
      <c r="M249" t="str">
        <f>VLOOKUP(Incidents[[#This Row],[Ticket ID]],[1]Incidents!$A$2:$D$792,4,FALSE)</f>
        <v>2 - High</v>
      </c>
      <c r="N249">
        <f>VLOOKUP(Incidents[[#This Row],[Priority]],'SLA Config'!$B$3:$C$6,2,FALSE)</f>
        <v>5</v>
      </c>
      <c r="O249" t="str">
        <f ca="1">IF(Incidents[[#This Row],[Age (days)]]&gt;Incidents[[#This Row],[SLA Threshold]],"NO","Yes")</f>
        <v>NO</v>
      </c>
    </row>
    <row r="250" spans="1:15" x14ac:dyDescent="0.25">
      <c r="A250" s="28" t="s">
        <v>587</v>
      </c>
      <c r="B250" s="29">
        <v>45660</v>
      </c>
      <c r="C250" s="8">
        <v>45747</v>
      </c>
      <c r="D250" s="28" t="s">
        <v>29</v>
      </c>
      <c r="E250" s="28" t="s">
        <v>30</v>
      </c>
      <c r="F250" s="49">
        <f t="shared" ca="1" si="3"/>
        <v>62</v>
      </c>
      <c r="G250" s="28" t="s">
        <v>31</v>
      </c>
      <c r="H250" s="28" t="s">
        <v>588</v>
      </c>
      <c r="I250" t="s">
        <v>589</v>
      </c>
      <c r="J250" s="14"/>
      <c r="K250" s="28" t="s">
        <v>480</v>
      </c>
      <c r="L250" t="s">
        <v>120</v>
      </c>
      <c r="M250" t="str">
        <f>VLOOKUP(Incidents[[#This Row],[Ticket ID]],[1]Incidents!$A$2:$D$792,4,FALSE)</f>
        <v>3 - Medium</v>
      </c>
      <c r="N250">
        <f>VLOOKUP(Incidents[[#This Row],[Priority]],'SLA Config'!$B$3:$C$6,2,FALSE)</f>
        <v>15</v>
      </c>
      <c r="O250" t="str">
        <f ca="1">IF(Incidents[[#This Row],[Age (days)]]&gt;Incidents[[#This Row],[SLA Threshold]],"NO","Yes")</f>
        <v>NO</v>
      </c>
    </row>
    <row r="251" spans="1:15" x14ac:dyDescent="0.25">
      <c r="A251" s="2" t="s">
        <v>590</v>
      </c>
      <c r="B251" s="1">
        <v>45194</v>
      </c>
      <c r="C251" s="8">
        <v>45256</v>
      </c>
      <c r="D251" t="s">
        <v>29</v>
      </c>
      <c r="E251" t="s">
        <v>324</v>
      </c>
      <c r="F251" s="49">
        <f t="shared" ca="1" si="3"/>
        <v>45</v>
      </c>
      <c r="G251" s="16" t="s">
        <v>31</v>
      </c>
      <c r="H251" s="11" t="s">
        <v>591</v>
      </c>
      <c r="I251" t="s">
        <v>589</v>
      </c>
      <c r="J251" s="14" t="s">
        <v>592</v>
      </c>
      <c r="K251" t="s">
        <v>207</v>
      </c>
      <c r="L251" t="s">
        <v>71</v>
      </c>
      <c r="M251" t="str">
        <f>VLOOKUP(Incidents[[#This Row],[Ticket ID]],[1]Incidents!$A$2:$D$792,4,FALSE)</f>
        <v>4 - Low</v>
      </c>
      <c r="N251">
        <f>VLOOKUP(Incidents[[#This Row],[Priority]],'SLA Config'!$B$3:$C$6,2,FALSE)</f>
        <v>25</v>
      </c>
      <c r="O251" t="str">
        <f ca="1">IF(Incidents[[#This Row],[Age (days)]]&gt;Incidents[[#This Row],[SLA Threshold]],"NO","Yes")</f>
        <v>NO</v>
      </c>
    </row>
    <row r="252" spans="1:15" x14ac:dyDescent="0.25">
      <c r="A252" t="s">
        <v>593</v>
      </c>
      <c r="B252" s="1">
        <v>44728</v>
      </c>
      <c r="C252" s="1">
        <v>44754</v>
      </c>
      <c r="D252" t="s">
        <v>29</v>
      </c>
      <c r="E252" t="s">
        <v>38</v>
      </c>
      <c r="F252" s="49">
        <f t="shared" ca="1" si="3"/>
        <v>19</v>
      </c>
      <c r="G252" s="16" t="s">
        <v>31</v>
      </c>
      <c r="H252" s="11" t="s">
        <v>594</v>
      </c>
      <c r="I252" t="s">
        <v>589</v>
      </c>
      <c r="J252" s="14" t="s">
        <v>397</v>
      </c>
      <c r="K252" t="s">
        <v>41</v>
      </c>
      <c r="L252" t="s">
        <v>427</v>
      </c>
      <c r="M252" t="str">
        <f>VLOOKUP(Incidents[[#This Row],[Ticket ID]],[1]Incidents!$A$2:$D$792,4,FALSE)</f>
        <v>4 - Low</v>
      </c>
      <c r="N252">
        <f>VLOOKUP(Incidents[[#This Row],[Priority]],'SLA Config'!$B$3:$C$6,2,FALSE)</f>
        <v>25</v>
      </c>
      <c r="O252" t="str">
        <f ca="1">IF(Incidents[[#This Row],[Age (days)]]&gt;Incidents[[#This Row],[SLA Threshold]],"NO","Yes")</f>
        <v>Yes</v>
      </c>
    </row>
    <row r="253" spans="1:15" x14ac:dyDescent="0.25">
      <c r="A253" s="28" t="s">
        <v>595</v>
      </c>
      <c r="B253" s="29">
        <v>45674</v>
      </c>
      <c r="C253" s="29">
        <v>45698</v>
      </c>
      <c r="D253" s="28" t="s">
        <v>29</v>
      </c>
      <c r="E253" s="28" t="s">
        <v>30</v>
      </c>
      <c r="F253" s="49">
        <f t="shared" ca="1" si="3"/>
        <v>17</v>
      </c>
      <c r="G253" s="28" t="s">
        <v>31</v>
      </c>
      <c r="H253" s="28" t="s">
        <v>596</v>
      </c>
      <c r="I253" t="s">
        <v>589</v>
      </c>
      <c r="J253" s="14" t="s">
        <v>40</v>
      </c>
      <c r="K253" s="28" t="s">
        <v>215</v>
      </c>
      <c r="L253" t="s">
        <v>120</v>
      </c>
      <c r="M253" t="str">
        <f>VLOOKUP(Incidents[[#This Row],[Ticket ID]],[1]Incidents!$A$2:$D$792,4,FALSE)</f>
        <v>2 - High</v>
      </c>
      <c r="N253">
        <f>VLOOKUP(Incidents[[#This Row],[Priority]],'SLA Config'!$B$3:$C$6,2,FALSE)</f>
        <v>5</v>
      </c>
      <c r="O253" t="str">
        <f ca="1">IF(Incidents[[#This Row],[Age (days)]]&gt;Incidents[[#This Row],[SLA Threshold]],"NO","Yes")</f>
        <v>NO</v>
      </c>
    </row>
    <row r="254" spans="1:15" x14ac:dyDescent="0.25">
      <c r="A254" s="28" t="s">
        <v>597</v>
      </c>
      <c r="B254" s="29">
        <v>45671</v>
      </c>
      <c r="C254" s="29">
        <v>45692</v>
      </c>
      <c r="D254" s="28" t="s">
        <v>29</v>
      </c>
      <c r="E254" s="28" t="s">
        <v>532</v>
      </c>
      <c r="F254" s="49">
        <f t="shared" ca="1" si="3"/>
        <v>16</v>
      </c>
      <c r="G254" s="28" t="s">
        <v>31</v>
      </c>
      <c r="H254" s="28" t="s">
        <v>598</v>
      </c>
      <c r="I254" t="s">
        <v>589</v>
      </c>
      <c r="J254" s="14" t="s">
        <v>40</v>
      </c>
      <c r="K254" s="28" t="s">
        <v>599</v>
      </c>
      <c r="M254" t="str">
        <f>VLOOKUP(Incidents[[#This Row],[Ticket ID]],[1]Incidents!$A$2:$D$792,4,FALSE)</f>
        <v>4 - Low</v>
      </c>
      <c r="N254">
        <f>VLOOKUP(Incidents[[#This Row],[Priority]],'SLA Config'!$B$3:$C$6,2,FALSE)</f>
        <v>25</v>
      </c>
      <c r="O254" t="str">
        <f ca="1">IF(Incidents[[#This Row],[Age (days)]]&gt;Incidents[[#This Row],[SLA Threshold]],"NO","Yes")</f>
        <v>Yes</v>
      </c>
    </row>
    <row r="255" spans="1:15" x14ac:dyDescent="0.25">
      <c r="A255" s="28" t="s">
        <v>600</v>
      </c>
      <c r="B255" s="29">
        <v>45667</v>
      </c>
      <c r="C255" s="29">
        <v>45686</v>
      </c>
      <c r="D255" s="28" t="s">
        <v>29</v>
      </c>
      <c r="E255" s="28" t="s">
        <v>30</v>
      </c>
      <c r="F255" s="49">
        <f t="shared" ca="1" si="3"/>
        <v>14</v>
      </c>
      <c r="G255" s="28" t="s">
        <v>486</v>
      </c>
      <c r="H255" s="28" t="s">
        <v>601</v>
      </c>
      <c r="I255" t="s">
        <v>589</v>
      </c>
      <c r="J255" s="14"/>
      <c r="K255" s="28" t="s">
        <v>602</v>
      </c>
      <c r="M255" t="str">
        <f>VLOOKUP(Incidents[[#This Row],[Ticket ID]],[1]Incidents!$A$2:$D$792,4,FALSE)</f>
        <v>2 - High</v>
      </c>
      <c r="N255">
        <f>VLOOKUP(Incidents[[#This Row],[Priority]],'SLA Config'!$B$3:$C$6,2,FALSE)</f>
        <v>5</v>
      </c>
      <c r="O255" t="str">
        <f ca="1">IF(Incidents[[#This Row],[Age (days)]]&gt;Incidents[[#This Row],[SLA Threshold]],"NO","Yes")</f>
        <v>NO</v>
      </c>
    </row>
    <row r="256" spans="1:15" x14ac:dyDescent="0.25">
      <c r="A256" t="s">
        <v>603</v>
      </c>
      <c r="B256" s="1">
        <v>45503</v>
      </c>
      <c r="C256" s="8">
        <v>45517</v>
      </c>
      <c r="D256" t="s">
        <v>29</v>
      </c>
      <c r="E256" t="s">
        <v>30</v>
      </c>
      <c r="F256" s="49">
        <f t="shared" ca="1" si="3"/>
        <v>11</v>
      </c>
      <c r="G256" t="s">
        <v>31</v>
      </c>
      <c r="H256" t="s">
        <v>604</v>
      </c>
      <c r="I256" t="s">
        <v>589</v>
      </c>
      <c r="J256" s="14" t="s">
        <v>40</v>
      </c>
      <c r="K256" t="s">
        <v>605</v>
      </c>
      <c r="L256" t="s">
        <v>71</v>
      </c>
      <c r="M256" t="str">
        <f>VLOOKUP(Incidents[[#This Row],[Ticket ID]],[1]Incidents!$A$2:$D$792,4,FALSE)</f>
        <v>4 - Low</v>
      </c>
      <c r="N256">
        <f>VLOOKUP(Incidents[[#This Row],[Priority]],'SLA Config'!$B$3:$C$6,2,FALSE)</f>
        <v>25</v>
      </c>
      <c r="O256" t="str">
        <f ca="1">IF(Incidents[[#This Row],[Age (days)]]&gt;Incidents[[#This Row],[SLA Threshold]],"NO","Yes")</f>
        <v>Yes</v>
      </c>
    </row>
    <row r="257" spans="1:15" x14ac:dyDescent="0.25">
      <c r="A257" s="28" t="s">
        <v>606</v>
      </c>
      <c r="B257" s="29">
        <v>45653</v>
      </c>
      <c r="C257" s="29">
        <v>45669</v>
      </c>
      <c r="D257" s="28" t="s">
        <v>29</v>
      </c>
      <c r="E257" s="28" t="s">
        <v>30</v>
      </c>
      <c r="F257" s="49">
        <f t="shared" ca="1" si="3"/>
        <v>11</v>
      </c>
      <c r="G257" s="28" t="s">
        <v>31</v>
      </c>
      <c r="H257" s="28" t="s">
        <v>607</v>
      </c>
      <c r="I257" t="s">
        <v>589</v>
      </c>
      <c r="J257" s="14"/>
      <c r="K257" s="28" t="s">
        <v>90</v>
      </c>
      <c r="L257" t="s">
        <v>36</v>
      </c>
      <c r="M257" t="str">
        <f>VLOOKUP(Incidents[[#This Row],[Ticket ID]],[1]Incidents!$A$2:$D$792,4,FALSE)</f>
        <v>4 - Low</v>
      </c>
      <c r="N257">
        <f>VLOOKUP(Incidents[[#This Row],[Priority]],'SLA Config'!$B$3:$C$6,2,FALSE)</f>
        <v>25</v>
      </c>
      <c r="O257" t="str">
        <f ca="1">IF(Incidents[[#This Row],[Age (days)]]&gt;Incidents[[#This Row],[SLA Threshold]],"NO","Yes")</f>
        <v>Yes</v>
      </c>
    </row>
    <row r="258" spans="1:15" x14ac:dyDescent="0.25">
      <c r="A258" s="19" t="s">
        <v>608</v>
      </c>
      <c r="B258" s="8">
        <v>45498</v>
      </c>
      <c r="C258" s="8">
        <v>45511</v>
      </c>
      <c r="D258" t="s">
        <v>29</v>
      </c>
      <c r="E258" t="s">
        <v>30</v>
      </c>
      <c r="F258" s="49">
        <f t="shared" ref="F258:F321" ca="1" si="4">IF(ISBLANK(C258), NETWORKDAYS(B258,TODAY()), NETWORKDAYS(B258,C258))</f>
        <v>10</v>
      </c>
      <c r="G258" s="16" t="s">
        <v>31</v>
      </c>
      <c r="H258" t="s">
        <v>609</v>
      </c>
      <c r="I258" t="s">
        <v>589</v>
      </c>
      <c r="J258" s="14" t="s">
        <v>40</v>
      </c>
      <c r="K258" t="s">
        <v>44</v>
      </c>
      <c r="L258" t="s">
        <v>36</v>
      </c>
      <c r="M258" t="str">
        <f>VLOOKUP(Incidents[[#This Row],[Ticket ID]],[1]Incidents!$A$2:$D$792,4,FALSE)</f>
        <v>3 - Medium</v>
      </c>
      <c r="N258">
        <f>VLOOKUP(Incidents[[#This Row],[Priority]],'SLA Config'!$B$3:$C$6,2,FALSE)</f>
        <v>15</v>
      </c>
      <c r="O258" t="str">
        <f ca="1">IF(Incidents[[#This Row],[Age (days)]]&gt;Incidents[[#This Row],[SLA Threshold]],"NO","Yes")</f>
        <v>Yes</v>
      </c>
    </row>
    <row r="259" spans="1:15" x14ac:dyDescent="0.25">
      <c r="A259" s="28" t="s">
        <v>610</v>
      </c>
      <c r="B259" s="29">
        <v>45607</v>
      </c>
      <c r="C259" s="29">
        <v>45619</v>
      </c>
      <c r="D259" s="28" t="s">
        <v>29</v>
      </c>
      <c r="E259" s="28" t="s">
        <v>532</v>
      </c>
      <c r="F259" s="49">
        <f t="shared" ca="1" si="4"/>
        <v>10</v>
      </c>
      <c r="G259" s="28" t="s">
        <v>611</v>
      </c>
      <c r="H259" s="28" t="s">
        <v>612</v>
      </c>
      <c r="I259" t="s">
        <v>589</v>
      </c>
      <c r="J259" s="14" t="s">
        <v>34</v>
      </c>
      <c r="K259" s="28" t="s">
        <v>605</v>
      </c>
      <c r="L259" t="s">
        <v>71</v>
      </c>
      <c r="M259" t="str">
        <f>VLOOKUP(Incidents[[#This Row],[Ticket ID]],[1]Incidents!$A$2:$D$792,4,FALSE)</f>
        <v>4 - Low</v>
      </c>
      <c r="N259">
        <f>VLOOKUP(Incidents[[#This Row],[Priority]],'SLA Config'!$B$3:$C$6,2,FALSE)</f>
        <v>25</v>
      </c>
      <c r="O259" t="str">
        <f ca="1">IF(Incidents[[#This Row],[Age (days)]]&gt;Incidents[[#This Row],[SLA Threshold]],"NO","Yes")</f>
        <v>Yes</v>
      </c>
    </row>
    <row r="260" spans="1:15" x14ac:dyDescent="0.25">
      <c r="A260" t="s">
        <v>613</v>
      </c>
      <c r="B260" s="1">
        <v>44679</v>
      </c>
      <c r="C260" s="1">
        <v>44691</v>
      </c>
      <c r="D260" t="s">
        <v>29</v>
      </c>
      <c r="E260" t="s">
        <v>38</v>
      </c>
      <c r="F260" s="49">
        <f t="shared" ca="1" si="4"/>
        <v>9</v>
      </c>
      <c r="G260" s="16" t="s">
        <v>31</v>
      </c>
      <c r="H260" s="11" t="s">
        <v>614</v>
      </c>
      <c r="I260" t="s">
        <v>589</v>
      </c>
      <c r="J260" s="14" t="s">
        <v>76</v>
      </c>
      <c r="K260" t="s">
        <v>44</v>
      </c>
      <c r="L260" t="s">
        <v>427</v>
      </c>
      <c r="M260" t="str">
        <f>VLOOKUP(Incidents[[#This Row],[Ticket ID]],[1]Incidents!$A$2:$D$792,4,FALSE)</f>
        <v>4 - Low</v>
      </c>
      <c r="N260">
        <f>VLOOKUP(Incidents[[#This Row],[Priority]],'SLA Config'!$B$3:$C$6,2,FALSE)</f>
        <v>25</v>
      </c>
      <c r="O260" t="str">
        <f ca="1">IF(Incidents[[#This Row],[Age (days)]]&gt;Incidents[[#This Row],[SLA Threshold]],"NO","Yes")</f>
        <v>Yes</v>
      </c>
    </row>
    <row r="261" spans="1:15" x14ac:dyDescent="0.25">
      <c r="A261" s="2" t="s">
        <v>615</v>
      </c>
      <c r="B261" s="1">
        <v>45209</v>
      </c>
      <c r="C261" s="8">
        <v>45221</v>
      </c>
      <c r="D261" t="s">
        <v>29</v>
      </c>
      <c r="E261" t="s">
        <v>30</v>
      </c>
      <c r="F261" s="49">
        <f t="shared" ca="1" si="4"/>
        <v>9</v>
      </c>
      <c r="G261" s="16" t="s">
        <v>31</v>
      </c>
      <c r="H261" s="11" t="s">
        <v>616</v>
      </c>
      <c r="I261" t="s">
        <v>589</v>
      </c>
      <c r="J261" s="14" t="s">
        <v>397</v>
      </c>
      <c r="K261" t="s">
        <v>462</v>
      </c>
      <c r="L261" t="s">
        <v>71</v>
      </c>
      <c r="M261" t="str">
        <f>VLOOKUP(Incidents[[#This Row],[Ticket ID]],[1]Incidents!$A$2:$D$792,4,FALSE)</f>
        <v>4 - Low</v>
      </c>
      <c r="N261">
        <f>VLOOKUP(Incidents[[#This Row],[Priority]],'SLA Config'!$B$3:$C$6,2,FALSE)</f>
        <v>25</v>
      </c>
      <c r="O261" t="str">
        <f ca="1">IF(Incidents[[#This Row],[Age (days)]]&gt;Incidents[[#This Row],[SLA Threshold]],"NO","Yes")</f>
        <v>Yes</v>
      </c>
    </row>
    <row r="262" spans="1:15" x14ac:dyDescent="0.25">
      <c r="A262" s="2" t="s">
        <v>617</v>
      </c>
      <c r="B262" s="1">
        <v>45545</v>
      </c>
      <c r="C262" s="8">
        <v>45556</v>
      </c>
      <c r="D262" t="s">
        <v>29</v>
      </c>
      <c r="E262" t="s">
        <v>104</v>
      </c>
      <c r="F262" s="49">
        <f t="shared" ca="1" si="4"/>
        <v>9</v>
      </c>
      <c r="G262" t="s">
        <v>31</v>
      </c>
      <c r="H262" t="s">
        <v>618</v>
      </c>
      <c r="I262" t="s">
        <v>589</v>
      </c>
      <c r="J262" s="14" t="s">
        <v>40</v>
      </c>
      <c r="K262" t="s">
        <v>605</v>
      </c>
      <c r="L262" t="s">
        <v>71</v>
      </c>
      <c r="M262" t="str">
        <f>VLOOKUP(Incidents[[#This Row],[Ticket ID]],[1]Incidents!$A$2:$D$792,4,FALSE)</f>
        <v>4 - Low</v>
      </c>
      <c r="N262">
        <f>VLOOKUP(Incidents[[#This Row],[Priority]],'SLA Config'!$B$3:$C$6,2,FALSE)</f>
        <v>25</v>
      </c>
      <c r="O262" t="str">
        <f ca="1">IF(Incidents[[#This Row],[Age (days)]]&gt;Incidents[[#This Row],[SLA Threshold]],"NO","Yes")</f>
        <v>Yes</v>
      </c>
    </row>
    <row r="263" spans="1:15" x14ac:dyDescent="0.25">
      <c r="A263" s="28" t="s">
        <v>619</v>
      </c>
      <c r="B263" s="29">
        <v>45673</v>
      </c>
      <c r="C263" s="29">
        <v>45685</v>
      </c>
      <c r="D263" s="28" t="s">
        <v>29</v>
      </c>
      <c r="E263" s="28" t="s">
        <v>46</v>
      </c>
      <c r="F263" s="49">
        <f t="shared" ca="1" si="4"/>
        <v>9</v>
      </c>
      <c r="G263" s="28" t="s">
        <v>486</v>
      </c>
      <c r="H263" s="28" t="s">
        <v>620</v>
      </c>
      <c r="I263" t="s">
        <v>589</v>
      </c>
      <c r="J263" s="14"/>
      <c r="K263" s="28" t="s">
        <v>621</v>
      </c>
      <c r="L263" t="s">
        <v>71</v>
      </c>
      <c r="M263" t="str">
        <f>VLOOKUP(Incidents[[#This Row],[Ticket ID]],[1]Incidents!$A$2:$D$792,4,FALSE)</f>
        <v>4 - Low</v>
      </c>
      <c r="N263">
        <f>VLOOKUP(Incidents[[#This Row],[Priority]],'SLA Config'!$B$3:$C$6,2,FALSE)</f>
        <v>25</v>
      </c>
      <c r="O263" t="str">
        <f ca="1">IF(Incidents[[#This Row],[Age (days)]]&gt;Incidents[[#This Row],[SLA Threshold]],"NO","Yes")</f>
        <v>Yes</v>
      </c>
    </row>
    <row r="264" spans="1:15" x14ac:dyDescent="0.25">
      <c r="A264" s="2" t="s">
        <v>622</v>
      </c>
      <c r="B264" s="1">
        <v>45275</v>
      </c>
      <c r="C264" s="8">
        <v>45286</v>
      </c>
      <c r="D264" t="s">
        <v>29</v>
      </c>
      <c r="E264" s="17" t="s">
        <v>30</v>
      </c>
      <c r="F264" s="49">
        <f t="shared" ca="1" si="4"/>
        <v>8</v>
      </c>
      <c r="G264" s="16" t="s">
        <v>31</v>
      </c>
      <c r="H264" s="11" t="s">
        <v>623</v>
      </c>
      <c r="I264" t="s">
        <v>589</v>
      </c>
      <c r="J264" s="14" t="s">
        <v>34</v>
      </c>
      <c r="K264" t="s">
        <v>624</v>
      </c>
      <c r="L264" t="s">
        <v>71</v>
      </c>
      <c r="M264" t="str">
        <f>VLOOKUP(Incidents[[#This Row],[Ticket ID]],[1]Incidents!$A$2:$D$792,4,FALSE)</f>
        <v>4 - Low</v>
      </c>
      <c r="N264">
        <f>VLOOKUP(Incidents[[#This Row],[Priority]],'SLA Config'!$B$3:$C$6,2,FALSE)</f>
        <v>25</v>
      </c>
      <c r="O264" t="str">
        <f ca="1">IF(Incidents[[#This Row],[Age (days)]]&gt;Incidents[[#This Row],[SLA Threshold]],"NO","Yes")</f>
        <v>Yes</v>
      </c>
    </row>
    <row r="265" spans="1:15" x14ac:dyDescent="0.25">
      <c r="A265" s="19" t="s">
        <v>625</v>
      </c>
      <c r="B265" s="8">
        <v>45502</v>
      </c>
      <c r="C265" s="8">
        <v>45511</v>
      </c>
      <c r="D265" t="s">
        <v>29</v>
      </c>
      <c r="E265" s="17" t="s">
        <v>46</v>
      </c>
      <c r="F265" s="49">
        <f t="shared" ca="1" si="4"/>
        <v>8</v>
      </c>
      <c r="G265" s="16" t="s">
        <v>31</v>
      </c>
      <c r="H265" s="11" t="s">
        <v>626</v>
      </c>
      <c r="I265" t="s">
        <v>589</v>
      </c>
      <c r="J265" s="14" t="s">
        <v>196</v>
      </c>
      <c r="K265" s="27" t="s">
        <v>35</v>
      </c>
      <c r="L265" t="s">
        <v>36</v>
      </c>
      <c r="M265" t="str">
        <f>VLOOKUP(Incidents[[#This Row],[Ticket ID]],[1]Incidents!$A$2:$D$792,4,FALSE)</f>
        <v>4 - Low</v>
      </c>
      <c r="N265">
        <f>VLOOKUP(Incidents[[#This Row],[Priority]],'SLA Config'!$B$3:$C$6,2,FALSE)</f>
        <v>25</v>
      </c>
      <c r="O265" t="str">
        <f ca="1">IF(Incidents[[#This Row],[Age (days)]]&gt;Incidents[[#This Row],[SLA Threshold]],"NO","Yes")</f>
        <v>Yes</v>
      </c>
    </row>
    <row r="266" spans="1:15" x14ac:dyDescent="0.25">
      <c r="A266" t="s">
        <v>627</v>
      </c>
      <c r="B266" s="1">
        <v>44680</v>
      </c>
      <c r="C266" s="1">
        <v>44690</v>
      </c>
      <c r="D266" t="s">
        <v>29</v>
      </c>
      <c r="E266" t="s">
        <v>38</v>
      </c>
      <c r="F266" s="49">
        <f t="shared" ca="1" si="4"/>
        <v>7</v>
      </c>
      <c r="G266" s="16" t="s">
        <v>31</v>
      </c>
      <c r="H266" s="11" t="s">
        <v>628</v>
      </c>
      <c r="I266" t="s">
        <v>589</v>
      </c>
      <c r="J266" s="14" t="s">
        <v>76</v>
      </c>
      <c r="K266" t="s">
        <v>44</v>
      </c>
      <c r="L266" t="s">
        <v>427</v>
      </c>
      <c r="M266" t="str">
        <f>VLOOKUP(Incidents[[#This Row],[Ticket ID]],[1]Incidents!$A$2:$D$792,4,FALSE)</f>
        <v>4 - Low</v>
      </c>
      <c r="N266">
        <f>VLOOKUP(Incidents[[#This Row],[Priority]],'SLA Config'!$B$3:$C$6,2,FALSE)</f>
        <v>25</v>
      </c>
      <c r="O266" t="str">
        <f ca="1">IF(Incidents[[#This Row],[Age (days)]]&gt;Incidents[[#This Row],[SLA Threshold]],"NO","Yes")</f>
        <v>Yes</v>
      </c>
    </row>
    <row r="267" spans="1:15" x14ac:dyDescent="0.25">
      <c r="A267" s="2" t="s">
        <v>629</v>
      </c>
      <c r="B267" s="1">
        <v>45197</v>
      </c>
      <c r="C267" s="8">
        <v>45206</v>
      </c>
      <c r="D267" t="s">
        <v>29</v>
      </c>
      <c r="E267" t="s">
        <v>104</v>
      </c>
      <c r="F267" s="49">
        <f t="shared" ca="1" si="4"/>
        <v>7</v>
      </c>
      <c r="G267" s="16" t="s">
        <v>31</v>
      </c>
      <c r="H267" s="11" t="s">
        <v>630</v>
      </c>
      <c r="I267" t="s">
        <v>589</v>
      </c>
      <c r="J267" s="14" t="s">
        <v>631</v>
      </c>
      <c r="K267" t="s">
        <v>632</v>
      </c>
      <c r="L267" t="s">
        <v>71</v>
      </c>
      <c r="M267" t="str">
        <f>VLOOKUP(Incidents[[#This Row],[Ticket ID]],[1]Incidents!$A$2:$D$792,4,FALSE)</f>
        <v>3 - Medium</v>
      </c>
      <c r="N267">
        <f>VLOOKUP(Incidents[[#This Row],[Priority]],'SLA Config'!$B$3:$C$6,2,FALSE)</f>
        <v>15</v>
      </c>
      <c r="O267" t="str">
        <f ca="1">IF(Incidents[[#This Row],[Age (days)]]&gt;Incidents[[#This Row],[SLA Threshold]],"NO","Yes")</f>
        <v>Yes</v>
      </c>
    </row>
    <row r="268" spans="1:15" x14ac:dyDescent="0.25">
      <c r="A268" s="2" t="s">
        <v>633</v>
      </c>
      <c r="B268" s="1">
        <v>45337</v>
      </c>
      <c r="C268" s="8">
        <v>45347</v>
      </c>
      <c r="D268" t="s">
        <v>29</v>
      </c>
      <c r="E268" t="s">
        <v>38</v>
      </c>
      <c r="F268" s="49">
        <f t="shared" ca="1" si="4"/>
        <v>7</v>
      </c>
      <c r="G268" s="16" t="s">
        <v>31</v>
      </c>
      <c r="H268" s="11" t="s">
        <v>634</v>
      </c>
      <c r="I268" t="s">
        <v>589</v>
      </c>
      <c r="J268" s="14" t="s">
        <v>34</v>
      </c>
      <c r="K268" t="s">
        <v>44</v>
      </c>
      <c r="L268" t="s">
        <v>36</v>
      </c>
      <c r="M268" t="str">
        <f>VLOOKUP(Incidents[[#This Row],[Ticket ID]],[1]Incidents!$A$2:$D$792,4,FALSE)</f>
        <v>4 - Low</v>
      </c>
      <c r="N268">
        <f>VLOOKUP(Incidents[[#This Row],[Priority]],'SLA Config'!$B$3:$C$6,2,FALSE)</f>
        <v>25</v>
      </c>
      <c r="O268" t="str">
        <f ca="1">IF(Incidents[[#This Row],[Age (days)]]&gt;Incidents[[#This Row],[SLA Threshold]],"NO","Yes")</f>
        <v>Yes</v>
      </c>
    </row>
    <row r="269" spans="1:15" x14ac:dyDescent="0.25">
      <c r="A269" s="2" t="s">
        <v>635</v>
      </c>
      <c r="B269" s="1">
        <v>45565</v>
      </c>
      <c r="C269" s="8">
        <v>45573</v>
      </c>
      <c r="D269" t="s">
        <v>29</v>
      </c>
      <c r="E269" t="s">
        <v>30</v>
      </c>
      <c r="F269" s="49">
        <f t="shared" ca="1" si="4"/>
        <v>7</v>
      </c>
      <c r="G269" t="s">
        <v>31</v>
      </c>
      <c r="H269" t="s">
        <v>636</v>
      </c>
      <c r="I269" t="s">
        <v>589</v>
      </c>
      <c r="J269" s="14" t="s">
        <v>34</v>
      </c>
      <c r="K269" t="s">
        <v>236</v>
      </c>
      <c r="L269" t="s">
        <v>36</v>
      </c>
      <c r="M269" t="str">
        <f>VLOOKUP(Incidents[[#This Row],[Ticket ID]],[1]Incidents!$A$2:$D$792,4,FALSE)</f>
        <v>3 - Medium</v>
      </c>
      <c r="N269">
        <f>VLOOKUP(Incidents[[#This Row],[Priority]],'SLA Config'!$B$3:$C$6,2,FALSE)</f>
        <v>15</v>
      </c>
      <c r="O269" t="str">
        <f ca="1">IF(Incidents[[#This Row],[Age (days)]]&gt;Incidents[[#This Row],[SLA Threshold]],"NO","Yes")</f>
        <v>Yes</v>
      </c>
    </row>
    <row r="270" spans="1:15" x14ac:dyDescent="0.25">
      <c r="A270" s="19" t="s">
        <v>637</v>
      </c>
      <c r="B270" s="8">
        <v>45600</v>
      </c>
      <c r="C270" s="29">
        <v>45608</v>
      </c>
      <c r="D270" s="28" t="s">
        <v>29</v>
      </c>
      <c r="E270" t="s">
        <v>46</v>
      </c>
      <c r="F270" s="49">
        <f t="shared" ca="1" si="4"/>
        <v>7</v>
      </c>
      <c r="G270" s="16" t="s">
        <v>31</v>
      </c>
      <c r="H270" t="s">
        <v>638</v>
      </c>
      <c r="I270" t="s">
        <v>589</v>
      </c>
      <c r="J270" s="14" t="s">
        <v>196</v>
      </c>
      <c r="K270" t="s">
        <v>35</v>
      </c>
      <c r="L270" t="s">
        <v>36</v>
      </c>
      <c r="M270" t="str">
        <f>VLOOKUP(Incidents[[#This Row],[Ticket ID]],[1]Incidents!$A$2:$D$792,4,FALSE)</f>
        <v>4 - Low</v>
      </c>
      <c r="N270">
        <f>VLOOKUP(Incidents[[#This Row],[Priority]],'SLA Config'!$B$3:$C$6,2,FALSE)</f>
        <v>25</v>
      </c>
      <c r="O270" t="str">
        <f ca="1">IF(Incidents[[#This Row],[Age (days)]]&gt;Incidents[[#This Row],[SLA Threshold]],"NO","Yes")</f>
        <v>Yes</v>
      </c>
    </row>
    <row r="271" spans="1:15" x14ac:dyDescent="0.25">
      <c r="A271" s="28" t="s">
        <v>639</v>
      </c>
      <c r="B271" s="29">
        <v>45656</v>
      </c>
      <c r="C271" s="29">
        <v>45664</v>
      </c>
      <c r="D271" s="28" t="s">
        <v>29</v>
      </c>
      <c r="E271" s="28" t="s">
        <v>46</v>
      </c>
      <c r="F271" s="49">
        <f t="shared" ca="1" si="4"/>
        <v>7</v>
      </c>
      <c r="G271" s="28" t="s">
        <v>31</v>
      </c>
      <c r="H271" s="28" t="s">
        <v>640</v>
      </c>
      <c r="I271" t="s">
        <v>589</v>
      </c>
      <c r="J271" s="14" t="s">
        <v>34</v>
      </c>
      <c r="K271" s="28" t="s">
        <v>35</v>
      </c>
      <c r="L271" t="s">
        <v>36</v>
      </c>
      <c r="M271" t="str">
        <f>VLOOKUP(Incidents[[#This Row],[Ticket ID]],[1]Incidents!$A$2:$D$792,4,FALSE)</f>
        <v>4 - Low</v>
      </c>
      <c r="N271">
        <f>VLOOKUP(Incidents[[#This Row],[Priority]],'SLA Config'!$B$3:$C$6,2,FALSE)</f>
        <v>25</v>
      </c>
      <c r="O271" t="str">
        <f ca="1">IF(Incidents[[#This Row],[Age (days)]]&gt;Incidents[[#This Row],[SLA Threshold]],"NO","Yes")</f>
        <v>Yes</v>
      </c>
    </row>
    <row r="272" spans="1:15" x14ac:dyDescent="0.25">
      <c r="A272" s="28" t="s">
        <v>641</v>
      </c>
      <c r="B272" s="29">
        <v>45659</v>
      </c>
      <c r="C272" s="29">
        <v>45669</v>
      </c>
      <c r="D272" s="28" t="s">
        <v>29</v>
      </c>
      <c r="E272" s="28" t="s">
        <v>46</v>
      </c>
      <c r="F272" s="49">
        <f t="shared" ca="1" si="4"/>
        <v>7</v>
      </c>
      <c r="G272" s="28" t="s">
        <v>31</v>
      </c>
      <c r="H272" s="28" t="s">
        <v>642</v>
      </c>
      <c r="I272" t="s">
        <v>589</v>
      </c>
      <c r="J272" s="14" t="s">
        <v>40</v>
      </c>
      <c r="K272" s="28" t="s">
        <v>236</v>
      </c>
      <c r="L272" t="s">
        <v>36</v>
      </c>
      <c r="M272" t="str">
        <f>VLOOKUP(Incidents[[#This Row],[Ticket ID]],[1]Incidents!$A$2:$D$792,4,FALSE)</f>
        <v>4 - Low</v>
      </c>
      <c r="N272">
        <f>VLOOKUP(Incidents[[#This Row],[Priority]],'SLA Config'!$B$3:$C$6,2,FALSE)</f>
        <v>25</v>
      </c>
      <c r="O272" t="str">
        <f ca="1">IF(Incidents[[#This Row],[Age (days)]]&gt;Incidents[[#This Row],[SLA Threshold]],"NO","Yes")</f>
        <v>Yes</v>
      </c>
    </row>
    <row r="273" spans="1:15" x14ac:dyDescent="0.25">
      <c r="A273" s="2" t="s">
        <v>643</v>
      </c>
      <c r="B273" s="1">
        <v>45327</v>
      </c>
      <c r="C273" s="8">
        <v>45334</v>
      </c>
      <c r="D273" t="s">
        <v>29</v>
      </c>
      <c r="E273" t="s">
        <v>38</v>
      </c>
      <c r="F273" s="49">
        <f t="shared" ca="1" si="4"/>
        <v>6</v>
      </c>
      <c r="G273" s="16" t="s">
        <v>31</v>
      </c>
      <c r="H273" s="11" t="s">
        <v>644</v>
      </c>
      <c r="I273" t="s">
        <v>589</v>
      </c>
      <c r="J273" s="14" t="s">
        <v>196</v>
      </c>
      <c r="K273" t="s">
        <v>401</v>
      </c>
      <c r="L273" t="s">
        <v>71</v>
      </c>
      <c r="M273" t="str">
        <f>VLOOKUP(Incidents[[#This Row],[Ticket ID]],[1]Incidents!$A$2:$D$792,4,FALSE)</f>
        <v>3 - Medium</v>
      </c>
      <c r="N273">
        <f>VLOOKUP(Incidents[[#This Row],[Priority]],'SLA Config'!$B$3:$C$6,2,FALSE)</f>
        <v>15</v>
      </c>
      <c r="O273" t="str">
        <f ca="1">IF(Incidents[[#This Row],[Age (days)]]&gt;Incidents[[#This Row],[SLA Threshold]],"NO","Yes")</f>
        <v>Yes</v>
      </c>
    </row>
    <row r="274" spans="1:15" x14ac:dyDescent="0.25">
      <c r="A274" s="2" t="s">
        <v>645</v>
      </c>
      <c r="B274" s="1">
        <v>45357</v>
      </c>
      <c r="C274" s="8">
        <v>45364</v>
      </c>
      <c r="D274" t="s">
        <v>29</v>
      </c>
      <c r="E274" t="s">
        <v>30</v>
      </c>
      <c r="F274" s="49">
        <f t="shared" ca="1" si="4"/>
        <v>6</v>
      </c>
      <c r="G274" s="16" t="s">
        <v>51</v>
      </c>
      <c r="H274" t="s">
        <v>646</v>
      </c>
      <c r="I274" t="s">
        <v>589</v>
      </c>
      <c r="J274" s="14" t="s">
        <v>40</v>
      </c>
      <c r="K274" t="s">
        <v>90</v>
      </c>
      <c r="L274" t="s">
        <v>36</v>
      </c>
      <c r="M274" t="str">
        <f>VLOOKUP(Incidents[[#This Row],[Ticket ID]],[1]Incidents!$A$2:$D$792,4,FALSE)</f>
        <v>4 - Low</v>
      </c>
      <c r="N274">
        <f>VLOOKUP(Incidents[[#This Row],[Priority]],'SLA Config'!$B$3:$C$6,2,FALSE)</f>
        <v>25</v>
      </c>
      <c r="O274" t="str">
        <f ca="1">IF(Incidents[[#This Row],[Age (days)]]&gt;Incidents[[#This Row],[SLA Threshold]],"NO","Yes")</f>
        <v>Yes</v>
      </c>
    </row>
    <row r="275" spans="1:15" x14ac:dyDescent="0.25">
      <c r="A275" s="19" t="s">
        <v>647</v>
      </c>
      <c r="B275" s="8">
        <v>45520</v>
      </c>
      <c r="C275" s="8">
        <v>45529</v>
      </c>
      <c r="D275" t="s">
        <v>29</v>
      </c>
      <c r="E275" s="17" t="s">
        <v>324</v>
      </c>
      <c r="F275" s="49">
        <f t="shared" ca="1" si="4"/>
        <v>6</v>
      </c>
      <c r="G275" s="16" t="s">
        <v>31</v>
      </c>
      <c r="H275" s="11" t="s">
        <v>648</v>
      </c>
      <c r="I275" t="s">
        <v>589</v>
      </c>
      <c r="J275" s="14" t="s">
        <v>40</v>
      </c>
      <c r="K275" s="27" t="s">
        <v>605</v>
      </c>
      <c r="L275" s="27" t="s">
        <v>71</v>
      </c>
      <c r="M275" t="str">
        <f>VLOOKUP(Incidents[[#This Row],[Ticket ID]],[1]Incidents!$A$2:$D$792,4,FALSE)</f>
        <v>4 - Low</v>
      </c>
      <c r="N275">
        <f>VLOOKUP(Incidents[[#This Row],[Priority]],'SLA Config'!$B$3:$C$6,2,FALSE)</f>
        <v>25</v>
      </c>
      <c r="O275" t="str">
        <f ca="1">IF(Incidents[[#This Row],[Age (days)]]&gt;Incidents[[#This Row],[SLA Threshold]],"NO","Yes")</f>
        <v>Yes</v>
      </c>
    </row>
    <row r="276" spans="1:15" x14ac:dyDescent="0.25">
      <c r="A276" s="2" t="s">
        <v>649</v>
      </c>
      <c r="B276" s="1">
        <v>45539</v>
      </c>
      <c r="C276" s="8">
        <v>45546</v>
      </c>
      <c r="D276" t="s">
        <v>29</v>
      </c>
      <c r="E276" t="s">
        <v>46</v>
      </c>
      <c r="F276" s="49">
        <f t="shared" ca="1" si="4"/>
        <v>6</v>
      </c>
      <c r="G276" t="s">
        <v>31</v>
      </c>
      <c r="H276" t="s">
        <v>650</v>
      </c>
      <c r="I276" t="s">
        <v>589</v>
      </c>
      <c r="J276" s="14" t="s">
        <v>397</v>
      </c>
      <c r="K276" t="s">
        <v>35</v>
      </c>
      <c r="L276" t="s">
        <v>36</v>
      </c>
      <c r="M276" t="str">
        <f>VLOOKUP(Incidents[[#This Row],[Ticket ID]],[1]Incidents!$A$2:$D$792,4,FALSE)</f>
        <v>4 - Low</v>
      </c>
      <c r="N276">
        <f>VLOOKUP(Incidents[[#This Row],[Priority]],'SLA Config'!$B$3:$C$6,2,FALSE)</f>
        <v>25</v>
      </c>
      <c r="O276" t="str">
        <f ca="1">IF(Incidents[[#This Row],[Age (days)]]&gt;Incidents[[#This Row],[SLA Threshold]],"NO","Yes")</f>
        <v>Yes</v>
      </c>
    </row>
    <row r="277" spans="1:15" x14ac:dyDescent="0.25">
      <c r="A277" s="2" t="s">
        <v>651</v>
      </c>
      <c r="B277" s="8">
        <v>45586</v>
      </c>
      <c r="C277" s="29">
        <v>45642</v>
      </c>
      <c r="D277" t="s">
        <v>29</v>
      </c>
      <c r="E277" t="s">
        <v>30</v>
      </c>
      <c r="F277" s="49">
        <f t="shared" ca="1" si="4"/>
        <v>41</v>
      </c>
      <c r="G277" s="16" t="s">
        <v>31</v>
      </c>
      <c r="H277" t="s">
        <v>652</v>
      </c>
      <c r="I277" t="s">
        <v>589</v>
      </c>
      <c r="J277" s="14" t="s">
        <v>34</v>
      </c>
      <c r="K277" t="s">
        <v>90</v>
      </c>
      <c r="L277" t="s">
        <v>36</v>
      </c>
      <c r="M277" t="str">
        <f>VLOOKUP(Incidents[[#This Row],[Ticket ID]],[1]Incidents!$A$2:$D$792,4,FALSE)</f>
        <v>4 - Low</v>
      </c>
      <c r="N277">
        <f>VLOOKUP(Incidents[[#This Row],[Priority]],'SLA Config'!$B$3:$C$6,2,FALSE)</f>
        <v>25</v>
      </c>
      <c r="O277" t="str">
        <f ca="1">IF(Incidents[[#This Row],[Age (days)]]&gt;Incidents[[#This Row],[SLA Threshold]],"NO","Yes")</f>
        <v>NO</v>
      </c>
    </row>
    <row r="278" spans="1:15" x14ac:dyDescent="0.25">
      <c r="A278" s="28" t="s">
        <v>653</v>
      </c>
      <c r="B278" s="29">
        <v>45607</v>
      </c>
      <c r="C278" s="29">
        <v>45614</v>
      </c>
      <c r="D278" s="28" t="s">
        <v>29</v>
      </c>
      <c r="E278" s="28" t="s">
        <v>46</v>
      </c>
      <c r="F278" s="49">
        <f t="shared" ca="1" si="4"/>
        <v>6</v>
      </c>
      <c r="G278" s="28" t="s">
        <v>31</v>
      </c>
      <c r="H278" s="28" t="s">
        <v>654</v>
      </c>
      <c r="I278" t="s">
        <v>589</v>
      </c>
      <c r="J278" s="15" t="s">
        <v>34</v>
      </c>
      <c r="K278" s="28" t="s">
        <v>35</v>
      </c>
      <c r="L278" t="s">
        <v>36</v>
      </c>
      <c r="M278" t="str">
        <f>VLOOKUP(Incidents[[#This Row],[Ticket ID]],[1]Incidents!$A$2:$D$792,4,FALSE)</f>
        <v>2 - High</v>
      </c>
      <c r="N278">
        <f>VLOOKUP(Incidents[[#This Row],[Priority]],'SLA Config'!$B$3:$C$6,2,FALSE)</f>
        <v>5</v>
      </c>
      <c r="O278" t="str">
        <f ca="1">IF(Incidents[[#This Row],[Age (days)]]&gt;Incidents[[#This Row],[SLA Threshold]],"NO","Yes")</f>
        <v>NO</v>
      </c>
    </row>
    <row r="279" spans="1:15" x14ac:dyDescent="0.25">
      <c r="A279" s="28" t="s">
        <v>655</v>
      </c>
      <c r="B279" s="29">
        <v>45621</v>
      </c>
      <c r="C279" s="29">
        <v>45628</v>
      </c>
      <c r="D279" s="28" t="s">
        <v>29</v>
      </c>
      <c r="E279" s="28" t="s">
        <v>273</v>
      </c>
      <c r="F279" s="49">
        <f t="shared" ca="1" si="4"/>
        <v>6</v>
      </c>
      <c r="G279" s="28" t="s">
        <v>486</v>
      </c>
      <c r="H279" s="28" t="s">
        <v>656</v>
      </c>
      <c r="I279" t="s">
        <v>589</v>
      </c>
      <c r="J279" s="14" t="s">
        <v>34</v>
      </c>
      <c r="K279" s="28" t="s">
        <v>657</v>
      </c>
      <c r="L279" t="s">
        <v>36</v>
      </c>
      <c r="M279" t="str">
        <f>VLOOKUP(Incidents[[#This Row],[Ticket ID]],[1]Incidents!$A$2:$D$792,4,FALSE)</f>
        <v>4 - Low</v>
      </c>
      <c r="N279">
        <f>VLOOKUP(Incidents[[#This Row],[Priority]],'SLA Config'!$B$3:$C$6,2,FALSE)</f>
        <v>25</v>
      </c>
      <c r="O279" t="str">
        <f ca="1">IF(Incidents[[#This Row],[Age (days)]]&gt;Incidents[[#This Row],[SLA Threshold]],"NO","Yes")</f>
        <v>Yes</v>
      </c>
    </row>
    <row r="280" spans="1:15" x14ac:dyDescent="0.25">
      <c r="A280" s="28" t="s">
        <v>658</v>
      </c>
      <c r="B280" s="29">
        <v>45678</v>
      </c>
      <c r="C280" s="29">
        <v>45685</v>
      </c>
      <c r="D280" s="28" t="s">
        <v>29</v>
      </c>
      <c r="E280" s="28" t="s">
        <v>46</v>
      </c>
      <c r="F280" s="49">
        <f t="shared" ca="1" si="4"/>
        <v>6</v>
      </c>
      <c r="G280" s="28" t="s">
        <v>486</v>
      </c>
      <c r="H280" s="28" t="s">
        <v>659</v>
      </c>
      <c r="I280" t="s">
        <v>589</v>
      </c>
      <c r="J280" s="14"/>
      <c r="K280" s="28" t="s">
        <v>35</v>
      </c>
      <c r="L280" t="s">
        <v>36</v>
      </c>
      <c r="M280" t="str">
        <f>VLOOKUP(Incidents[[#This Row],[Ticket ID]],[1]Incidents!$A$2:$D$792,4,FALSE)</f>
        <v>4 - Low</v>
      </c>
      <c r="N280">
        <f>VLOOKUP(Incidents[[#This Row],[Priority]],'SLA Config'!$B$3:$C$6,2,FALSE)</f>
        <v>25</v>
      </c>
      <c r="O280" t="str">
        <f ca="1">IF(Incidents[[#This Row],[Age (days)]]&gt;Incidents[[#This Row],[SLA Threshold]],"NO","Yes")</f>
        <v>Yes</v>
      </c>
    </row>
    <row r="281" spans="1:15" x14ac:dyDescent="0.25">
      <c r="A281" s="28" t="s">
        <v>660</v>
      </c>
      <c r="B281" s="29">
        <v>45686</v>
      </c>
      <c r="C281" s="29">
        <v>45693</v>
      </c>
      <c r="D281" s="28" t="s">
        <v>29</v>
      </c>
      <c r="E281" s="28" t="s">
        <v>30</v>
      </c>
      <c r="F281" s="49">
        <f t="shared" ca="1" si="4"/>
        <v>6</v>
      </c>
      <c r="G281" s="28" t="s">
        <v>31</v>
      </c>
      <c r="H281" s="28" t="s">
        <v>661</v>
      </c>
      <c r="I281" t="s">
        <v>589</v>
      </c>
      <c r="J281" s="14"/>
      <c r="K281" s="28" t="s">
        <v>90</v>
      </c>
      <c r="L281" t="s">
        <v>36</v>
      </c>
      <c r="M281" t="str">
        <f>VLOOKUP(Incidents[[#This Row],[Ticket ID]],[1]Incidents!$A$2:$D$792,4,FALSE)</f>
        <v>2 - High</v>
      </c>
      <c r="N281">
        <f>VLOOKUP(Incidents[[#This Row],[Priority]],'SLA Config'!$B$3:$C$6,2,FALSE)</f>
        <v>5</v>
      </c>
      <c r="O281" t="str">
        <f ca="1">IF(Incidents[[#This Row],[Age (days)]]&gt;Incidents[[#This Row],[SLA Threshold]],"NO","Yes")</f>
        <v>NO</v>
      </c>
    </row>
    <row r="282" spans="1:15" x14ac:dyDescent="0.25">
      <c r="A282" s="2" t="s">
        <v>662</v>
      </c>
      <c r="B282" s="1">
        <v>45279</v>
      </c>
      <c r="C282" s="8">
        <v>45285</v>
      </c>
      <c r="D282" t="s">
        <v>29</v>
      </c>
      <c r="E282" s="17" t="s">
        <v>30</v>
      </c>
      <c r="F282" s="49">
        <f t="shared" ca="1" si="4"/>
        <v>5</v>
      </c>
      <c r="G282" s="16" t="s">
        <v>31</v>
      </c>
      <c r="H282" s="11" t="s">
        <v>663</v>
      </c>
      <c r="I282" t="s">
        <v>589</v>
      </c>
      <c r="J282" s="14" t="s">
        <v>34</v>
      </c>
      <c r="K282" t="s">
        <v>81</v>
      </c>
      <c r="L282" t="s">
        <v>71</v>
      </c>
      <c r="M282" t="str">
        <f>VLOOKUP(Incidents[[#This Row],[Ticket ID]],[1]Incidents!$A$2:$D$792,4,FALSE)</f>
        <v>4 - Low</v>
      </c>
      <c r="N282">
        <f>VLOOKUP(Incidents[[#This Row],[Priority]],'SLA Config'!$B$3:$C$6,2,FALSE)</f>
        <v>25</v>
      </c>
      <c r="O282" t="str">
        <f ca="1">IF(Incidents[[#This Row],[Age (days)]]&gt;Incidents[[#This Row],[SLA Threshold]],"NO","Yes")</f>
        <v>Yes</v>
      </c>
    </row>
    <row r="283" spans="1:15" x14ac:dyDescent="0.25">
      <c r="A283" s="19" t="s">
        <v>664</v>
      </c>
      <c r="B283" s="1">
        <v>45330</v>
      </c>
      <c r="C283" s="8">
        <v>45336</v>
      </c>
      <c r="D283" t="s">
        <v>29</v>
      </c>
      <c r="E283" s="17" t="s">
        <v>30</v>
      </c>
      <c r="F283" s="49">
        <f t="shared" ca="1" si="4"/>
        <v>5</v>
      </c>
      <c r="G283" s="16" t="s">
        <v>31</v>
      </c>
      <c r="H283" s="11" t="s">
        <v>665</v>
      </c>
      <c r="I283" t="s">
        <v>589</v>
      </c>
      <c r="J283" s="14" t="s">
        <v>666</v>
      </c>
      <c r="K283" t="s">
        <v>119</v>
      </c>
      <c r="L283" t="s">
        <v>120</v>
      </c>
      <c r="M283" t="str">
        <f>VLOOKUP(Incidents[[#This Row],[Ticket ID]],[1]Incidents!$A$2:$D$792,4,FALSE)</f>
        <v>2 - High</v>
      </c>
      <c r="N283">
        <f>VLOOKUP(Incidents[[#This Row],[Priority]],'SLA Config'!$B$3:$C$6,2,FALSE)</f>
        <v>5</v>
      </c>
      <c r="O283" t="str">
        <f ca="1">IF(Incidents[[#This Row],[Age (days)]]&gt;Incidents[[#This Row],[SLA Threshold]],"NO","Yes")</f>
        <v>Yes</v>
      </c>
    </row>
    <row r="284" spans="1:15" x14ac:dyDescent="0.25">
      <c r="A284" s="2" t="s">
        <v>667</v>
      </c>
      <c r="B284" s="1">
        <v>45362</v>
      </c>
      <c r="C284" s="8">
        <v>45367</v>
      </c>
      <c r="D284" t="s">
        <v>29</v>
      </c>
      <c r="E284" t="s">
        <v>38</v>
      </c>
      <c r="F284" s="49">
        <f t="shared" ca="1" si="4"/>
        <v>5</v>
      </c>
      <c r="G284" s="16" t="s">
        <v>31</v>
      </c>
      <c r="H284" t="s">
        <v>668</v>
      </c>
      <c r="I284" t="s">
        <v>589</v>
      </c>
      <c r="J284" s="14" t="s">
        <v>40</v>
      </c>
      <c r="K284" t="s">
        <v>44</v>
      </c>
      <c r="L284" t="s">
        <v>36</v>
      </c>
      <c r="M284" t="str">
        <f>VLOOKUP(Incidents[[#This Row],[Ticket ID]],[1]Incidents!$A$2:$D$792,4,FALSE)</f>
        <v>2 - High</v>
      </c>
      <c r="N284">
        <f>VLOOKUP(Incidents[[#This Row],[Priority]],'SLA Config'!$B$3:$C$6,2,FALSE)</f>
        <v>5</v>
      </c>
      <c r="O284" t="str">
        <f ca="1">IF(Incidents[[#This Row],[Age (days)]]&gt;Incidents[[#This Row],[SLA Threshold]],"NO","Yes")</f>
        <v>Yes</v>
      </c>
    </row>
    <row r="285" spans="1:15" x14ac:dyDescent="0.25">
      <c r="A285" s="19" t="s">
        <v>669</v>
      </c>
      <c r="B285" s="8">
        <v>45404</v>
      </c>
      <c r="C285" s="8">
        <v>45410</v>
      </c>
      <c r="D285" t="s">
        <v>29</v>
      </c>
      <c r="E285" t="s">
        <v>324</v>
      </c>
      <c r="F285" s="49">
        <f t="shared" ca="1" si="4"/>
        <v>5</v>
      </c>
      <c r="G285" s="16" t="s">
        <v>51</v>
      </c>
      <c r="H285" s="11" t="s">
        <v>591</v>
      </c>
      <c r="I285" t="s">
        <v>589</v>
      </c>
      <c r="J285" s="14" t="s">
        <v>304</v>
      </c>
      <c r="K285" t="s">
        <v>207</v>
      </c>
      <c r="L285" t="s">
        <v>71</v>
      </c>
      <c r="M285" t="str">
        <f>VLOOKUP(Incidents[[#This Row],[Ticket ID]],[1]Incidents!$A$2:$D$792,4,FALSE)</f>
        <v>3 - Medium</v>
      </c>
      <c r="N285">
        <f>VLOOKUP(Incidents[[#This Row],[Priority]],'SLA Config'!$B$3:$C$6,2,FALSE)</f>
        <v>15</v>
      </c>
      <c r="O285" t="str">
        <f ca="1">IF(Incidents[[#This Row],[Age (days)]]&gt;Incidents[[#This Row],[SLA Threshold]],"NO","Yes")</f>
        <v>Yes</v>
      </c>
    </row>
    <row r="286" spans="1:15" x14ac:dyDescent="0.25">
      <c r="A286" s="19" t="s">
        <v>670</v>
      </c>
      <c r="B286" s="8">
        <v>45419</v>
      </c>
      <c r="C286" s="8">
        <v>45425</v>
      </c>
      <c r="D286" t="s">
        <v>29</v>
      </c>
      <c r="E286" t="s">
        <v>30</v>
      </c>
      <c r="F286" s="49">
        <f t="shared" ca="1" si="4"/>
        <v>5</v>
      </c>
      <c r="G286" s="16" t="s">
        <v>31</v>
      </c>
      <c r="H286" t="s">
        <v>671</v>
      </c>
      <c r="I286" t="s">
        <v>589</v>
      </c>
      <c r="J286" s="14" t="s">
        <v>34</v>
      </c>
      <c r="K286" t="s">
        <v>90</v>
      </c>
      <c r="L286" t="s">
        <v>36</v>
      </c>
      <c r="M286" t="str">
        <f>VLOOKUP(Incidents[[#This Row],[Ticket ID]],[1]Incidents!$A$2:$D$792,4,FALSE)</f>
        <v>4 - Low</v>
      </c>
      <c r="N286">
        <f>VLOOKUP(Incidents[[#This Row],[Priority]],'SLA Config'!$B$3:$C$6,2,FALSE)</f>
        <v>25</v>
      </c>
      <c r="O286" t="str">
        <f ca="1">IF(Incidents[[#This Row],[Age (days)]]&gt;Incidents[[#This Row],[SLA Threshold]],"NO","Yes")</f>
        <v>Yes</v>
      </c>
    </row>
    <row r="287" spans="1:15" x14ac:dyDescent="0.25">
      <c r="A287" s="19" t="s">
        <v>672</v>
      </c>
      <c r="B287" s="8">
        <v>45419</v>
      </c>
      <c r="C287" s="8">
        <v>45425</v>
      </c>
      <c r="D287" t="s">
        <v>29</v>
      </c>
      <c r="E287" t="s">
        <v>30</v>
      </c>
      <c r="F287" s="49">
        <f t="shared" ca="1" si="4"/>
        <v>5</v>
      </c>
      <c r="G287" s="16" t="s">
        <v>31</v>
      </c>
      <c r="H287" t="s">
        <v>673</v>
      </c>
      <c r="I287" t="s">
        <v>589</v>
      </c>
      <c r="J287" s="14" t="s">
        <v>34</v>
      </c>
      <c r="K287" t="s">
        <v>81</v>
      </c>
      <c r="L287" t="s">
        <v>71</v>
      </c>
      <c r="M287" t="str">
        <f>VLOOKUP(Incidents[[#This Row],[Ticket ID]],[1]Incidents!$A$2:$D$792,4,FALSE)</f>
        <v>4 - Low</v>
      </c>
      <c r="N287">
        <f>VLOOKUP(Incidents[[#This Row],[Priority]],'SLA Config'!$B$3:$C$6,2,FALSE)</f>
        <v>25</v>
      </c>
      <c r="O287" t="str">
        <f ca="1">IF(Incidents[[#This Row],[Age (days)]]&gt;Incidents[[#This Row],[SLA Threshold]],"NO","Yes")</f>
        <v>Yes</v>
      </c>
    </row>
    <row r="288" spans="1:15" x14ac:dyDescent="0.25">
      <c r="A288" s="19" t="s">
        <v>674</v>
      </c>
      <c r="B288" s="8">
        <v>45498</v>
      </c>
      <c r="C288" s="8">
        <v>45504</v>
      </c>
      <c r="D288" t="s">
        <v>29</v>
      </c>
      <c r="E288" t="s">
        <v>30</v>
      </c>
      <c r="F288" s="49">
        <f t="shared" ca="1" si="4"/>
        <v>5</v>
      </c>
      <c r="G288" s="16" t="s">
        <v>31</v>
      </c>
      <c r="H288" t="s">
        <v>675</v>
      </c>
      <c r="I288" t="s">
        <v>589</v>
      </c>
      <c r="J288" s="14" t="s">
        <v>40</v>
      </c>
      <c r="K288" t="s">
        <v>605</v>
      </c>
      <c r="L288" t="s">
        <v>71</v>
      </c>
      <c r="M288" t="str">
        <f>VLOOKUP(Incidents[[#This Row],[Ticket ID]],[1]Incidents!$A$2:$D$792,4,FALSE)</f>
        <v>4 - Low</v>
      </c>
      <c r="N288">
        <f>VLOOKUP(Incidents[[#This Row],[Priority]],'SLA Config'!$B$3:$C$6,2,FALSE)</f>
        <v>25</v>
      </c>
      <c r="O288" t="str">
        <f ca="1">IF(Incidents[[#This Row],[Age (days)]]&gt;Incidents[[#This Row],[SLA Threshold]],"NO","Yes")</f>
        <v>Yes</v>
      </c>
    </row>
    <row r="289" spans="1:15" x14ac:dyDescent="0.25">
      <c r="A289" s="19" t="s">
        <v>676</v>
      </c>
      <c r="B289" s="8">
        <v>45498</v>
      </c>
      <c r="C289" s="8">
        <v>45504</v>
      </c>
      <c r="D289" t="s">
        <v>29</v>
      </c>
      <c r="E289" t="s">
        <v>30</v>
      </c>
      <c r="F289" s="49">
        <f t="shared" ca="1" si="4"/>
        <v>5</v>
      </c>
      <c r="G289" s="16" t="s">
        <v>31</v>
      </c>
      <c r="H289" t="s">
        <v>675</v>
      </c>
      <c r="I289" t="s">
        <v>589</v>
      </c>
      <c r="J289" s="14" t="s">
        <v>40</v>
      </c>
      <c r="K289" t="s">
        <v>605</v>
      </c>
      <c r="L289" t="s">
        <v>71</v>
      </c>
      <c r="M289" t="str">
        <f>VLOOKUP(Incidents[[#This Row],[Ticket ID]],[1]Incidents!$A$2:$D$792,4,FALSE)</f>
        <v>4 - Low</v>
      </c>
      <c r="N289">
        <f>VLOOKUP(Incidents[[#This Row],[Priority]],'SLA Config'!$B$3:$C$6,2,FALSE)</f>
        <v>25</v>
      </c>
      <c r="O289" t="str">
        <f ca="1">IF(Incidents[[#This Row],[Age (days)]]&gt;Incidents[[#This Row],[SLA Threshold]],"NO","Yes")</f>
        <v>Yes</v>
      </c>
    </row>
    <row r="290" spans="1:15" x14ac:dyDescent="0.25">
      <c r="A290" s="19" t="s">
        <v>677</v>
      </c>
      <c r="B290" s="8">
        <v>45498</v>
      </c>
      <c r="C290" s="8">
        <v>45504</v>
      </c>
      <c r="D290" t="s">
        <v>29</v>
      </c>
      <c r="E290" t="s">
        <v>30</v>
      </c>
      <c r="F290" s="49">
        <f t="shared" ca="1" si="4"/>
        <v>5</v>
      </c>
      <c r="G290" s="16" t="s">
        <v>31</v>
      </c>
      <c r="H290" t="s">
        <v>675</v>
      </c>
      <c r="I290" t="s">
        <v>589</v>
      </c>
      <c r="J290" s="14" t="s">
        <v>40</v>
      </c>
      <c r="K290" t="s">
        <v>605</v>
      </c>
      <c r="L290" t="s">
        <v>71</v>
      </c>
      <c r="M290" t="str">
        <f>VLOOKUP(Incidents[[#This Row],[Ticket ID]],[1]Incidents!$A$2:$D$792,4,FALSE)</f>
        <v>4 - Low</v>
      </c>
      <c r="N290">
        <f>VLOOKUP(Incidents[[#This Row],[Priority]],'SLA Config'!$B$3:$C$6,2,FALSE)</f>
        <v>25</v>
      </c>
      <c r="O290" t="str">
        <f ca="1">IF(Incidents[[#This Row],[Age (days)]]&gt;Incidents[[#This Row],[SLA Threshold]],"NO","Yes")</f>
        <v>Yes</v>
      </c>
    </row>
    <row r="291" spans="1:15" x14ac:dyDescent="0.25">
      <c r="A291" s="19" t="s">
        <v>678</v>
      </c>
      <c r="B291" s="8">
        <v>45510</v>
      </c>
      <c r="C291" s="8">
        <v>45516</v>
      </c>
      <c r="D291" t="s">
        <v>29</v>
      </c>
      <c r="E291" s="17" t="s">
        <v>324</v>
      </c>
      <c r="F291" s="49">
        <f t="shared" ca="1" si="4"/>
        <v>5</v>
      </c>
      <c r="G291" s="16" t="s">
        <v>31</v>
      </c>
      <c r="H291" s="11" t="s">
        <v>679</v>
      </c>
      <c r="I291" t="s">
        <v>589</v>
      </c>
      <c r="J291" s="14" t="s">
        <v>40</v>
      </c>
      <c r="K291" s="27" t="s">
        <v>41</v>
      </c>
      <c r="L291" s="27" t="s">
        <v>36</v>
      </c>
      <c r="M291" t="str">
        <f>VLOOKUP(Incidents[[#This Row],[Ticket ID]],[1]Incidents!$A$2:$D$792,4,FALSE)</f>
        <v>4 - Low</v>
      </c>
      <c r="N291">
        <f>VLOOKUP(Incidents[[#This Row],[Priority]],'SLA Config'!$B$3:$C$6,2,FALSE)</f>
        <v>25</v>
      </c>
      <c r="O291" t="str">
        <f ca="1">IF(Incidents[[#This Row],[Age (days)]]&gt;Incidents[[#This Row],[SLA Threshold]],"NO","Yes")</f>
        <v>Yes</v>
      </c>
    </row>
    <row r="292" spans="1:15" x14ac:dyDescent="0.25">
      <c r="A292" s="19" t="s">
        <v>680</v>
      </c>
      <c r="B292" s="8">
        <v>45510</v>
      </c>
      <c r="C292" s="8">
        <v>45516</v>
      </c>
      <c r="D292" t="s">
        <v>29</v>
      </c>
      <c r="E292" s="17" t="s">
        <v>324</v>
      </c>
      <c r="F292" s="49">
        <f t="shared" ca="1" si="4"/>
        <v>5</v>
      </c>
      <c r="G292" s="16" t="s">
        <v>31</v>
      </c>
      <c r="H292" s="11" t="s">
        <v>681</v>
      </c>
      <c r="I292" t="s">
        <v>589</v>
      </c>
      <c r="J292" s="14" t="s">
        <v>40</v>
      </c>
      <c r="K292" s="27" t="s">
        <v>41</v>
      </c>
      <c r="L292" s="27" t="s">
        <v>36</v>
      </c>
      <c r="M292" t="str">
        <f>VLOOKUP(Incidents[[#This Row],[Ticket ID]],[1]Incidents!$A$2:$D$792,4,FALSE)</f>
        <v>4 - Low</v>
      </c>
      <c r="N292">
        <f>VLOOKUP(Incidents[[#This Row],[Priority]],'SLA Config'!$B$3:$C$6,2,FALSE)</f>
        <v>25</v>
      </c>
      <c r="O292" t="str">
        <f ca="1">IF(Incidents[[#This Row],[Age (days)]]&gt;Incidents[[#This Row],[SLA Threshold]],"NO","Yes")</f>
        <v>Yes</v>
      </c>
    </row>
    <row r="293" spans="1:15" x14ac:dyDescent="0.25">
      <c r="A293" s="28" t="s">
        <v>682</v>
      </c>
      <c r="B293" s="29">
        <v>45607</v>
      </c>
      <c r="C293" s="29">
        <v>45613</v>
      </c>
      <c r="D293" s="28" t="s">
        <v>29</v>
      </c>
      <c r="E293" s="28" t="s">
        <v>38</v>
      </c>
      <c r="F293" s="49">
        <f t="shared" ca="1" si="4"/>
        <v>5</v>
      </c>
      <c r="G293" s="28" t="s">
        <v>486</v>
      </c>
      <c r="H293" s="28" t="s">
        <v>683</v>
      </c>
      <c r="I293" t="s">
        <v>589</v>
      </c>
      <c r="J293" s="14" t="s">
        <v>40</v>
      </c>
      <c r="K293" s="28" t="s">
        <v>684</v>
      </c>
      <c r="L293" t="s">
        <v>71</v>
      </c>
      <c r="M293" t="str">
        <f>VLOOKUP(Incidents[[#This Row],[Ticket ID]],[1]Incidents!$A$2:$D$792,4,FALSE)</f>
        <v>4 - Low</v>
      </c>
      <c r="N293">
        <f>VLOOKUP(Incidents[[#This Row],[Priority]],'SLA Config'!$B$3:$C$6,2,FALSE)</f>
        <v>25</v>
      </c>
      <c r="O293" t="str">
        <f ca="1">IF(Incidents[[#This Row],[Age (days)]]&gt;Incidents[[#This Row],[SLA Threshold]],"NO","Yes")</f>
        <v>Yes</v>
      </c>
    </row>
    <row r="294" spans="1:15" x14ac:dyDescent="0.25">
      <c r="A294" s="28" t="s">
        <v>685</v>
      </c>
      <c r="B294" s="29">
        <v>45672</v>
      </c>
      <c r="C294" s="29">
        <v>45678</v>
      </c>
      <c r="D294" s="28" t="s">
        <v>29</v>
      </c>
      <c r="E294" s="28" t="s">
        <v>30</v>
      </c>
      <c r="F294" s="49">
        <f t="shared" ca="1" si="4"/>
        <v>5</v>
      </c>
      <c r="G294" s="28" t="s">
        <v>486</v>
      </c>
      <c r="H294" s="28" t="s">
        <v>686</v>
      </c>
      <c r="I294" t="s">
        <v>589</v>
      </c>
      <c r="J294" s="14" t="s">
        <v>34</v>
      </c>
      <c r="K294" s="28" t="s">
        <v>575</v>
      </c>
      <c r="L294" t="s">
        <v>71</v>
      </c>
      <c r="M294" t="str">
        <f>VLOOKUP(Incidents[[#This Row],[Ticket ID]],[1]Incidents!$A$2:$D$792,4,FALSE)</f>
        <v>4 - Low</v>
      </c>
      <c r="N294">
        <f>VLOOKUP(Incidents[[#This Row],[Priority]],'SLA Config'!$B$3:$C$6,2,FALSE)</f>
        <v>25</v>
      </c>
      <c r="O294" t="str">
        <f ca="1">IF(Incidents[[#This Row],[Age (days)]]&gt;Incidents[[#This Row],[SLA Threshold]],"NO","Yes")</f>
        <v>Yes</v>
      </c>
    </row>
    <row r="295" spans="1:15" x14ac:dyDescent="0.25">
      <c r="A295" t="s">
        <v>687</v>
      </c>
      <c r="B295" s="1">
        <v>44722</v>
      </c>
      <c r="C295" s="1">
        <v>44727</v>
      </c>
      <c r="D295" t="s">
        <v>29</v>
      </c>
      <c r="E295" t="s">
        <v>54</v>
      </c>
      <c r="F295" s="49">
        <f t="shared" ca="1" si="4"/>
        <v>4</v>
      </c>
      <c r="G295" s="16" t="s">
        <v>31</v>
      </c>
      <c r="H295" s="11" t="s">
        <v>688</v>
      </c>
      <c r="I295" t="s">
        <v>589</v>
      </c>
      <c r="J295" s="14" t="s">
        <v>76</v>
      </c>
      <c r="K295" t="s">
        <v>56</v>
      </c>
      <c r="L295" t="s">
        <v>427</v>
      </c>
      <c r="M295" t="str">
        <f>VLOOKUP(Incidents[[#This Row],[Ticket ID]],[1]Incidents!$A$2:$D$792,4,FALSE)</f>
        <v>4 - Low</v>
      </c>
      <c r="N295">
        <f>VLOOKUP(Incidents[[#This Row],[Priority]],'SLA Config'!$B$3:$C$6,2,FALSE)</f>
        <v>25</v>
      </c>
      <c r="O295" t="str">
        <f ca="1">IF(Incidents[[#This Row],[Age (days)]]&gt;Incidents[[#This Row],[SLA Threshold]],"NO","Yes")</f>
        <v>Yes</v>
      </c>
    </row>
    <row r="296" spans="1:15" x14ac:dyDescent="0.25">
      <c r="A296" s="2" t="s">
        <v>689</v>
      </c>
      <c r="B296" s="1">
        <v>45363</v>
      </c>
      <c r="C296" s="8">
        <v>45368</v>
      </c>
      <c r="D296" t="s">
        <v>29</v>
      </c>
      <c r="E296" t="s">
        <v>38</v>
      </c>
      <c r="F296" s="49">
        <f t="shared" ca="1" si="4"/>
        <v>4</v>
      </c>
      <c r="G296" s="16" t="s">
        <v>51</v>
      </c>
      <c r="H296" t="s">
        <v>690</v>
      </c>
      <c r="I296" t="s">
        <v>589</v>
      </c>
      <c r="J296" s="14" t="s">
        <v>304</v>
      </c>
      <c r="K296" t="s">
        <v>119</v>
      </c>
      <c r="L296" t="s">
        <v>120</v>
      </c>
      <c r="M296" t="str">
        <f>VLOOKUP(Incidents[[#This Row],[Ticket ID]],[1]Incidents!$A$2:$D$792,4,FALSE)</f>
        <v>2 - High</v>
      </c>
      <c r="N296">
        <f>VLOOKUP(Incidents[[#This Row],[Priority]],'SLA Config'!$B$3:$C$6,2,FALSE)</f>
        <v>5</v>
      </c>
      <c r="O296" t="str">
        <f ca="1">IF(Incidents[[#This Row],[Age (days)]]&gt;Incidents[[#This Row],[SLA Threshold]],"NO","Yes")</f>
        <v>Yes</v>
      </c>
    </row>
    <row r="297" spans="1:15" x14ac:dyDescent="0.25">
      <c r="A297" s="19" t="s">
        <v>691</v>
      </c>
      <c r="B297" s="8">
        <v>45499</v>
      </c>
      <c r="C297" s="8">
        <v>45504</v>
      </c>
      <c r="D297" t="s">
        <v>29</v>
      </c>
      <c r="E297" t="s">
        <v>30</v>
      </c>
      <c r="F297" s="49">
        <f t="shared" ca="1" si="4"/>
        <v>4</v>
      </c>
      <c r="G297" s="16" t="s">
        <v>31</v>
      </c>
      <c r="H297" t="s">
        <v>675</v>
      </c>
      <c r="I297" t="s">
        <v>589</v>
      </c>
      <c r="J297" s="14" t="s">
        <v>40</v>
      </c>
      <c r="K297" t="s">
        <v>605</v>
      </c>
      <c r="L297" t="s">
        <v>71</v>
      </c>
      <c r="M297" t="str">
        <f>VLOOKUP(Incidents[[#This Row],[Ticket ID]],[1]Incidents!$A$2:$D$792,4,FALSE)</f>
        <v>4 - Low</v>
      </c>
      <c r="N297">
        <f>VLOOKUP(Incidents[[#This Row],[Priority]],'SLA Config'!$B$3:$C$6,2,FALSE)</f>
        <v>25</v>
      </c>
      <c r="O297" t="str">
        <f ca="1">IF(Incidents[[#This Row],[Age (days)]]&gt;Incidents[[#This Row],[SLA Threshold]],"NO","Yes")</f>
        <v>Yes</v>
      </c>
    </row>
    <row r="298" spans="1:15" x14ac:dyDescent="0.25">
      <c r="A298" s="19" t="s">
        <v>692</v>
      </c>
      <c r="B298" s="8">
        <v>45520</v>
      </c>
      <c r="C298" s="8">
        <v>45525</v>
      </c>
      <c r="D298" t="s">
        <v>29</v>
      </c>
      <c r="E298" s="17" t="s">
        <v>324</v>
      </c>
      <c r="F298" s="49">
        <f t="shared" ca="1" si="4"/>
        <v>4</v>
      </c>
      <c r="G298" s="16" t="s">
        <v>31</v>
      </c>
      <c r="H298" s="11" t="s">
        <v>648</v>
      </c>
      <c r="I298" t="s">
        <v>589</v>
      </c>
      <c r="J298" s="14" t="s">
        <v>40</v>
      </c>
      <c r="K298" s="27" t="s">
        <v>605</v>
      </c>
      <c r="L298" s="27" t="s">
        <v>71</v>
      </c>
      <c r="M298" t="str">
        <f>VLOOKUP(Incidents[[#This Row],[Ticket ID]],[1]Incidents!$A$2:$D$792,4,FALSE)</f>
        <v>4 - Low</v>
      </c>
      <c r="N298">
        <f>VLOOKUP(Incidents[[#This Row],[Priority]],'SLA Config'!$B$3:$C$6,2,FALSE)</f>
        <v>25</v>
      </c>
      <c r="O298" t="str">
        <f ca="1">IF(Incidents[[#This Row],[Age (days)]]&gt;Incidents[[#This Row],[SLA Threshold]],"NO","Yes")</f>
        <v>Yes</v>
      </c>
    </row>
    <row r="299" spans="1:15" x14ac:dyDescent="0.25">
      <c r="A299" s="28" t="s">
        <v>693</v>
      </c>
      <c r="B299" s="29">
        <v>45673</v>
      </c>
      <c r="C299" s="29">
        <v>45678</v>
      </c>
      <c r="D299" s="28" t="s">
        <v>29</v>
      </c>
      <c r="E299" s="28" t="s">
        <v>46</v>
      </c>
      <c r="F299" s="49">
        <f t="shared" ca="1" si="4"/>
        <v>4</v>
      </c>
      <c r="G299" s="28" t="s">
        <v>31</v>
      </c>
      <c r="H299" s="28" t="s">
        <v>694</v>
      </c>
      <c r="I299" t="s">
        <v>589</v>
      </c>
      <c r="J299" s="14"/>
      <c r="K299" s="28" t="s">
        <v>35</v>
      </c>
      <c r="L299" t="s">
        <v>36</v>
      </c>
      <c r="M299" t="str">
        <f>VLOOKUP(Incidents[[#This Row],[Ticket ID]],[1]Incidents!$A$2:$D$792,4,FALSE)</f>
        <v>4 - Low</v>
      </c>
      <c r="N299">
        <f>VLOOKUP(Incidents[[#This Row],[Priority]],'SLA Config'!$B$3:$C$6,2,FALSE)</f>
        <v>25</v>
      </c>
      <c r="O299" t="str">
        <f ca="1">IF(Incidents[[#This Row],[Age (days)]]&gt;Incidents[[#This Row],[SLA Threshold]],"NO","Yes")</f>
        <v>Yes</v>
      </c>
    </row>
    <row r="300" spans="1:15" x14ac:dyDescent="0.25">
      <c r="A300" s="28" t="s">
        <v>695</v>
      </c>
      <c r="B300" s="29">
        <v>45681</v>
      </c>
      <c r="C300" s="29">
        <v>45686</v>
      </c>
      <c r="D300" s="28" t="s">
        <v>29</v>
      </c>
      <c r="E300" s="28" t="s">
        <v>324</v>
      </c>
      <c r="F300" s="49">
        <f t="shared" ca="1" si="4"/>
        <v>4</v>
      </c>
      <c r="G300" s="28" t="s">
        <v>51</v>
      </c>
      <c r="H300" s="28" t="s">
        <v>556</v>
      </c>
      <c r="I300" t="s">
        <v>589</v>
      </c>
      <c r="J300" s="15" t="s">
        <v>118</v>
      </c>
      <c r="K300" s="28" t="s">
        <v>119</v>
      </c>
      <c r="L300" t="s">
        <v>120</v>
      </c>
      <c r="M300" t="str">
        <f>VLOOKUP(Incidents[[#This Row],[Ticket ID]],[1]Incidents!$A$2:$D$792,4,FALSE)</f>
        <v>2 - High</v>
      </c>
      <c r="N300">
        <f>VLOOKUP(Incidents[[#This Row],[Priority]],'SLA Config'!$B$3:$C$6,2,FALSE)</f>
        <v>5</v>
      </c>
      <c r="O300" t="str">
        <f ca="1">IF(Incidents[[#This Row],[Age (days)]]&gt;Incidents[[#This Row],[SLA Threshold]],"NO","Yes")</f>
        <v>Yes</v>
      </c>
    </row>
    <row r="301" spans="1:15" x14ac:dyDescent="0.25">
      <c r="A301" s="28" t="s">
        <v>696</v>
      </c>
      <c r="B301" s="29">
        <v>45705</v>
      </c>
      <c r="C301" s="29">
        <v>45714</v>
      </c>
      <c r="D301" s="28" t="s">
        <v>29</v>
      </c>
      <c r="E301" s="28" t="s">
        <v>46</v>
      </c>
      <c r="F301" s="49">
        <f t="shared" ca="1" si="4"/>
        <v>8</v>
      </c>
      <c r="G301" s="28" t="s">
        <v>31</v>
      </c>
      <c r="H301" s="28" t="s">
        <v>686</v>
      </c>
      <c r="I301" t="s">
        <v>589</v>
      </c>
      <c r="J301" s="20" t="s">
        <v>34</v>
      </c>
      <c r="K301" s="28" t="s">
        <v>575</v>
      </c>
      <c r="L301" t="s">
        <v>71</v>
      </c>
      <c r="M301" t="str">
        <f>VLOOKUP(Incidents[[#This Row],[Ticket ID]],[1]Incidents!$A$2:$D$792,4,FALSE)</f>
        <v>4 - Low</v>
      </c>
      <c r="N301">
        <f>VLOOKUP(Incidents[[#This Row],[Priority]],'SLA Config'!$B$3:$C$6,2,FALSE)</f>
        <v>25</v>
      </c>
      <c r="O301" t="str">
        <f ca="1">IF(Incidents[[#This Row],[Age (days)]]&gt;Incidents[[#This Row],[SLA Threshold]],"NO","Yes")</f>
        <v>Yes</v>
      </c>
    </row>
    <row r="302" spans="1:15" x14ac:dyDescent="0.25">
      <c r="A302" s="28" t="s">
        <v>697</v>
      </c>
      <c r="B302" s="29">
        <v>45695</v>
      </c>
      <c r="C302" s="29">
        <v>45705</v>
      </c>
      <c r="D302" s="28" t="s">
        <v>29</v>
      </c>
      <c r="E302" s="28" t="s">
        <v>30</v>
      </c>
      <c r="F302" s="49">
        <f t="shared" ca="1" si="4"/>
        <v>7</v>
      </c>
      <c r="G302" s="28" t="s">
        <v>31</v>
      </c>
      <c r="H302" s="28" t="s">
        <v>698</v>
      </c>
      <c r="I302" t="s">
        <v>589</v>
      </c>
      <c r="J302" s="20"/>
      <c r="K302" s="28" t="s">
        <v>90</v>
      </c>
      <c r="L302" t="s">
        <v>36</v>
      </c>
      <c r="M302" t="str">
        <f>VLOOKUP(Incidents[[#This Row],[Ticket ID]],[1]Incidents!$A$2:$D$792,4,FALSE)</f>
        <v>2 - High</v>
      </c>
      <c r="N302">
        <f>VLOOKUP(Incidents[[#This Row],[Priority]],'SLA Config'!$B$3:$C$6,2,FALSE)</f>
        <v>5</v>
      </c>
      <c r="O302" t="str">
        <f ca="1">IF(Incidents[[#This Row],[Age (days)]]&gt;Incidents[[#This Row],[SLA Threshold]],"NO","Yes")</f>
        <v>NO</v>
      </c>
    </row>
    <row r="303" spans="1:15" x14ac:dyDescent="0.25">
      <c r="A303" s="28" t="s">
        <v>699</v>
      </c>
      <c r="B303" s="29">
        <v>45691</v>
      </c>
      <c r="C303" s="29">
        <v>45698</v>
      </c>
      <c r="D303" s="28" t="s">
        <v>29</v>
      </c>
      <c r="E303" s="28" t="s">
        <v>46</v>
      </c>
      <c r="F303" s="49">
        <f t="shared" ca="1" si="4"/>
        <v>6</v>
      </c>
      <c r="G303" s="28" t="s">
        <v>31</v>
      </c>
      <c r="H303" s="28" t="s">
        <v>700</v>
      </c>
      <c r="I303" t="s">
        <v>589</v>
      </c>
      <c r="J303" s="20"/>
      <c r="K303" s="28" t="s">
        <v>35</v>
      </c>
      <c r="L303" t="s">
        <v>36</v>
      </c>
      <c r="M303" t="str">
        <f>VLOOKUP(Incidents[[#This Row],[Ticket ID]],[1]Incidents!$A$2:$D$792,4,FALSE)</f>
        <v>4 - Low</v>
      </c>
      <c r="N303">
        <f>VLOOKUP(Incidents[[#This Row],[Priority]],'SLA Config'!$B$3:$C$6,2,FALSE)</f>
        <v>25</v>
      </c>
      <c r="O303" t="str">
        <f ca="1">IF(Incidents[[#This Row],[Age (days)]]&gt;Incidents[[#This Row],[SLA Threshold]],"NO","Yes")</f>
        <v>Yes</v>
      </c>
    </row>
    <row r="304" spans="1:15" x14ac:dyDescent="0.25">
      <c r="A304" s="28" t="s">
        <v>701</v>
      </c>
      <c r="B304" s="29">
        <v>45695</v>
      </c>
      <c r="C304" s="29">
        <v>45704</v>
      </c>
      <c r="D304" s="28" t="s">
        <v>29</v>
      </c>
      <c r="E304" s="28" t="s">
        <v>30</v>
      </c>
      <c r="F304" s="49">
        <f t="shared" ca="1" si="4"/>
        <v>6</v>
      </c>
      <c r="G304" s="28" t="s">
        <v>31</v>
      </c>
      <c r="H304" s="28" t="s">
        <v>702</v>
      </c>
      <c r="I304" t="s">
        <v>589</v>
      </c>
      <c r="J304" s="20"/>
      <c r="K304" s="28" t="s">
        <v>90</v>
      </c>
      <c r="L304" t="s">
        <v>36</v>
      </c>
      <c r="M304" t="str">
        <f>VLOOKUP(Incidents[[#This Row],[Ticket ID]],[1]Incidents!$A$2:$D$792,4,FALSE)</f>
        <v>2 - High</v>
      </c>
      <c r="N304">
        <f>VLOOKUP(Incidents[[#This Row],[Priority]],'SLA Config'!$B$3:$C$6,2,FALSE)</f>
        <v>5</v>
      </c>
      <c r="O304" t="str">
        <f ca="1">IF(Incidents[[#This Row],[Age (days)]]&gt;Incidents[[#This Row],[SLA Threshold]],"NO","Yes")</f>
        <v>NO</v>
      </c>
    </row>
    <row r="305" spans="1:15" x14ac:dyDescent="0.25">
      <c r="A305" s="28" t="s">
        <v>703</v>
      </c>
      <c r="B305" s="29">
        <v>45684</v>
      </c>
      <c r="C305" s="29">
        <v>45689</v>
      </c>
      <c r="D305" s="28" t="s">
        <v>29</v>
      </c>
      <c r="E305" s="28" t="s">
        <v>46</v>
      </c>
      <c r="F305" s="49">
        <f t="shared" ca="1" si="4"/>
        <v>5</v>
      </c>
      <c r="G305" s="28" t="s">
        <v>31</v>
      </c>
      <c r="H305" s="28" t="s">
        <v>704</v>
      </c>
      <c r="I305" t="s">
        <v>589</v>
      </c>
      <c r="J305" s="20"/>
      <c r="K305" s="28" t="s">
        <v>35</v>
      </c>
      <c r="L305" t="s">
        <v>36</v>
      </c>
      <c r="M305" t="str">
        <f>VLOOKUP(Incidents[[#This Row],[Ticket ID]],[1]Incidents!$A$2:$D$792,4,FALSE)</f>
        <v>2 - High</v>
      </c>
      <c r="N305">
        <f>VLOOKUP(Incidents[[#This Row],[Priority]],'SLA Config'!$B$3:$C$6,2,FALSE)</f>
        <v>5</v>
      </c>
      <c r="O305" t="str">
        <f ca="1">IF(Incidents[[#This Row],[Age (days)]]&gt;Incidents[[#This Row],[SLA Threshold]],"NO","Yes")</f>
        <v>Yes</v>
      </c>
    </row>
    <row r="306" spans="1:15" x14ac:dyDescent="0.25">
      <c r="A306" s="28" t="s">
        <v>705</v>
      </c>
      <c r="B306" s="29">
        <v>45693</v>
      </c>
      <c r="C306" s="29">
        <v>45699</v>
      </c>
      <c r="D306" s="28" t="s">
        <v>29</v>
      </c>
      <c r="E306" s="28" t="s">
        <v>30</v>
      </c>
      <c r="F306" s="49">
        <f t="shared" ca="1" si="4"/>
        <v>5</v>
      </c>
      <c r="G306" s="28" t="s">
        <v>31</v>
      </c>
      <c r="H306" s="28" t="s">
        <v>706</v>
      </c>
      <c r="I306" t="s">
        <v>589</v>
      </c>
      <c r="J306" s="20"/>
      <c r="K306" s="28" t="s">
        <v>236</v>
      </c>
      <c r="L306" t="s">
        <v>36</v>
      </c>
      <c r="M306" t="str">
        <f>VLOOKUP(Incidents[[#This Row],[Ticket ID]],[1]Incidents!$A$2:$D$792,4,FALSE)</f>
        <v>2 - High</v>
      </c>
      <c r="N306">
        <f>VLOOKUP(Incidents[[#This Row],[Priority]],'SLA Config'!$B$3:$C$6,2,FALSE)</f>
        <v>5</v>
      </c>
      <c r="O306" t="str">
        <f ca="1">IF(Incidents[[#This Row],[Age (days)]]&gt;Incidents[[#This Row],[SLA Threshold]],"NO","Yes")</f>
        <v>Yes</v>
      </c>
    </row>
    <row r="307" spans="1:15" x14ac:dyDescent="0.25">
      <c r="A307" s="28" t="s">
        <v>707</v>
      </c>
      <c r="B307" s="29">
        <v>45693</v>
      </c>
      <c r="C307" s="29">
        <v>45699</v>
      </c>
      <c r="D307" s="28" t="s">
        <v>29</v>
      </c>
      <c r="E307" s="28" t="s">
        <v>30</v>
      </c>
      <c r="F307" s="49">
        <f t="shared" ca="1" si="4"/>
        <v>5</v>
      </c>
      <c r="G307" s="28" t="s">
        <v>31</v>
      </c>
      <c r="H307" s="28" t="s">
        <v>708</v>
      </c>
      <c r="I307" t="s">
        <v>589</v>
      </c>
      <c r="J307" s="20"/>
      <c r="K307" s="28" t="s">
        <v>90</v>
      </c>
      <c r="L307" t="s">
        <v>36</v>
      </c>
      <c r="M307" t="str">
        <f>VLOOKUP(Incidents[[#This Row],[Ticket ID]],[1]Incidents!$A$2:$D$792,4,FALSE)</f>
        <v>2 - High</v>
      </c>
      <c r="N307">
        <f>VLOOKUP(Incidents[[#This Row],[Priority]],'SLA Config'!$B$3:$C$6,2,FALSE)</f>
        <v>5</v>
      </c>
      <c r="O307" t="str">
        <f ca="1">IF(Incidents[[#This Row],[Age (days)]]&gt;Incidents[[#This Row],[SLA Threshold]],"NO","Yes")</f>
        <v>Yes</v>
      </c>
    </row>
    <row r="308" spans="1:15" x14ac:dyDescent="0.25">
      <c r="A308" s="28" t="s">
        <v>709</v>
      </c>
      <c r="B308" s="29">
        <v>45698</v>
      </c>
      <c r="C308" s="29">
        <v>45704</v>
      </c>
      <c r="D308" s="28" t="s">
        <v>29</v>
      </c>
      <c r="E308" s="28" t="s">
        <v>30</v>
      </c>
      <c r="F308" s="49">
        <f t="shared" ca="1" si="4"/>
        <v>5</v>
      </c>
      <c r="G308" s="28" t="s">
        <v>31</v>
      </c>
      <c r="H308" s="28" t="s">
        <v>710</v>
      </c>
      <c r="I308" t="s">
        <v>589</v>
      </c>
      <c r="J308" s="20"/>
      <c r="K308" s="28" t="s">
        <v>90</v>
      </c>
      <c r="L308" t="s">
        <v>36</v>
      </c>
      <c r="M308" t="str">
        <f>VLOOKUP(Incidents[[#This Row],[Ticket ID]],[1]Incidents!$A$2:$D$792,4,FALSE)</f>
        <v>2 - High</v>
      </c>
      <c r="N308">
        <f>VLOOKUP(Incidents[[#This Row],[Priority]],'SLA Config'!$B$3:$C$6,2,FALSE)</f>
        <v>5</v>
      </c>
      <c r="O308" t="str">
        <f ca="1">IF(Incidents[[#This Row],[Age (days)]]&gt;Incidents[[#This Row],[SLA Threshold]],"NO","Yes")</f>
        <v>Yes</v>
      </c>
    </row>
    <row r="309" spans="1:15" x14ac:dyDescent="0.25">
      <c r="A309" s="28" t="s">
        <v>711</v>
      </c>
      <c r="B309" s="29">
        <v>45699</v>
      </c>
      <c r="C309" s="29">
        <v>45705</v>
      </c>
      <c r="D309" s="28" t="s">
        <v>29</v>
      </c>
      <c r="E309" s="28" t="s">
        <v>46</v>
      </c>
      <c r="F309" s="49">
        <f t="shared" ca="1" si="4"/>
        <v>5</v>
      </c>
      <c r="G309" s="28" t="s">
        <v>31</v>
      </c>
      <c r="H309" s="28" t="s">
        <v>712</v>
      </c>
      <c r="I309" t="s">
        <v>589</v>
      </c>
      <c r="J309" s="20"/>
      <c r="K309" s="28" t="s">
        <v>35</v>
      </c>
      <c r="L309" t="s">
        <v>36</v>
      </c>
      <c r="M309" t="str">
        <f>VLOOKUP(Incidents[[#This Row],[Ticket ID]],[1]Incidents!$A$2:$D$792,4,FALSE)</f>
        <v>2 - High</v>
      </c>
      <c r="N309">
        <f>VLOOKUP(Incidents[[#This Row],[Priority]],'SLA Config'!$B$3:$C$6,2,FALSE)</f>
        <v>5</v>
      </c>
      <c r="O309" t="str">
        <f ca="1">IF(Incidents[[#This Row],[Age (days)]]&gt;Incidents[[#This Row],[SLA Threshold]],"NO","Yes")</f>
        <v>Yes</v>
      </c>
    </row>
    <row r="310" spans="1:15" x14ac:dyDescent="0.25">
      <c r="A310" s="28" t="s">
        <v>713</v>
      </c>
      <c r="B310" s="29">
        <v>45699</v>
      </c>
      <c r="C310" s="29">
        <v>45705</v>
      </c>
      <c r="D310" s="28" t="s">
        <v>29</v>
      </c>
      <c r="E310" s="28" t="s">
        <v>46</v>
      </c>
      <c r="F310" s="49">
        <f t="shared" ca="1" si="4"/>
        <v>5</v>
      </c>
      <c r="G310" s="28" t="s">
        <v>31</v>
      </c>
      <c r="H310" s="28" t="s">
        <v>714</v>
      </c>
      <c r="I310" t="s">
        <v>589</v>
      </c>
      <c r="J310" s="20"/>
      <c r="K310" s="28" t="s">
        <v>35</v>
      </c>
      <c r="L310" t="s">
        <v>36</v>
      </c>
      <c r="M310" t="str">
        <f>VLOOKUP(Incidents[[#This Row],[Ticket ID]],[1]Incidents!$A$2:$D$792,4,FALSE)</f>
        <v>2 - High</v>
      </c>
      <c r="N310">
        <f>VLOOKUP(Incidents[[#This Row],[Priority]],'SLA Config'!$B$3:$C$6,2,FALSE)</f>
        <v>5</v>
      </c>
      <c r="O310" t="str">
        <f ca="1">IF(Incidents[[#This Row],[Age (days)]]&gt;Incidents[[#This Row],[SLA Threshold]],"NO","Yes")</f>
        <v>Yes</v>
      </c>
    </row>
    <row r="311" spans="1:15" x14ac:dyDescent="0.25">
      <c r="A311" s="28" t="s">
        <v>715</v>
      </c>
      <c r="B311" s="29">
        <v>45696</v>
      </c>
      <c r="C311" s="8">
        <v>45721</v>
      </c>
      <c r="D311" s="28" t="s">
        <v>29</v>
      </c>
      <c r="E311" s="28" t="s">
        <v>46</v>
      </c>
      <c r="F311" s="49">
        <f t="shared" ca="1" si="4"/>
        <v>18</v>
      </c>
      <c r="G311" s="28" t="s">
        <v>31</v>
      </c>
      <c r="H311" s="28" t="s">
        <v>716</v>
      </c>
      <c r="I311" t="s">
        <v>589</v>
      </c>
      <c r="J311" s="20"/>
      <c r="K311" s="28" t="s">
        <v>717</v>
      </c>
      <c r="L311" t="s">
        <v>36</v>
      </c>
      <c r="M311" t="str">
        <f>VLOOKUP(Incidents[[#This Row],[Ticket ID]],[1]Incidents!$A$2:$D$792,4,FALSE)</f>
        <v>4 - Low</v>
      </c>
      <c r="N311">
        <f>VLOOKUP(Incidents[[#This Row],[Priority]],'SLA Config'!$B$3:$C$6,2,FALSE)</f>
        <v>25</v>
      </c>
      <c r="O311" t="str">
        <f ca="1">IF(Incidents[[#This Row],[Age (days)]]&gt;Incidents[[#This Row],[SLA Threshold]],"NO","Yes")</f>
        <v>Yes</v>
      </c>
    </row>
    <row r="312" spans="1:15" x14ac:dyDescent="0.25">
      <c r="A312" s="28" t="s">
        <v>718</v>
      </c>
      <c r="B312" s="29">
        <v>45699</v>
      </c>
      <c r="C312" s="8">
        <v>45721</v>
      </c>
      <c r="D312" s="28" t="s">
        <v>29</v>
      </c>
      <c r="E312" s="28" t="s">
        <v>46</v>
      </c>
      <c r="F312" s="49">
        <f t="shared" ca="1" si="4"/>
        <v>17</v>
      </c>
      <c r="G312" s="28" t="s">
        <v>31</v>
      </c>
      <c r="H312" s="28" t="s">
        <v>716</v>
      </c>
      <c r="I312" t="s">
        <v>589</v>
      </c>
      <c r="J312" s="20" t="s">
        <v>34</v>
      </c>
      <c r="K312" s="28" t="s">
        <v>717</v>
      </c>
      <c r="L312" t="s">
        <v>36</v>
      </c>
      <c r="M312" t="str">
        <f>VLOOKUP(Incidents[[#This Row],[Ticket ID]],[1]Incidents!$A$2:$D$792,4,FALSE)</f>
        <v>4 - Low</v>
      </c>
      <c r="N312">
        <f>VLOOKUP(Incidents[[#This Row],[Priority]],'SLA Config'!$B$3:$C$6,2,FALSE)</f>
        <v>25</v>
      </c>
      <c r="O312" t="str">
        <f ca="1">IF(Incidents[[#This Row],[Age (days)]]&gt;Incidents[[#This Row],[SLA Threshold]],"NO","Yes")</f>
        <v>Yes</v>
      </c>
    </row>
    <row r="313" spans="1:15" x14ac:dyDescent="0.25">
      <c r="A313" s="28" t="s">
        <v>719</v>
      </c>
      <c r="B313" s="29">
        <v>45702</v>
      </c>
      <c r="C313" s="8">
        <v>45721</v>
      </c>
      <c r="D313" s="28" t="s">
        <v>29</v>
      </c>
      <c r="E313" s="28" t="s">
        <v>46</v>
      </c>
      <c r="F313" s="49">
        <f t="shared" ca="1" si="4"/>
        <v>14</v>
      </c>
      <c r="G313" s="28" t="s">
        <v>31</v>
      </c>
      <c r="H313" s="28" t="s">
        <v>720</v>
      </c>
      <c r="I313" t="s">
        <v>589</v>
      </c>
      <c r="J313" s="20"/>
      <c r="K313" s="28" t="s">
        <v>35</v>
      </c>
      <c r="L313" t="s">
        <v>36</v>
      </c>
      <c r="M313" t="str">
        <f>VLOOKUP(Incidents[[#This Row],[Ticket ID]],[1]Incidents!$A$2:$D$792,4,FALSE)</f>
        <v>4 - Low</v>
      </c>
      <c r="N313">
        <f>VLOOKUP(Incidents[[#This Row],[Priority]],'SLA Config'!$B$3:$C$6,2,FALSE)</f>
        <v>25</v>
      </c>
      <c r="O313" t="str">
        <f ca="1">IF(Incidents[[#This Row],[Age (days)]]&gt;Incidents[[#This Row],[SLA Threshold]],"NO","Yes")</f>
        <v>Yes</v>
      </c>
    </row>
    <row r="314" spans="1:15" x14ac:dyDescent="0.25">
      <c r="A314" s="28" t="s">
        <v>721</v>
      </c>
      <c r="B314" s="29">
        <v>45698</v>
      </c>
      <c r="C314" s="29">
        <v>45718</v>
      </c>
      <c r="D314" s="28" t="s">
        <v>29</v>
      </c>
      <c r="E314" s="28" t="s">
        <v>46</v>
      </c>
      <c r="F314" s="49">
        <f t="shared" ca="1" si="4"/>
        <v>15</v>
      </c>
      <c r="G314" s="28" t="s">
        <v>31</v>
      </c>
      <c r="H314" s="28" t="s">
        <v>722</v>
      </c>
      <c r="I314" t="s">
        <v>589</v>
      </c>
      <c r="J314" s="20"/>
      <c r="K314" s="28" t="s">
        <v>35</v>
      </c>
      <c r="L314" t="s">
        <v>36</v>
      </c>
      <c r="M314" t="str">
        <f>VLOOKUP(Incidents[[#This Row],[Ticket ID]],[1]Incidents!$A$2:$D$792,4,FALSE)</f>
        <v>2 - High</v>
      </c>
      <c r="N314">
        <f>VLOOKUP(Incidents[[#This Row],[Priority]],'SLA Config'!$B$3:$C$6,2,FALSE)</f>
        <v>5</v>
      </c>
      <c r="O314" t="str">
        <f ca="1">IF(Incidents[[#This Row],[Age (days)]]&gt;Incidents[[#This Row],[SLA Threshold]],"NO","Yes")</f>
        <v>NO</v>
      </c>
    </row>
    <row r="315" spans="1:15" x14ac:dyDescent="0.25">
      <c r="A315" s="28" t="s">
        <v>723</v>
      </c>
      <c r="B315" s="29">
        <v>45705</v>
      </c>
      <c r="C315" s="29">
        <v>45718</v>
      </c>
      <c r="D315" s="28" t="s">
        <v>29</v>
      </c>
      <c r="E315" s="28" t="s">
        <v>46</v>
      </c>
      <c r="F315" s="49">
        <f t="shared" ca="1" si="4"/>
        <v>10</v>
      </c>
      <c r="G315" s="28" t="s">
        <v>31</v>
      </c>
      <c r="H315" s="28" t="s">
        <v>724</v>
      </c>
      <c r="I315" t="s">
        <v>589</v>
      </c>
      <c r="J315" s="21" t="s">
        <v>34</v>
      </c>
      <c r="K315" s="28" t="s">
        <v>35</v>
      </c>
      <c r="L315" t="s">
        <v>36</v>
      </c>
      <c r="M315" t="str">
        <f>VLOOKUP(Incidents[[#This Row],[Ticket ID]],[1]Incidents!$A$2:$D$792,4,FALSE)</f>
        <v>2 - High</v>
      </c>
      <c r="N315">
        <f>VLOOKUP(Incidents[[#This Row],[Priority]],'SLA Config'!$B$3:$C$6,2,FALSE)</f>
        <v>5</v>
      </c>
      <c r="O315" t="str">
        <f ca="1">IF(Incidents[[#This Row],[Age (days)]]&gt;Incidents[[#This Row],[SLA Threshold]],"NO","Yes")</f>
        <v>NO</v>
      </c>
    </row>
    <row r="316" spans="1:15" x14ac:dyDescent="0.25">
      <c r="A316" s="19" t="s">
        <v>725</v>
      </c>
      <c r="B316" s="1">
        <v>45301</v>
      </c>
      <c r="C316" s="8">
        <v>45364</v>
      </c>
      <c r="D316" t="s">
        <v>29</v>
      </c>
      <c r="E316" t="s">
        <v>30</v>
      </c>
      <c r="F316" s="49">
        <f t="shared" ca="1" si="4"/>
        <v>46</v>
      </c>
      <c r="G316" s="16" t="s">
        <v>31</v>
      </c>
      <c r="H316" s="11" t="s">
        <v>726</v>
      </c>
      <c r="I316" t="s">
        <v>727</v>
      </c>
      <c r="J316" s="20" t="s">
        <v>196</v>
      </c>
      <c r="K316" t="s">
        <v>231</v>
      </c>
      <c r="L316" t="s">
        <v>120</v>
      </c>
      <c r="M316" t="str">
        <f>VLOOKUP(Incidents[[#This Row],[Ticket ID]],[1]Incidents!$A$2:$D$792,4,FALSE)</f>
        <v>3 - Medium</v>
      </c>
      <c r="N316">
        <f>VLOOKUP(Incidents[[#This Row],[Priority]],'SLA Config'!$B$3:$C$6,2,FALSE)</f>
        <v>15</v>
      </c>
      <c r="O316" t="str">
        <f ca="1">IF(Incidents[[#This Row],[Age (days)]]&gt;Incidents[[#This Row],[SLA Threshold]],"NO","Yes")</f>
        <v>NO</v>
      </c>
    </row>
    <row r="317" spans="1:15" ht="30" x14ac:dyDescent="0.25">
      <c r="A317" t="s">
        <v>728</v>
      </c>
      <c r="B317" s="1">
        <v>44756</v>
      </c>
      <c r="C317" s="1">
        <v>44830</v>
      </c>
      <c r="D317" t="s">
        <v>29</v>
      </c>
      <c r="E317" t="s">
        <v>54</v>
      </c>
      <c r="F317" s="49">
        <f t="shared" ca="1" si="4"/>
        <v>53</v>
      </c>
      <c r="G317" s="16" t="s">
        <v>31</v>
      </c>
      <c r="H317" s="11" t="s">
        <v>729</v>
      </c>
      <c r="I317" t="s">
        <v>730</v>
      </c>
      <c r="J317" s="20" t="s">
        <v>136</v>
      </c>
      <c r="K317" t="s">
        <v>56</v>
      </c>
      <c r="L317" t="s">
        <v>36</v>
      </c>
      <c r="M317" t="str">
        <f>VLOOKUP(Incidents[[#This Row],[Ticket ID]],[1]Incidents!$A$2:$D$792,4,FALSE)</f>
        <v>3 - Medium</v>
      </c>
      <c r="N317">
        <f>VLOOKUP(Incidents[[#This Row],[Priority]],'SLA Config'!$B$3:$C$6,2,FALSE)</f>
        <v>15</v>
      </c>
      <c r="O317" t="str">
        <f ca="1">IF(Incidents[[#This Row],[Age (days)]]&gt;Incidents[[#This Row],[SLA Threshold]],"NO","Yes")</f>
        <v>NO</v>
      </c>
    </row>
    <row r="318" spans="1:15" ht="30" x14ac:dyDescent="0.25">
      <c r="A318" t="s">
        <v>731</v>
      </c>
      <c r="B318" s="1">
        <v>44841</v>
      </c>
      <c r="C318" s="1">
        <v>44898</v>
      </c>
      <c r="D318" t="s">
        <v>29</v>
      </c>
      <c r="E318" t="s">
        <v>54</v>
      </c>
      <c r="F318" s="49">
        <f t="shared" ca="1" si="4"/>
        <v>41</v>
      </c>
      <c r="G318" s="16" t="s">
        <v>31</v>
      </c>
      <c r="H318" s="11" t="s">
        <v>732</v>
      </c>
      <c r="I318" t="s">
        <v>730</v>
      </c>
      <c r="J318" s="20" t="s">
        <v>136</v>
      </c>
      <c r="K318" t="s">
        <v>44</v>
      </c>
      <c r="L318" t="s">
        <v>36</v>
      </c>
      <c r="M318" t="str">
        <f>VLOOKUP(Incidents[[#This Row],[Ticket ID]],[1]Incidents!$A$2:$D$792,4,FALSE)</f>
        <v>3 - Medium</v>
      </c>
      <c r="N318">
        <f>VLOOKUP(Incidents[[#This Row],[Priority]],'SLA Config'!$B$3:$C$6,2,FALSE)</f>
        <v>15</v>
      </c>
      <c r="O318" t="str">
        <f ca="1">IF(Incidents[[#This Row],[Age (days)]]&gt;Incidents[[#This Row],[SLA Threshold]],"NO","Yes")</f>
        <v>NO</v>
      </c>
    </row>
    <row r="319" spans="1:15" ht="30" x14ac:dyDescent="0.25">
      <c r="A319" t="s">
        <v>733</v>
      </c>
      <c r="B319" s="1">
        <v>44755</v>
      </c>
      <c r="C319" s="1">
        <v>44804</v>
      </c>
      <c r="D319" t="s">
        <v>29</v>
      </c>
      <c r="E319" t="s">
        <v>54</v>
      </c>
      <c r="F319" s="49">
        <f t="shared" ca="1" si="4"/>
        <v>36</v>
      </c>
      <c r="G319" s="16" t="s">
        <v>31</v>
      </c>
      <c r="H319" s="11" t="s">
        <v>734</v>
      </c>
      <c r="I319" t="s">
        <v>730</v>
      </c>
      <c r="J319" s="20" t="s">
        <v>136</v>
      </c>
      <c r="K319" t="s">
        <v>56</v>
      </c>
      <c r="L319" t="s">
        <v>36</v>
      </c>
      <c r="M319" t="str">
        <f>VLOOKUP(Incidents[[#This Row],[Ticket ID]],[1]Incidents!$A$2:$D$792,4,FALSE)</f>
        <v>3 - Medium</v>
      </c>
      <c r="N319">
        <f>VLOOKUP(Incidents[[#This Row],[Priority]],'SLA Config'!$B$3:$C$6,2,FALSE)</f>
        <v>15</v>
      </c>
      <c r="O319" t="str">
        <f ca="1">IF(Incidents[[#This Row],[Age (days)]]&gt;Incidents[[#This Row],[SLA Threshold]],"NO","Yes")</f>
        <v>NO</v>
      </c>
    </row>
    <row r="320" spans="1:15" x14ac:dyDescent="0.25">
      <c r="A320" s="19" t="s">
        <v>735</v>
      </c>
      <c r="B320" s="1">
        <v>45321</v>
      </c>
      <c r="C320" s="8">
        <v>45370</v>
      </c>
      <c r="D320" t="s">
        <v>29</v>
      </c>
      <c r="E320" t="s">
        <v>30</v>
      </c>
      <c r="F320" s="50">
        <f t="shared" ca="1" si="4"/>
        <v>36</v>
      </c>
      <c r="G320" s="16" t="s">
        <v>31</v>
      </c>
      <c r="H320" s="11" t="s">
        <v>736</v>
      </c>
      <c r="I320" s="2" t="s">
        <v>730</v>
      </c>
      <c r="J320" s="20" t="s">
        <v>193</v>
      </c>
      <c r="K320" t="s">
        <v>44</v>
      </c>
      <c r="L320" t="s">
        <v>36</v>
      </c>
      <c r="M320" t="str">
        <f>VLOOKUP(Incidents[[#This Row],[Ticket ID]],[1]Incidents!$A$2:$D$792,4,FALSE)</f>
        <v>3 - Medium</v>
      </c>
      <c r="N320">
        <f>VLOOKUP(Incidents[[#This Row],[Priority]],'SLA Config'!$B$3:$C$6,2,FALSE)</f>
        <v>15</v>
      </c>
      <c r="O320" t="str">
        <f ca="1">IF(Incidents[[#This Row],[Age (days)]]&gt;Incidents[[#This Row],[SLA Threshold]],"NO","Yes")</f>
        <v>NO</v>
      </c>
    </row>
    <row r="321" spans="1:15" ht="30" x14ac:dyDescent="0.25">
      <c r="A321" t="s">
        <v>737</v>
      </c>
      <c r="B321" s="1">
        <v>44764</v>
      </c>
      <c r="C321" s="1">
        <v>44804</v>
      </c>
      <c r="D321" t="s">
        <v>29</v>
      </c>
      <c r="E321" t="s">
        <v>54</v>
      </c>
      <c r="F321" s="49">
        <f t="shared" ca="1" si="4"/>
        <v>29</v>
      </c>
      <c r="G321" s="16" t="s">
        <v>31</v>
      </c>
      <c r="H321" s="11" t="s">
        <v>738</v>
      </c>
      <c r="I321" t="s">
        <v>730</v>
      </c>
      <c r="J321" s="20" t="s">
        <v>136</v>
      </c>
      <c r="K321" t="s">
        <v>56</v>
      </c>
      <c r="L321" t="s">
        <v>36</v>
      </c>
      <c r="M321" t="str">
        <f>VLOOKUP(Incidents[[#This Row],[Ticket ID]],[1]Incidents!$A$2:$D$792,4,FALSE)</f>
        <v>3 - Medium</v>
      </c>
      <c r="N321">
        <f>VLOOKUP(Incidents[[#This Row],[Priority]],'SLA Config'!$B$3:$C$6,2,FALSE)</f>
        <v>15</v>
      </c>
      <c r="O321" t="str">
        <f ca="1">IF(Incidents[[#This Row],[Age (days)]]&gt;Incidents[[#This Row],[SLA Threshold]],"NO","Yes")</f>
        <v>NO</v>
      </c>
    </row>
    <row r="322" spans="1:15" ht="30" x14ac:dyDescent="0.25">
      <c r="A322" t="s">
        <v>739</v>
      </c>
      <c r="B322" s="1">
        <v>44767</v>
      </c>
      <c r="C322" s="1">
        <v>44804</v>
      </c>
      <c r="D322" t="s">
        <v>29</v>
      </c>
      <c r="E322" t="s">
        <v>54</v>
      </c>
      <c r="F322" s="49">
        <f t="shared" ref="F322:F385" ca="1" si="5">IF(ISBLANK(C322), NETWORKDAYS(B322,TODAY()), NETWORKDAYS(B322,C322))</f>
        <v>28</v>
      </c>
      <c r="G322" s="16" t="s">
        <v>31</v>
      </c>
      <c r="H322" s="11" t="s">
        <v>740</v>
      </c>
      <c r="I322" t="s">
        <v>730</v>
      </c>
      <c r="J322" s="20" t="s">
        <v>136</v>
      </c>
      <c r="K322" t="s">
        <v>741</v>
      </c>
      <c r="L322" t="s">
        <v>36</v>
      </c>
      <c r="M322" t="str">
        <f>VLOOKUP(Incidents[[#This Row],[Ticket ID]],[1]Incidents!$A$2:$D$792,4,FALSE)</f>
        <v>3 - Medium</v>
      </c>
      <c r="N322">
        <f>VLOOKUP(Incidents[[#This Row],[Priority]],'SLA Config'!$B$3:$C$6,2,FALSE)</f>
        <v>15</v>
      </c>
      <c r="O322" t="str">
        <f ca="1">IF(Incidents[[#This Row],[Age (days)]]&gt;Incidents[[#This Row],[SLA Threshold]],"NO","Yes")</f>
        <v>NO</v>
      </c>
    </row>
    <row r="323" spans="1:15" ht="30" x14ac:dyDescent="0.25">
      <c r="A323" t="s">
        <v>742</v>
      </c>
      <c r="B323" s="1">
        <v>44767</v>
      </c>
      <c r="C323" s="1">
        <v>44804</v>
      </c>
      <c r="D323" t="s">
        <v>29</v>
      </c>
      <c r="E323" t="s">
        <v>54</v>
      </c>
      <c r="F323" s="49">
        <f t="shared" ca="1" si="5"/>
        <v>28</v>
      </c>
      <c r="G323" s="16" t="s">
        <v>31</v>
      </c>
      <c r="H323" s="11" t="s">
        <v>743</v>
      </c>
      <c r="I323" t="s">
        <v>730</v>
      </c>
      <c r="J323" s="20" t="s">
        <v>136</v>
      </c>
      <c r="K323" t="s">
        <v>56</v>
      </c>
      <c r="L323" t="s">
        <v>36</v>
      </c>
      <c r="M323" t="str">
        <f>VLOOKUP(Incidents[[#This Row],[Ticket ID]],[1]Incidents!$A$2:$D$792,4,FALSE)</f>
        <v>3 - Medium</v>
      </c>
      <c r="N323">
        <f>VLOOKUP(Incidents[[#This Row],[Priority]],'SLA Config'!$B$3:$C$6,2,FALSE)</f>
        <v>15</v>
      </c>
      <c r="O323" t="str">
        <f ca="1">IF(Incidents[[#This Row],[Age (days)]]&gt;Incidents[[#This Row],[SLA Threshold]],"NO","Yes")</f>
        <v>NO</v>
      </c>
    </row>
    <row r="324" spans="1:15" x14ac:dyDescent="0.25">
      <c r="A324" s="28" t="s">
        <v>744</v>
      </c>
      <c r="B324" s="29">
        <v>45632</v>
      </c>
      <c r="C324" s="29">
        <v>45671</v>
      </c>
      <c r="D324" s="28" t="s">
        <v>29</v>
      </c>
      <c r="E324" s="28" t="s">
        <v>46</v>
      </c>
      <c r="F324" s="49">
        <f t="shared" ca="1" si="5"/>
        <v>28</v>
      </c>
      <c r="G324" s="28" t="s">
        <v>31</v>
      </c>
      <c r="H324" s="28" t="s">
        <v>745</v>
      </c>
      <c r="I324" t="s">
        <v>730</v>
      </c>
      <c r="J324" s="20"/>
      <c r="K324" s="28" t="s">
        <v>35</v>
      </c>
      <c r="L324" t="s">
        <v>36</v>
      </c>
      <c r="M324" t="str">
        <f>VLOOKUP(Incidents[[#This Row],[Ticket ID]],[1]Incidents!$A$2:$D$792,4,FALSE)</f>
        <v>4 - Low</v>
      </c>
      <c r="N324">
        <f>VLOOKUP(Incidents[[#This Row],[Priority]],'SLA Config'!$B$3:$C$6,2,FALSE)</f>
        <v>25</v>
      </c>
      <c r="O324" t="str">
        <f ca="1">IF(Incidents[[#This Row],[Age (days)]]&gt;Incidents[[#This Row],[SLA Threshold]],"NO","Yes")</f>
        <v>NO</v>
      </c>
    </row>
    <row r="325" spans="1:15" x14ac:dyDescent="0.25">
      <c r="A325" s="28" t="s">
        <v>746</v>
      </c>
      <c r="B325" s="29">
        <v>45632</v>
      </c>
      <c r="C325" s="29">
        <v>45671</v>
      </c>
      <c r="D325" s="28" t="s">
        <v>29</v>
      </c>
      <c r="E325" s="28" t="s">
        <v>46</v>
      </c>
      <c r="F325" s="49">
        <f t="shared" ca="1" si="5"/>
        <v>28</v>
      </c>
      <c r="G325" s="28" t="s">
        <v>31</v>
      </c>
      <c r="H325" s="28" t="s">
        <v>747</v>
      </c>
      <c r="I325" t="s">
        <v>730</v>
      </c>
      <c r="J325" s="20"/>
      <c r="K325" s="28" t="s">
        <v>35</v>
      </c>
      <c r="L325" t="s">
        <v>36</v>
      </c>
      <c r="M325" t="str">
        <f>VLOOKUP(Incidents[[#This Row],[Ticket ID]],[1]Incidents!$A$2:$D$792,4,FALSE)</f>
        <v>4 - Low</v>
      </c>
      <c r="N325">
        <f>VLOOKUP(Incidents[[#This Row],[Priority]],'SLA Config'!$B$3:$C$6,2,FALSE)</f>
        <v>25</v>
      </c>
      <c r="O325" t="str">
        <f ca="1">IF(Incidents[[#This Row],[Age (days)]]&gt;Incidents[[#This Row],[SLA Threshold]],"NO","Yes")</f>
        <v>NO</v>
      </c>
    </row>
    <row r="326" spans="1:15" x14ac:dyDescent="0.25">
      <c r="A326" s="28" t="s">
        <v>748</v>
      </c>
      <c r="B326" s="29">
        <v>45632</v>
      </c>
      <c r="C326" s="29">
        <v>45671</v>
      </c>
      <c r="D326" s="28" t="s">
        <v>29</v>
      </c>
      <c r="E326" s="28" t="s">
        <v>46</v>
      </c>
      <c r="F326" s="49">
        <f t="shared" ca="1" si="5"/>
        <v>28</v>
      </c>
      <c r="G326" s="28" t="s">
        <v>31</v>
      </c>
      <c r="H326" s="28" t="s">
        <v>749</v>
      </c>
      <c r="I326" t="s">
        <v>730</v>
      </c>
      <c r="J326" s="20"/>
      <c r="K326" s="28" t="s">
        <v>35</v>
      </c>
      <c r="L326" t="s">
        <v>36</v>
      </c>
      <c r="M326" t="str">
        <f>VLOOKUP(Incidents[[#This Row],[Ticket ID]],[1]Incidents!$A$2:$D$792,4,FALSE)</f>
        <v>4 - Low</v>
      </c>
      <c r="N326">
        <f>VLOOKUP(Incidents[[#This Row],[Priority]],'SLA Config'!$B$3:$C$6,2,FALSE)</f>
        <v>25</v>
      </c>
      <c r="O326" t="str">
        <f ca="1">IF(Incidents[[#This Row],[Age (days)]]&gt;Incidents[[#This Row],[SLA Threshold]],"NO","Yes")</f>
        <v>NO</v>
      </c>
    </row>
    <row r="327" spans="1:15" x14ac:dyDescent="0.25">
      <c r="A327" s="28" t="s">
        <v>750</v>
      </c>
      <c r="B327" s="29">
        <v>45632</v>
      </c>
      <c r="C327" s="29">
        <v>45671</v>
      </c>
      <c r="D327" s="28" t="s">
        <v>29</v>
      </c>
      <c r="E327" s="28" t="s">
        <v>46</v>
      </c>
      <c r="F327" s="49">
        <f t="shared" ca="1" si="5"/>
        <v>28</v>
      </c>
      <c r="G327" s="28" t="s">
        <v>31</v>
      </c>
      <c r="H327" s="28" t="s">
        <v>751</v>
      </c>
      <c r="I327" t="s">
        <v>730</v>
      </c>
      <c r="J327" s="20"/>
      <c r="K327" s="28" t="s">
        <v>35</v>
      </c>
      <c r="L327" t="s">
        <v>36</v>
      </c>
      <c r="M327" t="str">
        <f>VLOOKUP(Incidents[[#This Row],[Ticket ID]],[1]Incidents!$A$2:$D$792,4,FALSE)</f>
        <v>4 - Low</v>
      </c>
      <c r="N327">
        <f>VLOOKUP(Incidents[[#This Row],[Priority]],'SLA Config'!$B$3:$C$6,2,FALSE)</f>
        <v>25</v>
      </c>
      <c r="O327" t="str">
        <f ca="1">IF(Incidents[[#This Row],[Age (days)]]&gt;Incidents[[#This Row],[SLA Threshold]],"NO","Yes")</f>
        <v>NO</v>
      </c>
    </row>
    <row r="328" spans="1:15" x14ac:dyDescent="0.25">
      <c r="A328" s="19" t="s">
        <v>752</v>
      </c>
      <c r="B328" s="1">
        <v>44938</v>
      </c>
      <c r="C328" s="1">
        <v>44975</v>
      </c>
      <c r="D328" t="s">
        <v>29</v>
      </c>
      <c r="E328" t="s">
        <v>104</v>
      </c>
      <c r="F328" s="49">
        <f t="shared" ca="1" si="5"/>
        <v>27</v>
      </c>
      <c r="G328" s="16" t="s">
        <v>31</v>
      </c>
      <c r="H328" s="11" t="s">
        <v>753</v>
      </c>
      <c r="I328" t="s">
        <v>730</v>
      </c>
      <c r="J328" s="14" t="s">
        <v>136</v>
      </c>
      <c r="K328" t="s">
        <v>44</v>
      </c>
      <c r="L328" t="s">
        <v>36</v>
      </c>
      <c r="M328" t="str">
        <f>VLOOKUP(Incidents[[#This Row],[Ticket ID]],[1]Incidents!$A$2:$D$792,4,FALSE)</f>
        <v>4 - Low</v>
      </c>
      <c r="N328">
        <f>VLOOKUP(Incidents[[#This Row],[Priority]],'SLA Config'!$B$3:$C$6,2,FALSE)</f>
        <v>25</v>
      </c>
      <c r="O328" t="str">
        <f ca="1">IF(Incidents[[#This Row],[Age (days)]]&gt;Incidents[[#This Row],[SLA Threshold]],"NO","Yes")</f>
        <v>NO</v>
      </c>
    </row>
    <row r="329" spans="1:15" x14ac:dyDescent="0.25">
      <c r="A329" t="s">
        <v>754</v>
      </c>
      <c r="B329" s="1">
        <v>44769</v>
      </c>
      <c r="C329" s="1">
        <v>44804</v>
      </c>
      <c r="D329" t="s">
        <v>29</v>
      </c>
      <c r="E329" t="s">
        <v>38</v>
      </c>
      <c r="F329" s="49">
        <f t="shared" ca="1" si="5"/>
        <v>26</v>
      </c>
      <c r="G329" s="16" t="s">
        <v>31</v>
      </c>
      <c r="H329" s="11" t="s">
        <v>755</v>
      </c>
      <c r="I329" t="s">
        <v>730</v>
      </c>
      <c r="J329" s="14" t="s">
        <v>136</v>
      </c>
      <c r="K329" t="s">
        <v>41</v>
      </c>
      <c r="L329" t="s">
        <v>36</v>
      </c>
      <c r="M329" t="str">
        <f>VLOOKUP(Incidents[[#This Row],[Ticket ID]],[1]Incidents!$A$2:$D$792,4,FALSE)</f>
        <v>4 - Low</v>
      </c>
      <c r="N329">
        <f>VLOOKUP(Incidents[[#This Row],[Priority]],'SLA Config'!$B$3:$C$6,2,FALSE)</f>
        <v>25</v>
      </c>
      <c r="O329" t="str">
        <f ca="1">IF(Incidents[[#This Row],[Age (days)]]&gt;Incidents[[#This Row],[SLA Threshold]],"NO","Yes")</f>
        <v>NO</v>
      </c>
    </row>
    <row r="330" spans="1:15" ht="30" x14ac:dyDescent="0.25">
      <c r="A330" t="s">
        <v>756</v>
      </c>
      <c r="B330" s="1">
        <v>44771</v>
      </c>
      <c r="C330" s="1">
        <v>44804</v>
      </c>
      <c r="D330" t="s">
        <v>29</v>
      </c>
      <c r="E330" t="s">
        <v>54</v>
      </c>
      <c r="F330" s="49">
        <f t="shared" ca="1" si="5"/>
        <v>24</v>
      </c>
      <c r="G330" s="16" t="s">
        <v>31</v>
      </c>
      <c r="H330" s="11" t="s">
        <v>757</v>
      </c>
      <c r="I330" t="s">
        <v>730</v>
      </c>
      <c r="J330" s="14" t="s">
        <v>136</v>
      </c>
      <c r="K330" t="s">
        <v>56</v>
      </c>
      <c r="L330" t="s">
        <v>36</v>
      </c>
      <c r="M330" t="str">
        <f>VLOOKUP(Incidents[[#This Row],[Ticket ID]],[1]Incidents!$A$2:$D$792,4,FALSE)</f>
        <v>3 - Medium</v>
      </c>
      <c r="N330">
        <f>VLOOKUP(Incidents[[#This Row],[Priority]],'SLA Config'!$B$3:$C$6,2,FALSE)</f>
        <v>15</v>
      </c>
      <c r="O330" t="str">
        <f ca="1">IF(Incidents[[#This Row],[Age (days)]]&gt;Incidents[[#This Row],[SLA Threshold]],"NO","Yes")</f>
        <v>NO</v>
      </c>
    </row>
    <row r="331" spans="1:15" ht="30" x14ac:dyDescent="0.25">
      <c r="A331" t="s">
        <v>758</v>
      </c>
      <c r="B331" s="1">
        <v>44771</v>
      </c>
      <c r="C331" s="1">
        <v>44804</v>
      </c>
      <c r="D331" t="s">
        <v>29</v>
      </c>
      <c r="E331" t="s">
        <v>54</v>
      </c>
      <c r="F331" s="49">
        <f t="shared" ca="1" si="5"/>
        <v>24</v>
      </c>
      <c r="G331" s="16" t="s">
        <v>31</v>
      </c>
      <c r="H331" s="11" t="s">
        <v>759</v>
      </c>
      <c r="I331" t="s">
        <v>730</v>
      </c>
      <c r="J331" s="14" t="s">
        <v>136</v>
      </c>
      <c r="K331" t="s">
        <v>56</v>
      </c>
      <c r="L331" t="s">
        <v>36</v>
      </c>
      <c r="M331" t="str">
        <f>VLOOKUP(Incidents[[#This Row],[Ticket ID]],[1]Incidents!$A$2:$D$792,4,FALSE)</f>
        <v>3 - Medium</v>
      </c>
      <c r="N331">
        <f>VLOOKUP(Incidents[[#This Row],[Priority]],'SLA Config'!$B$3:$C$6,2,FALSE)</f>
        <v>15</v>
      </c>
      <c r="O331" t="str">
        <f ca="1">IF(Incidents[[#This Row],[Age (days)]]&gt;Incidents[[#This Row],[SLA Threshold]],"NO","Yes")</f>
        <v>NO</v>
      </c>
    </row>
    <row r="332" spans="1:15" ht="30" x14ac:dyDescent="0.25">
      <c r="A332" t="s">
        <v>760</v>
      </c>
      <c r="B332" s="1">
        <v>44774</v>
      </c>
      <c r="C332" s="1">
        <v>44804</v>
      </c>
      <c r="D332" t="s">
        <v>29</v>
      </c>
      <c r="E332" t="s">
        <v>54</v>
      </c>
      <c r="F332" s="49">
        <f t="shared" ca="1" si="5"/>
        <v>23</v>
      </c>
      <c r="G332" s="16" t="s">
        <v>31</v>
      </c>
      <c r="H332" s="11" t="s">
        <v>761</v>
      </c>
      <c r="I332" t="s">
        <v>730</v>
      </c>
      <c r="J332" s="14" t="s">
        <v>136</v>
      </c>
      <c r="K332" t="s">
        <v>56</v>
      </c>
      <c r="L332" t="s">
        <v>36</v>
      </c>
      <c r="M332" t="str">
        <f>VLOOKUP(Incidents[[#This Row],[Ticket ID]],[1]Incidents!$A$2:$D$792,4,FALSE)</f>
        <v>3 - Medium</v>
      </c>
      <c r="N332">
        <f>VLOOKUP(Incidents[[#This Row],[Priority]],'SLA Config'!$B$3:$C$6,2,FALSE)</f>
        <v>15</v>
      </c>
      <c r="O332" t="str">
        <f ca="1">IF(Incidents[[#This Row],[Age (days)]]&gt;Incidents[[#This Row],[SLA Threshold]],"NO","Yes")</f>
        <v>NO</v>
      </c>
    </row>
    <row r="333" spans="1:15" x14ac:dyDescent="0.25">
      <c r="A333" t="s">
        <v>762</v>
      </c>
      <c r="B333" s="1">
        <v>44774</v>
      </c>
      <c r="C333" s="1">
        <v>44804</v>
      </c>
      <c r="D333" t="s">
        <v>29</v>
      </c>
      <c r="E333" t="s">
        <v>54</v>
      </c>
      <c r="F333" s="49">
        <f t="shared" ca="1" si="5"/>
        <v>23</v>
      </c>
      <c r="G333" s="16" t="s">
        <v>31</v>
      </c>
      <c r="H333" s="11" t="s">
        <v>763</v>
      </c>
      <c r="I333" t="s">
        <v>730</v>
      </c>
      <c r="J333" s="14" t="s">
        <v>136</v>
      </c>
      <c r="K333" t="s">
        <v>56</v>
      </c>
      <c r="L333" t="s">
        <v>36</v>
      </c>
      <c r="M333" t="str">
        <f>VLOOKUP(Incidents[[#This Row],[Ticket ID]],[1]Incidents!$A$2:$D$792,4,FALSE)</f>
        <v>3 - Medium</v>
      </c>
      <c r="N333">
        <f>VLOOKUP(Incidents[[#This Row],[Priority]],'SLA Config'!$B$3:$C$6,2,FALSE)</f>
        <v>15</v>
      </c>
      <c r="O333" t="str">
        <f ca="1">IF(Incidents[[#This Row],[Age (days)]]&gt;Incidents[[#This Row],[SLA Threshold]],"NO","Yes")</f>
        <v>NO</v>
      </c>
    </row>
    <row r="334" spans="1:15" x14ac:dyDescent="0.25">
      <c r="A334" t="s">
        <v>764</v>
      </c>
      <c r="B334" s="1">
        <v>44834</v>
      </c>
      <c r="C334" s="1">
        <v>44865</v>
      </c>
      <c r="D334" t="s">
        <v>29</v>
      </c>
      <c r="E334" t="s">
        <v>54</v>
      </c>
      <c r="F334" s="49">
        <f t="shared" ca="1" si="5"/>
        <v>22</v>
      </c>
      <c r="G334" s="16" t="s">
        <v>31</v>
      </c>
      <c r="H334" s="11" t="s">
        <v>765</v>
      </c>
      <c r="I334" t="s">
        <v>730</v>
      </c>
      <c r="J334" s="14" t="s">
        <v>136</v>
      </c>
      <c r="K334" t="s">
        <v>44</v>
      </c>
      <c r="L334" t="s">
        <v>36</v>
      </c>
      <c r="M334" t="str">
        <f>VLOOKUP(Incidents[[#This Row],[Ticket ID]],[1]Incidents!$A$2:$D$792,4,FALSE)</f>
        <v>4 - Low</v>
      </c>
      <c r="N334">
        <f>VLOOKUP(Incidents[[#This Row],[Priority]],'SLA Config'!$B$3:$C$6,2,FALSE)</f>
        <v>25</v>
      </c>
      <c r="O334" t="str">
        <f ca="1">IF(Incidents[[#This Row],[Age (days)]]&gt;Incidents[[#This Row],[SLA Threshold]],"NO","Yes")</f>
        <v>Yes</v>
      </c>
    </row>
    <row r="335" spans="1:15" x14ac:dyDescent="0.25">
      <c r="A335" t="s">
        <v>766</v>
      </c>
      <c r="B335" s="1">
        <v>44776</v>
      </c>
      <c r="C335" s="1">
        <v>44804</v>
      </c>
      <c r="D335" t="s">
        <v>29</v>
      </c>
      <c r="E335" t="s">
        <v>54</v>
      </c>
      <c r="F335" s="49">
        <f t="shared" ca="1" si="5"/>
        <v>21</v>
      </c>
      <c r="G335" s="16" t="s">
        <v>31</v>
      </c>
      <c r="H335" s="11" t="s">
        <v>767</v>
      </c>
      <c r="I335" t="s">
        <v>730</v>
      </c>
      <c r="J335" s="14" t="s">
        <v>136</v>
      </c>
      <c r="K335" t="s">
        <v>56</v>
      </c>
      <c r="L335" t="s">
        <v>36</v>
      </c>
      <c r="M335" t="str">
        <f>VLOOKUP(Incidents[[#This Row],[Ticket ID]],[1]Incidents!$A$2:$D$792,4,FALSE)</f>
        <v>4 - Low</v>
      </c>
      <c r="N335">
        <f>VLOOKUP(Incidents[[#This Row],[Priority]],'SLA Config'!$B$3:$C$6,2,FALSE)</f>
        <v>25</v>
      </c>
      <c r="O335" t="str">
        <f ca="1">IF(Incidents[[#This Row],[Age (days)]]&gt;Incidents[[#This Row],[SLA Threshold]],"NO","Yes")</f>
        <v>Yes</v>
      </c>
    </row>
    <row r="336" spans="1:15" ht="30" x14ac:dyDescent="0.25">
      <c r="A336" s="2" t="s">
        <v>768</v>
      </c>
      <c r="B336" s="1">
        <v>45030</v>
      </c>
      <c r="C336" s="8">
        <v>45060</v>
      </c>
      <c r="D336" t="s">
        <v>29</v>
      </c>
      <c r="E336" t="s">
        <v>54</v>
      </c>
      <c r="F336" s="49">
        <f t="shared" ca="1" si="5"/>
        <v>21</v>
      </c>
      <c r="G336" s="16" t="s">
        <v>31</v>
      </c>
      <c r="H336" s="11" t="s">
        <v>769</v>
      </c>
      <c r="I336" t="s">
        <v>730</v>
      </c>
      <c r="J336" s="14" t="s">
        <v>136</v>
      </c>
      <c r="K336" t="s">
        <v>44</v>
      </c>
      <c r="L336" t="s">
        <v>36</v>
      </c>
      <c r="M336" t="str">
        <f>VLOOKUP(Incidents[[#This Row],[Ticket ID]],[1]Incidents!$A$2:$D$792,4,FALSE)</f>
        <v>4 - Low</v>
      </c>
      <c r="N336">
        <f>VLOOKUP(Incidents[[#This Row],[Priority]],'SLA Config'!$B$3:$C$6,2,FALSE)</f>
        <v>25</v>
      </c>
      <c r="O336" t="str">
        <f ca="1">IF(Incidents[[#This Row],[Age (days)]]&gt;Incidents[[#This Row],[SLA Threshold]],"NO","Yes")</f>
        <v>Yes</v>
      </c>
    </row>
    <row r="337" spans="1:15" x14ac:dyDescent="0.25">
      <c r="A337" t="s">
        <v>770</v>
      </c>
      <c r="B337" s="1">
        <v>44777</v>
      </c>
      <c r="C337" s="1">
        <v>44804</v>
      </c>
      <c r="D337" t="s">
        <v>29</v>
      </c>
      <c r="E337" t="s">
        <v>54</v>
      </c>
      <c r="F337" s="49">
        <f t="shared" ca="1" si="5"/>
        <v>20</v>
      </c>
      <c r="G337" s="16" t="s">
        <v>31</v>
      </c>
      <c r="H337" s="11" t="s">
        <v>771</v>
      </c>
      <c r="I337" t="s">
        <v>730</v>
      </c>
      <c r="J337" s="14" t="s">
        <v>136</v>
      </c>
      <c r="K337" t="s">
        <v>56</v>
      </c>
      <c r="L337" t="s">
        <v>36</v>
      </c>
      <c r="M337" t="str">
        <f>VLOOKUP(Incidents[[#This Row],[Ticket ID]],[1]Incidents!$A$2:$D$792,4,FALSE)</f>
        <v>4 - Low</v>
      </c>
      <c r="N337">
        <f>VLOOKUP(Incidents[[#This Row],[Priority]],'SLA Config'!$B$3:$C$6,2,FALSE)</f>
        <v>25</v>
      </c>
      <c r="O337" t="str">
        <f ca="1">IF(Incidents[[#This Row],[Age (days)]]&gt;Incidents[[#This Row],[SLA Threshold]],"NO","Yes")</f>
        <v>Yes</v>
      </c>
    </row>
    <row r="338" spans="1:15" x14ac:dyDescent="0.25">
      <c r="A338" t="s">
        <v>772</v>
      </c>
      <c r="B338" s="1">
        <v>44778</v>
      </c>
      <c r="C338" s="1">
        <v>44804</v>
      </c>
      <c r="D338" t="s">
        <v>29</v>
      </c>
      <c r="E338" t="s">
        <v>54</v>
      </c>
      <c r="F338" s="49">
        <f t="shared" ca="1" si="5"/>
        <v>19</v>
      </c>
      <c r="G338" s="16" t="s">
        <v>31</v>
      </c>
      <c r="H338" s="11" t="s">
        <v>773</v>
      </c>
      <c r="I338" t="s">
        <v>730</v>
      </c>
      <c r="J338" s="14" t="s">
        <v>136</v>
      </c>
      <c r="K338" t="s">
        <v>56</v>
      </c>
      <c r="L338" t="s">
        <v>36</v>
      </c>
      <c r="M338" t="str">
        <f>VLOOKUP(Incidents[[#This Row],[Ticket ID]],[1]Incidents!$A$2:$D$792,4,FALSE)</f>
        <v>4 - Low</v>
      </c>
      <c r="N338">
        <f>VLOOKUP(Incidents[[#This Row],[Priority]],'SLA Config'!$B$3:$C$6,2,FALSE)</f>
        <v>25</v>
      </c>
      <c r="O338" t="str">
        <f ca="1">IF(Incidents[[#This Row],[Age (days)]]&gt;Incidents[[#This Row],[SLA Threshold]],"NO","Yes")</f>
        <v>Yes</v>
      </c>
    </row>
    <row r="339" spans="1:15" x14ac:dyDescent="0.25">
      <c r="A339" t="s">
        <v>774</v>
      </c>
      <c r="B339" s="1">
        <v>44813</v>
      </c>
      <c r="C339" s="1">
        <v>44839</v>
      </c>
      <c r="D339" t="s">
        <v>29</v>
      </c>
      <c r="E339" t="s">
        <v>54</v>
      </c>
      <c r="F339" s="49">
        <f t="shared" ca="1" si="5"/>
        <v>19</v>
      </c>
      <c r="G339" s="16" t="s">
        <v>31</v>
      </c>
      <c r="H339" s="11" t="s">
        <v>775</v>
      </c>
      <c r="I339" t="s">
        <v>730</v>
      </c>
      <c r="J339" s="14" t="s">
        <v>136</v>
      </c>
      <c r="K339" t="s">
        <v>44</v>
      </c>
      <c r="L339" t="s">
        <v>36</v>
      </c>
      <c r="M339" t="str">
        <f>VLOOKUP(Incidents[[#This Row],[Ticket ID]],[1]Incidents!$A$2:$D$792,4,FALSE)</f>
        <v>4 - Low</v>
      </c>
      <c r="N339">
        <f>VLOOKUP(Incidents[[#This Row],[Priority]],'SLA Config'!$B$3:$C$6,2,FALSE)</f>
        <v>25</v>
      </c>
      <c r="O339" t="str">
        <f ca="1">IF(Incidents[[#This Row],[Age (days)]]&gt;Incidents[[#This Row],[SLA Threshold]],"NO","Yes")</f>
        <v>Yes</v>
      </c>
    </row>
    <row r="340" spans="1:15" x14ac:dyDescent="0.25">
      <c r="A340" s="28" t="s">
        <v>776</v>
      </c>
      <c r="B340" s="29">
        <v>45643</v>
      </c>
      <c r="C340" s="29">
        <v>45669</v>
      </c>
      <c r="D340" s="28" t="s">
        <v>29</v>
      </c>
      <c r="E340" s="28" t="s">
        <v>46</v>
      </c>
      <c r="F340" s="49">
        <f t="shared" ca="1" si="5"/>
        <v>19</v>
      </c>
      <c r="G340" s="28" t="s">
        <v>31</v>
      </c>
      <c r="H340" s="28" t="s">
        <v>777</v>
      </c>
      <c r="I340" t="s">
        <v>730</v>
      </c>
      <c r="J340" s="14"/>
      <c r="K340" s="28" t="s">
        <v>35</v>
      </c>
      <c r="L340" t="s">
        <v>36</v>
      </c>
      <c r="M340" t="str">
        <f>VLOOKUP(Incidents[[#This Row],[Ticket ID]],[1]Incidents!$A$2:$D$792,4,FALSE)</f>
        <v>2 - High</v>
      </c>
      <c r="N340">
        <f>VLOOKUP(Incidents[[#This Row],[Priority]],'SLA Config'!$B$3:$C$6,2,FALSE)</f>
        <v>5</v>
      </c>
      <c r="O340" t="str">
        <f ca="1">IF(Incidents[[#This Row],[Age (days)]]&gt;Incidents[[#This Row],[SLA Threshold]],"NO","Yes")</f>
        <v>NO</v>
      </c>
    </row>
    <row r="341" spans="1:15" x14ac:dyDescent="0.25">
      <c r="A341" t="s">
        <v>778</v>
      </c>
      <c r="B341" s="1">
        <v>44781</v>
      </c>
      <c r="C341" s="1">
        <v>44804</v>
      </c>
      <c r="D341" t="s">
        <v>29</v>
      </c>
      <c r="E341" t="s">
        <v>54</v>
      </c>
      <c r="F341" s="49">
        <f t="shared" ca="1" si="5"/>
        <v>18</v>
      </c>
      <c r="G341" s="16" t="s">
        <v>31</v>
      </c>
      <c r="H341" s="11" t="s">
        <v>779</v>
      </c>
      <c r="I341" t="s">
        <v>730</v>
      </c>
      <c r="J341" s="15" t="s">
        <v>136</v>
      </c>
      <c r="K341" t="s">
        <v>56</v>
      </c>
      <c r="L341" t="s">
        <v>36</v>
      </c>
      <c r="M341" t="str">
        <f>VLOOKUP(Incidents[[#This Row],[Ticket ID]],[1]Incidents!$A$2:$D$792,4,FALSE)</f>
        <v>4 - Low</v>
      </c>
      <c r="N341">
        <f>VLOOKUP(Incidents[[#This Row],[Priority]],'SLA Config'!$B$3:$C$6,2,FALSE)</f>
        <v>25</v>
      </c>
      <c r="O341" t="str">
        <f ca="1">IF(Incidents[[#This Row],[Age (days)]]&gt;Incidents[[#This Row],[SLA Threshold]],"NO","Yes")</f>
        <v>Yes</v>
      </c>
    </row>
    <row r="342" spans="1:15" x14ac:dyDescent="0.25">
      <c r="A342" t="s">
        <v>780</v>
      </c>
      <c r="B342" s="1">
        <v>44781</v>
      </c>
      <c r="C342" s="1">
        <v>44804</v>
      </c>
      <c r="D342" t="s">
        <v>29</v>
      </c>
      <c r="E342" t="s">
        <v>54</v>
      </c>
      <c r="F342" s="49">
        <f t="shared" ca="1" si="5"/>
        <v>18</v>
      </c>
      <c r="G342" s="16" t="s">
        <v>31</v>
      </c>
      <c r="H342" s="11" t="s">
        <v>781</v>
      </c>
      <c r="I342" t="s">
        <v>730</v>
      </c>
      <c r="J342" s="14" t="s">
        <v>136</v>
      </c>
      <c r="K342" t="s">
        <v>44</v>
      </c>
      <c r="L342" t="s">
        <v>36</v>
      </c>
      <c r="M342" t="str">
        <f>VLOOKUP(Incidents[[#This Row],[Ticket ID]],[1]Incidents!$A$2:$D$792,4,FALSE)</f>
        <v>4 - Low</v>
      </c>
      <c r="N342">
        <f>VLOOKUP(Incidents[[#This Row],[Priority]],'SLA Config'!$B$3:$C$6,2,FALSE)</f>
        <v>25</v>
      </c>
      <c r="O342" t="str">
        <f ca="1">IF(Incidents[[#This Row],[Age (days)]]&gt;Incidents[[#This Row],[SLA Threshold]],"NO","Yes")</f>
        <v>Yes</v>
      </c>
    </row>
    <row r="343" spans="1:15" x14ac:dyDescent="0.25">
      <c r="A343" s="28" t="s">
        <v>782</v>
      </c>
      <c r="B343" s="29">
        <v>45616</v>
      </c>
      <c r="C343" s="29">
        <v>45640</v>
      </c>
      <c r="D343" s="28" t="s">
        <v>29</v>
      </c>
      <c r="E343" s="28" t="s">
        <v>38</v>
      </c>
      <c r="F343" s="49">
        <f t="shared" ca="1" si="5"/>
        <v>18</v>
      </c>
      <c r="G343" s="28" t="s">
        <v>51</v>
      </c>
      <c r="H343" s="28" t="s">
        <v>783</v>
      </c>
      <c r="I343" t="s">
        <v>730</v>
      </c>
      <c r="J343" s="14"/>
      <c r="K343" s="28" t="s">
        <v>119</v>
      </c>
      <c r="L343" t="s">
        <v>120</v>
      </c>
      <c r="M343" t="str">
        <f>VLOOKUP(Incidents[[#This Row],[Ticket ID]],[1]Incidents!$A$2:$D$792,4,FALSE)</f>
        <v>4 - Low</v>
      </c>
      <c r="N343">
        <f>VLOOKUP(Incidents[[#This Row],[Priority]],'SLA Config'!$B$3:$C$6,2,FALSE)</f>
        <v>25</v>
      </c>
      <c r="O343" t="str">
        <f ca="1">IF(Incidents[[#This Row],[Age (days)]]&gt;Incidents[[#This Row],[SLA Threshold]],"NO","Yes")</f>
        <v>Yes</v>
      </c>
    </row>
    <row r="344" spans="1:15" x14ac:dyDescent="0.25">
      <c r="A344" s="19" t="s">
        <v>784</v>
      </c>
      <c r="B344" s="1">
        <v>45072</v>
      </c>
      <c r="C344" s="8">
        <v>45096</v>
      </c>
      <c r="D344" t="s">
        <v>29</v>
      </c>
      <c r="E344" t="s">
        <v>54</v>
      </c>
      <c r="F344" s="49">
        <f t="shared" ca="1" si="5"/>
        <v>17</v>
      </c>
      <c r="G344" s="16" t="s">
        <v>31</v>
      </c>
      <c r="H344" s="11" t="s">
        <v>785</v>
      </c>
      <c r="I344" t="s">
        <v>730</v>
      </c>
      <c r="J344" s="14" t="s">
        <v>136</v>
      </c>
      <c r="K344" t="s">
        <v>207</v>
      </c>
      <c r="L344" t="s">
        <v>36</v>
      </c>
      <c r="M344" t="str">
        <f>VLOOKUP(Incidents[[#This Row],[Ticket ID]],[1]Incidents!$A$2:$D$792,4,FALSE)</f>
        <v>4 - Low</v>
      </c>
      <c r="N344">
        <f>VLOOKUP(Incidents[[#This Row],[Priority]],'SLA Config'!$B$3:$C$6,2,FALSE)</f>
        <v>25</v>
      </c>
      <c r="O344" t="str">
        <f ca="1">IF(Incidents[[#This Row],[Age (days)]]&gt;Incidents[[#This Row],[SLA Threshold]],"NO","Yes")</f>
        <v>Yes</v>
      </c>
    </row>
    <row r="345" spans="1:15" ht="30" x14ac:dyDescent="0.25">
      <c r="A345" t="s">
        <v>786</v>
      </c>
      <c r="B345" s="1">
        <v>44783</v>
      </c>
      <c r="C345" s="1">
        <v>44804</v>
      </c>
      <c r="D345" t="s">
        <v>29</v>
      </c>
      <c r="E345" t="s">
        <v>54</v>
      </c>
      <c r="F345" s="49">
        <f t="shared" ca="1" si="5"/>
        <v>16</v>
      </c>
      <c r="G345" s="16" t="s">
        <v>31</v>
      </c>
      <c r="H345" s="11" t="s">
        <v>787</v>
      </c>
      <c r="I345" t="s">
        <v>730</v>
      </c>
      <c r="J345" s="14" t="s">
        <v>136</v>
      </c>
      <c r="K345" t="s">
        <v>56</v>
      </c>
      <c r="L345" t="s">
        <v>36</v>
      </c>
      <c r="M345" t="str">
        <f>VLOOKUP(Incidents[[#This Row],[Ticket ID]],[1]Incidents!$A$2:$D$792,4,FALSE)</f>
        <v>4 - Low</v>
      </c>
      <c r="N345">
        <f>VLOOKUP(Incidents[[#This Row],[Priority]],'SLA Config'!$B$3:$C$6,2,FALSE)</f>
        <v>25</v>
      </c>
      <c r="O345" t="str">
        <f ca="1">IF(Incidents[[#This Row],[Age (days)]]&gt;Incidents[[#This Row],[SLA Threshold]],"NO","Yes")</f>
        <v>Yes</v>
      </c>
    </row>
    <row r="346" spans="1:15" x14ac:dyDescent="0.25">
      <c r="A346" s="19" t="s">
        <v>788</v>
      </c>
      <c r="B346" s="1">
        <v>45072</v>
      </c>
      <c r="C346" s="8">
        <v>45094</v>
      </c>
      <c r="D346" t="s">
        <v>29</v>
      </c>
      <c r="E346" t="s">
        <v>54</v>
      </c>
      <c r="F346" s="49">
        <f t="shared" ca="1" si="5"/>
        <v>16</v>
      </c>
      <c r="G346" s="16" t="s">
        <v>31</v>
      </c>
      <c r="H346" s="11" t="s">
        <v>789</v>
      </c>
      <c r="I346" t="s">
        <v>730</v>
      </c>
      <c r="J346" s="14" t="s">
        <v>136</v>
      </c>
      <c r="K346" t="s">
        <v>207</v>
      </c>
      <c r="L346" t="s">
        <v>36</v>
      </c>
      <c r="M346" t="str">
        <f>VLOOKUP(Incidents[[#This Row],[Ticket ID]],[1]Incidents!$A$2:$D$792,4,FALSE)</f>
        <v>4 - Low</v>
      </c>
      <c r="N346">
        <f>VLOOKUP(Incidents[[#This Row],[Priority]],'SLA Config'!$B$3:$C$6,2,FALSE)</f>
        <v>25</v>
      </c>
      <c r="O346" t="str">
        <f ca="1">IF(Incidents[[#This Row],[Age (days)]]&gt;Incidents[[#This Row],[SLA Threshold]],"NO","Yes")</f>
        <v>Yes</v>
      </c>
    </row>
    <row r="347" spans="1:15" ht="30" x14ac:dyDescent="0.25">
      <c r="A347" t="s">
        <v>790</v>
      </c>
      <c r="B347" s="1">
        <v>44784</v>
      </c>
      <c r="C347" s="1">
        <v>44804</v>
      </c>
      <c r="D347" t="s">
        <v>29</v>
      </c>
      <c r="E347" t="s">
        <v>54</v>
      </c>
      <c r="F347" s="49">
        <f t="shared" ca="1" si="5"/>
        <v>15</v>
      </c>
      <c r="G347" s="16" t="s">
        <v>31</v>
      </c>
      <c r="H347" s="11" t="s">
        <v>791</v>
      </c>
      <c r="I347" t="s">
        <v>730</v>
      </c>
      <c r="J347" s="14" t="s">
        <v>136</v>
      </c>
      <c r="K347" t="s">
        <v>44</v>
      </c>
      <c r="L347" t="s">
        <v>36</v>
      </c>
      <c r="M347" t="str">
        <f>VLOOKUP(Incidents[[#This Row],[Ticket ID]],[1]Incidents!$A$2:$D$792,4,FALSE)</f>
        <v>4 - Low</v>
      </c>
      <c r="N347">
        <f>VLOOKUP(Incidents[[#This Row],[Priority]],'SLA Config'!$B$3:$C$6,2,FALSE)</f>
        <v>25</v>
      </c>
      <c r="O347" t="str">
        <f ca="1">IF(Incidents[[#This Row],[Age (days)]]&gt;Incidents[[#This Row],[SLA Threshold]],"NO","Yes")</f>
        <v>Yes</v>
      </c>
    </row>
    <row r="348" spans="1:15" x14ac:dyDescent="0.25">
      <c r="A348" s="2" t="s">
        <v>792</v>
      </c>
      <c r="B348" s="1">
        <v>45159</v>
      </c>
      <c r="C348" s="8">
        <v>45178</v>
      </c>
      <c r="D348" t="s">
        <v>29</v>
      </c>
      <c r="E348" t="s">
        <v>38</v>
      </c>
      <c r="F348" s="49">
        <f t="shared" ca="1" si="5"/>
        <v>15</v>
      </c>
      <c r="G348" s="16" t="s">
        <v>31</v>
      </c>
      <c r="H348" s="11" t="s">
        <v>793</v>
      </c>
      <c r="I348" t="s">
        <v>730</v>
      </c>
      <c r="J348" s="14" t="s">
        <v>136</v>
      </c>
      <c r="K348" t="s">
        <v>44</v>
      </c>
      <c r="L348" t="s">
        <v>36</v>
      </c>
      <c r="M348" t="str">
        <f>VLOOKUP(Incidents[[#This Row],[Ticket ID]],[1]Incidents!$A$2:$D$792,4,FALSE)</f>
        <v>4 - Low</v>
      </c>
      <c r="N348">
        <f>VLOOKUP(Incidents[[#This Row],[Priority]],'SLA Config'!$B$3:$C$6,2,FALSE)</f>
        <v>25</v>
      </c>
      <c r="O348" t="str">
        <f ca="1">IF(Incidents[[#This Row],[Age (days)]]&gt;Incidents[[#This Row],[SLA Threshold]],"NO","Yes")</f>
        <v>Yes</v>
      </c>
    </row>
    <row r="349" spans="1:15" x14ac:dyDescent="0.25">
      <c r="A349" s="2" t="s">
        <v>794</v>
      </c>
      <c r="B349" s="1">
        <v>45180</v>
      </c>
      <c r="C349" s="8">
        <v>45199</v>
      </c>
      <c r="D349" t="s">
        <v>29</v>
      </c>
      <c r="E349" t="s">
        <v>30</v>
      </c>
      <c r="F349" s="49">
        <f t="shared" ca="1" si="5"/>
        <v>15</v>
      </c>
      <c r="G349" s="16" t="s">
        <v>31</v>
      </c>
      <c r="H349" s="11" t="s">
        <v>795</v>
      </c>
      <c r="I349" t="s">
        <v>730</v>
      </c>
      <c r="J349" s="14" t="s">
        <v>136</v>
      </c>
      <c r="K349" t="s">
        <v>90</v>
      </c>
      <c r="L349" t="s">
        <v>36</v>
      </c>
      <c r="M349" t="str">
        <f>VLOOKUP(Incidents[[#This Row],[Ticket ID]],[1]Incidents!$A$2:$D$792,4,FALSE)</f>
        <v>4 - Low</v>
      </c>
      <c r="N349">
        <f>VLOOKUP(Incidents[[#This Row],[Priority]],'SLA Config'!$B$3:$C$6,2,FALSE)</f>
        <v>25</v>
      </c>
      <c r="O349" t="str">
        <f ca="1">IF(Incidents[[#This Row],[Age (days)]]&gt;Incidents[[#This Row],[SLA Threshold]],"NO","Yes")</f>
        <v>Yes</v>
      </c>
    </row>
    <row r="350" spans="1:15" x14ac:dyDescent="0.25">
      <c r="A350" s="19" t="s">
        <v>796</v>
      </c>
      <c r="B350" s="8">
        <v>45503</v>
      </c>
      <c r="C350" s="8">
        <v>45523</v>
      </c>
      <c r="D350" t="s">
        <v>29</v>
      </c>
      <c r="E350" t="s">
        <v>46</v>
      </c>
      <c r="F350" s="49">
        <f t="shared" ca="1" si="5"/>
        <v>15</v>
      </c>
      <c r="G350" s="16" t="s">
        <v>31</v>
      </c>
      <c r="H350" t="s">
        <v>797</v>
      </c>
      <c r="I350" t="s">
        <v>730</v>
      </c>
      <c r="J350" s="14" t="s">
        <v>136</v>
      </c>
      <c r="K350" t="s">
        <v>35</v>
      </c>
      <c r="L350" t="s">
        <v>36</v>
      </c>
      <c r="M350" t="str">
        <f>VLOOKUP(Incidents[[#This Row],[Ticket ID]],[1]Incidents!$A$2:$D$792,4,FALSE)</f>
        <v>4 - Low</v>
      </c>
      <c r="N350">
        <f>VLOOKUP(Incidents[[#This Row],[Priority]],'SLA Config'!$B$3:$C$6,2,FALSE)</f>
        <v>25</v>
      </c>
      <c r="O350" t="str">
        <f ca="1">IF(Incidents[[#This Row],[Age (days)]]&gt;Incidents[[#This Row],[SLA Threshold]],"NO","Yes")</f>
        <v>Yes</v>
      </c>
    </row>
    <row r="351" spans="1:15" x14ac:dyDescent="0.25">
      <c r="A351" s="28" t="s">
        <v>798</v>
      </c>
      <c r="B351" s="29">
        <v>45677</v>
      </c>
      <c r="C351" s="29">
        <v>45697</v>
      </c>
      <c r="D351" s="28" t="s">
        <v>29</v>
      </c>
      <c r="E351" s="28" t="s">
        <v>38</v>
      </c>
      <c r="F351" s="49">
        <f t="shared" ca="1" si="5"/>
        <v>15</v>
      </c>
      <c r="G351" s="28" t="s">
        <v>31</v>
      </c>
      <c r="H351" s="28" t="s">
        <v>799</v>
      </c>
      <c r="I351" t="s">
        <v>730</v>
      </c>
      <c r="J351" s="14"/>
      <c r="K351" s="28" t="s">
        <v>717</v>
      </c>
      <c r="L351" t="s">
        <v>36</v>
      </c>
      <c r="M351" t="str">
        <f>VLOOKUP(Incidents[[#This Row],[Ticket ID]],[1]Incidents!$A$2:$D$792,4,FALSE)</f>
        <v>4 - Low</v>
      </c>
      <c r="N351">
        <f>VLOOKUP(Incidents[[#This Row],[Priority]],'SLA Config'!$B$3:$C$6,2,FALSE)</f>
        <v>25</v>
      </c>
      <c r="O351" t="str">
        <f ca="1">IF(Incidents[[#This Row],[Age (days)]]&gt;Incidents[[#This Row],[SLA Threshold]],"NO","Yes")</f>
        <v>Yes</v>
      </c>
    </row>
    <row r="352" spans="1:15" x14ac:dyDescent="0.25">
      <c r="A352" s="28" t="s">
        <v>800</v>
      </c>
      <c r="B352" s="29">
        <v>45677</v>
      </c>
      <c r="C352" s="29">
        <v>45697</v>
      </c>
      <c r="D352" s="28" t="s">
        <v>29</v>
      </c>
      <c r="E352" s="28" t="s">
        <v>38</v>
      </c>
      <c r="F352" s="49">
        <f t="shared" ca="1" si="5"/>
        <v>15</v>
      </c>
      <c r="G352" s="28" t="s">
        <v>801</v>
      </c>
      <c r="H352" s="28" t="s">
        <v>802</v>
      </c>
      <c r="I352" t="s">
        <v>730</v>
      </c>
      <c r="J352" s="14"/>
      <c r="K352" s="28" t="s">
        <v>717</v>
      </c>
      <c r="L352" t="s">
        <v>36</v>
      </c>
      <c r="M352" t="str">
        <f>VLOOKUP(Incidents[[#This Row],[Ticket ID]],[1]Incidents!$A$2:$D$792,4,FALSE)</f>
        <v>4 - Low</v>
      </c>
      <c r="N352">
        <f>VLOOKUP(Incidents[[#This Row],[Priority]],'SLA Config'!$B$3:$C$6,2,FALSE)</f>
        <v>25</v>
      </c>
      <c r="O352" t="str">
        <f ca="1">IF(Incidents[[#This Row],[Age (days)]]&gt;Incidents[[#This Row],[SLA Threshold]],"NO","Yes")</f>
        <v>Yes</v>
      </c>
    </row>
    <row r="353" spans="1:15" ht="30" x14ac:dyDescent="0.25">
      <c r="A353" t="s">
        <v>803</v>
      </c>
      <c r="B353" s="1">
        <v>44785</v>
      </c>
      <c r="C353" s="1">
        <v>44804</v>
      </c>
      <c r="D353" t="s">
        <v>29</v>
      </c>
      <c r="E353" t="s">
        <v>54</v>
      </c>
      <c r="F353" s="49">
        <f t="shared" ca="1" si="5"/>
        <v>14</v>
      </c>
      <c r="G353" s="16" t="s">
        <v>31</v>
      </c>
      <c r="H353" s="11" t="s">
        <v>804</v>
      </c>
      <c r="I353" t="s">
        <v>730</v>
      </c>
      <c r="J353" s="14" t="s">
        <v>136</v>
      </c>
      <c r="K353" t="s">
        <v>44</v>
      </c>
      <c r="L353" t="s">
        <v>36</v>
      </c>
      <c r="M353" t="str">
        <f>VLOOKUP(Incidents[[#This Row],[Ticket ID]],[1]Incidents!$A$2:$D$792,4,FALSE)</f>
        <v>4 - Low</v>
      </c>
      <c r="N353">
        <f>VLOOKUP(Incidents[[#This Row],[Priority]],'SLA Config'!$B$3:$C$6,2,FALSE)</f>
        <v>25</v>
      </c>
      <c r="O353" t="str">
        <f ca="1">IF(Incidents[[#This Row],[Age (days)]]&gt;Incidents[[#This Row],[SLA Threshold]],"NO","Yes")</f>
        <v>Yes</v>
      </c>
    </row>
    <row r="354" spans="1:15" x14ac:dyDescent="0.25">
      <c r="A354" s="19" t="s">
        <v>805</v>
      </c>
      <c r="B354" s="8">
        <v>45504</v>
      </c>
      <c r="C354" s="8">
        <v>45523</v>
      </c>
      <c r="D354" t="s">
        <v>29</v>
      </c>
      <c r="E354" s="17" t="s">
        <v>46</v>
      </c>
      <c r="F354" s="49">
        <f t="shared" ca="1" si="5"/>
        <v>14</v>
      </c>
      <c r="G354" s="16" t="s">
        <v>31</v>
      </c>
      <c r="H354" s="11" t="s">
        <v>806</v>
      </c>
      <c r="I354" t="s">
        <v>730</v>
      </c>
      <c r="J354" s="14" t="s">
        <v>136</v>
      </c>
      <c r="K354" t="s">
        <v>35</v>
      </c>
      <c r="L354" t="s">
        <v>36</v>
      </c>
      <c r="M354" t="str">
        <f>VLOOKUP(Incidents[[#This Row],[Ticket ID]],[1]Incidents!$A$2:$D$792,4,FALSE)</f>
        <v>4 - Low</v>
      </c>
      <c r="N354">
        <f>VLOOKUP(Incidents[[#This Row],[Priority]],'SLA Config'!$B$3:$C$6,2,FALSE)</f>
        <v>25</v>
      </c>
      <c r="O354" t="str">
        <f ca="1">IF(Incidents[[#This Row],[Age (days)]]&gt;Incidents[[#This Row],[SLA Threshold]],"NO","Yes")</f>
        <v>Yes</v>
      </c>
    </row>
    <row r="355" spans="1:15" x14ac:dyDescent="0.25">
      <c r="A355" s="19" t="s">
        <v>807</v>
      </c>
      <c r="B355" s="1">
        <v>45075</v>
      </c>
      <c r="C355" s="8">
        <v>45091</v>
      </c>
      <c r="D355" t="s">
        <v>29</v>
      </c>
      <c r="E355" t="s">
        <v>54</v>
      </c>
      <c r="F355" s="49">
        <f t="shared" ca="1" si="5"/>
        <v>13</v>
      </c>
      <c r="G355" s="16" t="s">
        <v>31</v>
      </c>
      <c r="H355" s="11" t="s">
        <v>808</v>
      </c>
      <c r="I355" t="s">
        <v>730</v>
      </c>
      <c r="J355" s="14" t="s">
        <v>136</v>
      </c>
      <c r="K355" t="s">
        <v>207</v>
      </c>
      <c r="L355" t="s">
        <v>36</v>
      </c>
      <c r="M355" t="str">
        <f>VLOOKUP(Incidents[[#This Row],[Ticket ID]],[1]Incidents!$A$2:$D$792,4,FALSE)</f>
        <v>4 - Low</v>
      </c>
      <c r="N355">
        <f>VLOOKUP(Incidents[[#This Row],[Priority]],'SLA Config'!$B$3:$C$6,2,FALSE)</f>
        <v>25</v>
      </c>
      <c r="O355" t="str">
        <f ca="1">IF(Incidents[[#This Row],[Age (days)]]&gt;Incidents[[#This Row],[SLA Threshold]],"NO","Yes")</f>
        <v>Yes</v>
      </c>
    </row>
    <row r="356" spans="1:15" x14ac:dyDescent="0.25">
      <c r="A356" s="19" t="s">
        <v>809</v>
      </c>
      <c r="B356" s="1">
        <v>45075</v>
      </c>
      <c r="C356" s="8">
        <v>45091</v>
      </c>
      <c r="D356" t="s">
        <v>29</v>
      </c>
      <c r="E356" t="s">
        <v>54</v>
      </c>
      <c r="F356" s="49">
        <f t="shared" ca="1" si="5"/>
        <v>13</v>
      </c>
      <c r="G356" s="16" t="s">
        <v>31</v>
      </c>
      <c r="H356" s="11" t="s">
        <v>810</v>
      </c>
      <c r="I356" t="s">
        <v>730</v>
      </c>
      <c r="J356" s="14" t="s">
        <v>136</v>
      </c>
      <c r="K356" t="s">
        <v>207</v>
      </c>
      <c r="L356" t="s">
        <v>36</v>
      </c>
      <c r="M356" t="str">
        <f>VLOOKUP(Incidents[[#This Row],[Ticket ID]],[1]Incidents!$A$2:$D$792,4,FALSE)</f>
        <v>4 - Low</v>
      </c>
      <c r="N356">
        <f>VLOOKUP(Incidents[[#This Row],[Priority]],'SLA Config'!$B$3:$C$6,2,FALSE)</f>
        <v>25</v>
      </c>
      <c r="O356" t="str">
        <f ca="1">IF(Incidents[[#This Row],[Age (days)]]&gt;Incidents[[#This Row],[SLA Threshold]],"NO","Yes")</f>
        <v>Yes</v>
      </c>
    </row>
    <row r="357" spans="1:15" x14ac:dyDescent="0.25">
      <c r="A357" s="2" t="s">
        <v>811</v>
      </c>
      <c r="B357" s="1">
        <v>45112</v>
      </c>
      <c r="C357" s="8">
        <v>45129</v>
      </c>
      <c r="D357" t="s">
        <v>29</v>
      </c>
      <c r="E357" s="17" t="s">
        <v>54</v>
      </c>
      <c r="F357" s="49">
        <f t="shared" ca="1" si="5"/>
        <v>13</v>
      </c>
      <c r="G357" s="16" t="s">
        <v>31</v>
      </c>
      <c r="H357" s="11" t="s">
        <v>812</v>
      </c>
      <c r="I357" t="s">
        <v>730</v>
      </c>
      <c r="J357" s="14" t="s">
        <v>136</v>
      </c>
      <c r="K357" t="s">
        <v>44</v>
      </c>
      <c r="L357" t="s">
        <v>36</v>
      </c>
      <c r="M357" t="str">
        <f>VLOOKUP(Incidents[[#This Row],[Ticket ID]],[1]Incidents!$A$2:$D$792,4,FALSE)</f>
        <v>4 - Low</v>
      </c>
      <c r="N357">
        <f>VLOOKUP(Incidents[[#This Row],[Priority]],'SLA Config'!$B$3:$C$6,2,FALSE)</f>
        <v>25</v>
      </c>
      <c r="O357" t="str">
        <f ca="1">IF(Incidents[[#This Row],[Age (days)]]&gt;Incidents[[#This Row],[SLA Threshold]],"NO","Yes")</f>
        <v>Yes</v>
      </c>
    </row>
    <row r="358" spans="1:15" x14ac:dyDescent="0.25">
      <c r="A358" s="2" t="s">
        <v>813</v>
      </c>
      <c r="B358" s="1">
        <v>45159</v>
      </c>
      <c r="C358" s="8">
        <v>45175</v>
      </c>
      <c r="D358" t="s">
        <v>29</v>
      </c>
      <c r="E358" t="s">
        <v>38</v>
      </c>
      <c r="F358" s="49">
        <f t="shared" ca="1" si="5"/>
        <v>13</v>
      </c>
      <c r="G358" s="16" t="s">
        <v>31</v>
      </c>
      <c r="H358" s="11" t="s">
        <v>814</v>
      </c>
      <c r="I358" t="s">
        <v>730</v>
      </c>
      <c r="J358" s="14" t="s">
        <v>136</v>
      </c>
      <c r="K358" t="s">
        <v>44</v>
      </c>
      <c r="L358" t="s">
        <v>36</v>
      </c>
      <c r="M358" t="str">
        <f>VLOOKUP(Incidents[[#This Row],[Ticket ID]],[1]Incidents!$A$2:$D$792,4,FALSE)</f>
        <v>4 - Low</v>
      </c>
      <c r="N358">
        <f>VLOOKUP(Incidents[[#This Row],[Priority]],'SLA Config'!$B$3:$C$6,2,FALSE)</f>
        <v>25</v>
      </c>
      <c r="O358" t="str">
        <f ca="1">IF(Incidents[[#This Row],[Age (days)]]&gt;Incidents[[#This Row],[SLA Threshold]],"NO","Yes")</f>
        <v>Yes</v>
      </c>
    </row>
    <row r="359" spans="1:15" x14ac:dyDescent="0.25">
      <c r="A359" s="2" t="s">
        <v>815</v>
      </c>
      <c r="B359" s="1">
        <v>45281</v>
      </c>
      <c r="C359" s="8">
        <v>45299</v>
      </c>
      <c r="D359" t="s">
        <v>29</v>
      </c>
      <c r="E359" s="17" t="s">
        <v>30</v>
      </c>
      <c r="F359" s="49">
        <f t="shared" ca="1" si="5"/>
        <v>13</v>
      </c>
      <c r="G359" s="16" t="s">
        <v>31</v>
      </c>
      <c r="H359" s="11" t="s">
        <v>816</v>
      </c>
      <c r="I359" t="s">
        <v>730</v>
      </c>
      <c r="J359" s="14" t="s">
        <v>136</v>
      </c>
      <c r="K359" t="s">
        <v>90</v>
      </c>
      <c r="L359" t="s">
        <v>36</v>
      </c>
      <c r="M359" t="str">
        <f>VLOOKUP(Incidents[[#This Row],[Ticket ID]],[1]Incidents!$A$2:$D$792,4,FALSE)</f>
        <v>4 - Low</v>
      </c>
      <c r="N359">
        <f>VLOOKUP(Incidents[[#This Row],[Priority]],'SLA Config'!$B$3:$C$6,2,FALSE)</f>
        <v>25</v>
      </c>
      <c r="O359" t="str">
        <f ca="1">IF(Incidents[[#This Row],[Age (days)]]&gt;Incidents[[#This Row],[SLA Threshold]],"NO","Yes")</f>
        <v>Yes</v>
      </c>
    </row>
    <row r="360" spans="1:15" x14ac:dyDescent="0.25">
      <c r="A360" s="19" t="s">
        <v>817</v>
      </c>
      <c r="B360" s="8">
        <v>45505</v>
      </c>
      <c r="C360" s="8">
        <v>45523</v>
      </c>
      <c r="D360" t="s">
        <v>29</v>
      </c>
      <c r="E360" s="17" t="s">
        <v>46</v>
      </c>
      <c r="F360" s="49">
        <f t="shared" ca="1" si="5"/>
        <v>13</v>
      </c>
      <c r="G360" s="16" t="s">
        <v>31</v>
      </c>
      <c r="H360" t="s">
        <v>818</v>
      </c>
      <c r="I360" t="s">
        <v>730</v>
      </c>
      <c r="J360" s="14" t="s">
        <v>136</v>
      </c>
      <c r="K360" t="s">
        <v>35</v>
      </c>
      <c r="L360" t="s">
        <v>36</v>
      </c>
      <c r="M360" t="str">
        <f>VLOOKUP(Incidents[[#This Row],[Ticket ID]],[1]Incidents!$A$2:$D$792,4,FALSE)</f>
        <v>4 - Low</v>
      </c>
      <c r="N360">
        <f>VLOOKUP(Incidents[[#This Row],[Priority]],'SLA Config'!$B$3:$C$6,2,FALSE)</f>
        <v>25</v>
      </c>
      <c r="O360" t="str">
        <f ca="1">IF(Incidents[[#This Row],[Age (days)]]&gt;Incidents[[#This Row],[SLA Threshold]],"NO","Yes")</f>
        <v>Yes</v>
      </c>
    </row>
    <row r="361" spans="1:15" x14ac:dyDescent="0.25">
      <c r="A361" s="2" t="s">
        <v>819</v>
      </c>
      <c r="B361" s="1">
        <v>45553</v>
      </c>
      <c r="C361" s="8">
        <v>45571</v>
      </c>
      <c r="D361" t="s">
        <v>29</v>
      </c>
      <c r="E361" t="s">
        <v>38</v>
      </c>
      <c r="F361" s="49">
        <f t="shared" ca="1" si="5"/>
        <v>13</v>
      </c>
      <c r="G361" t="s">
        <v>31</v>
      </c>
      <c r="H361" t="s">
        <v>820</v>
      </c>
      <c r="I361" t="s">
        <v>730</v>
      </c>
      <c r="J361" s="14" t="s">
        <v>136</v>
      </c>
      <c r="K361" t="s">
        <v>44</v>
      </c>
      <c r="L361" t="s">
        <v>36</v>
      </c>
      <c r="M361" t="str">
        <f>VLOOKUP(Incidents[[#This Row],[Ticket ID]],[1]Incidents!$A$2:$D$792,4,FALSE)</f>
        <v>4 - Low</v>
      </c>
      <c r="N361">
        <f>VLOOKUP(Incidents[[#This Row],[Priority]],'SLA Config'!$B$3:$C$6,2,FALSE)</f>
        <v>25</v>
      </c>
      <c r="O361" t="str">
        <f ca="1">IF(Incidents[[#This Row],[Age (days)]]&gt;Incidents[[#This Row],[SLA Threshold]],"NO","Yes")</f>
        <v>Yes</v>
      </c>
    </row>
    <row r="362" spans="1:15" x14ac:dyDescent="0.25">
      <c r="A362" s="28" t="s">
        <v>821</v>
      </c>
      <c r="B362" s="29">
        <v>45679</v>
      </c>
      <c r="C362" s="29">
        <v>45697</v>
      </c>
      <c r="D362" s="28" t="s">
        <v>29</v>
      </c>
      <c r="E362" s="28" t="s">
        <v>38</v>
      </c>
      <c r="F362" s="49">
        <f t="shared" ca="1" si="5"/>
        <v>13</v>
      </c>
      <c r="G362" s="28" t="s">
        <v>801</v>
      </c>
      <c r="H362" s="28" t="s">
        <v>822</v>
      </c>
      <c r="I362" t="s">
        <v>730</v>
      </c>
      <c r="J362" s="14"/>
      <c r="K362" s="28" t="s">
        <v>717</v>
      </c>
      <c r="L362" t="s">
        <v>36</v>
      </c>
      <c r="M362" t="str">
        <f>VLOOKUP(Incidents[[#This Row],[Ticket ID]],[1]Incidents!$A$2:$D$792,4,FALSE)</f>
        <v>4 - Low</v>
      </c>
      <c r="N362">
        <f>VLOOKUP(Incidents[[#This Row],[Priority]],'SLA Config'!$B$3:$C$6,2,FALSE)</f>
        <v>25</v>
      </c>
      <c r="O362" t="str">
        <f ca="1">IF(Incidents[[#This Row],[Age (days)]]&gt;Incidents[[#This Row],[SLA Threshold]],"NO","Yes")</f>
        <v>Yes</v>
      </c>
    </row>
    <row r="363" spans="1:15" ht="30" x14ac:dyDescent="0.25">
      <c r="A363" t="s">
        <v>823</v>
      </c>
      <c r="B363" s="1">
        <v>44789</v>
      </c>
      <c r="C363" s="1">
        <v>44804</v>
      </c>
      <c r="D363" t="s">
        <v>29</v>
      </c>
      <c r="E363" t="s">
        <v>54</v>
      </c>
      <c r="F363" s="49">
        <f t="shared" ca="1" si="5"/>
        <v>12</v>
      </c>
      <c r="G363" s="16" t="s">
        <v>31</v>
      </c>
      <c r="H363" s="11" t="s">
        <v>824</v>
      </c>
      <c r="I363" t="s">
        <v>730</v>
      </c>
      <c r="J363" s="14" t="s">
        <v>136</v>
      </c>
      <c r="K363" t="s">
        <v>44</v>
      </c>
      <c r="L363" t="s">
        <v>36</v>
      </c>
      <c r="M363" t="str">
        <f>VLOOKUP(Incidents[[#This Row],[Ticket ID]],[1]Incidents!$A$2:$D$792,4,FALSE)</f>
        <v>4 - Low</v>
      </c>
      <c r="N363">
        <f>VLOOKUP(Incidents[[#This Row],[Priority]],'SLA Config'!$B$3:$C$6,2,FALSE)</f>
        <v>25</v>
      </c>
      <c r="O363" t="str">
        <f ca="1">IF(Incidents[[#This Row],[Age (days)]]&gt;Incidents[[#This Row],[SLA Threshold]],"NO","Yes")</f>
        <v>Yes</v>
      </c>
    </row>
    <row r="364" spans="1:15" x14ac:dyDescent="0.25">
      <c r="A364" t="s">
        <v>825</v>
      </c>
      <c r="B364" s="1">
        <v>44789</v>
      </c>
      <c r="C364" s="1">
        <v>44804</v>
      </c>
      <c r="D364" t="s">
        <v>29</v>
      </c>
      <c r="E364" t="s">
        <v>54</v>
      </c>
      <c r="F364" s="49">
        <f t="shared" ca="1" si="5"/>
        <v>12</v>
      </c>
      <c r="G364" s="16" t="s">
        <v>31</v>
      </c>
      <c r="H364" s="11" t="s">
        <v>826</v>
      </c>
      <c r="I364" t="s">
        <v>730</v>
      </c>
      <c r="J364" s="14" t="s">
        <v>136</v>
      </c>
      <c r="K364" t="s">
        <v>44</v>
      </c>
      <c r="L364" t="s">
        <v>36</v>
      </c>
      <c r="M364" t="str">
        <f>VLOOKUP(Incidents[[#This Row],[Ticket ID]],[1]Incidents!$A$2:$D$792,4,FALSE)</f>
        <v>4 - Low</v>
      </c>
      <c r="N364">
        <f>VLOOKUP(Incidents[[#This Row],[Priority]],'SLA Config'!$B$3:$C$6,2,FALSE)</f>
        <v>25</v>
      </c>
      <c r="O364" t="str">
        <f ca="1">IF(Incidents[[#This Row],[Age (days)]]&gt;Incidents[[#This Row],[SLA Threshold]],"NO","Yes")</f>
        <v>Yes</v>
      </c>
    </row>
    <row r="365" spans="1:15" x14ac:dyDescent="0.25">
      <c r="A365" s="2" t="s">
        <v>827</v>
      </c>
      <c r="B365" s="1">
        <v>45113</v>
      </c>
      <c r="C365" s="8">
        <v>45129</v>
      </c>
      <c r="D365" t="s">
        <v>29</v>
      </c>
      <c r="E365" s="17" t="s">
        <v>54</v>
      </c>
      <c r="F365" s="49">
        <f t="shared" ca="1" si="5"/>
        <v>12</v>
      </c>
      <c r="G365" s="16" t="s">
        <v>31</v>
      </c>
      <c r="H365" s="11" t="s">
        <v>828</v>
      </c>
      <c r="I365" t="s">
        <v>730</v>
      </c>
      <c r="J365" s="14" t="s">
        <v>136</v>
      </c>
      <c r="K365" t="s">
        <v>44</v>
      </c>
      <c r="L365" t="s">
        <v>36</v>
      </c>
      <c r="M365" t="str">
        <f>VLOOKUP(Incidents[[#This Row],[Ticket ID]],[1]Incidents!$A$2:$D$792,4,FALSE)</f>
        <v>4 - Low</v>
      </c>
      <c r="N365">
        <f>VLOOKUP(Incidents[[#This Row],[Priority]],'SLA Config'!$B$3:$C$6,2,FALSE)</f>
        <v>25</v>
      </c>
      <c r="O365" t="str">
        <f ca="1">IF(Incidents[[#This Row],[Age (days)]]&gt;Incidents[[#This Row],[SLA Threshold]],"NO","Yes")</f>
        <v>Yes</v>
      </c>
    </row>
    <row r="366" spans="1:15" x14ac:dyDescent="0.25">
      <c r="A366" s="2" t="s">
        <v>829</v>
      </c>
      <c r="B366" s="1">
        <v>45114</v>
      </c>
      <c r="C366" s="8">
        <v>45131</v>
      </c>
      <c r="D366" t="s">
        <v>29</v>
      </c>
      <c r="E366" s="17" t="s">
        <v>54</v>
      </c>
      <c r="F366" s="49">
        <f t="shared" ca="1" si="5"/>
        <v>12</v>
      </c>
      <c r="G366" s="16" t="s">
        <v>31</v>
      </c>
      <c r="H366" s="11" t="s">
        <v>830</v>
      </c>
      <c r="I366" t="s">
        <v>730</v>
      </c>
      <c r="J366" s="14" t="s">
        <v>136</v>
      </c>
      <c r="K366" t="s">
        <v>44</v>
      </c>
      <c r="L366" t="s">
        <v>36</v>
      </c>
      <c r="M366" t="str">
        <f>VLOOKUP(Incidents[[#This Row],[Ticket ID]],[1]Incidents!$A$2:$D$792,4,FALSE)</f>
        <v>4 - Low</v>
      </c>
      <c r="N366">
        <f>VLOOKUP(Incidents[[#This Row],[Priority]],'SLA Config'!$B$3:$C$6,2,FALSE)</f>
        <v>25</v>
      </c>
      <c r="O366" t="str">
        <f ca="1">IF(Incidents[[#This Row],[Age (days)]]&gt;Incidents[[#This Row],[SLA Threshold]],"NO","Yes")</f>
        <v>Yes</v>
      </c>
    </row>
    <row r="367" spans="1:15" x14ac:dyDescent="0.25">
      <c r="A367" s="2" t="s">
        <v>831</v>
      </c>
      <c r="B367" s="1">
        <v>45160</v>
      </c>
      <c r="C367" s="8">
        <v>45175</v>
      </c>
      <c r="D367" t="s">
        <v>29</v>
      </c>
      <c r="E367" t="s">
        <v>38</v>
      </c>
      <c r="F367" s="49">
        <f t="shared" ca="1" si="5"/>
        <v>12</v>
      </c>
      <c r="G367" s="16" t="s">
        <v>31</v>
      </c>
      <c r="H367" s="11" t="s">
        <v>832</v>
      </c>
      <c r="I367" t="s">
        <v>730</v>
      </c>
      <c r="J367" s="14" t="s">
        <v>136</v>
      </c>
      <c r="K367" t="s">
        <v>44</v>
      </c>
      <c r="L367" t="s">
        <v>36</v>
      </c>
      <c r="M367" t="str">
        <f>VLOOKUP(Incidents[[#This Row],[Ticket ID]],[1]Incidents!$A$2:$D$792,4,FALSE)</f>
        <v>4 - Low</v>
      </c>
      <c r="N367">
        <f>VLOOKUP(Incidents[[#This Row],[Priority]],'SLA Config'!$B$3:$C$6,2,FALSE)</f>
        <v>25</v>
      </c>
      <c r="O367" t="str">
        <f ca="1">IF(Incidents[[#This Row],[Age (days)]]&gt;Incidents[[#This Row],[SLA Threshold]],"NO","Yes")</f>
        <v>Yes</v>
      </c>
    </row>
    <row r="368" spans="1:15" x14ac:dyDescent="0.25">
      <c r="A368" s="2" t="s">
        <v>833</v>
      </c>
      <c r="B368" s="1">
        <v>45334</v>
      </c>
      <c r="C368" s="8">
        <v>45349</v>
      </c>
      <c r="D368" t="s">
        <v>29</v>
      </c>
      <c r="E368" s="17" t="s">
        <v>30</v>
      </c>
      <c r="F368" s="49">
        <f t="shared" ca="1" si="5"/>
        <v>12</v>
      </c>
      <c r="G368" s="16" t="s">
        <v>31</v>
      </c>
      <c r="H368" s="11" t="s">
        <v>834</v>
      </c>
      <c r="I368" t="s">
        <v>730</v>
      </c>
      <c r="J368" s="14" t="s">
        <v>136</v>
      </c>
      <c r="K368" t="s">
        <v>44</v>
      </c>
      <c r="L368" t="s">
        <v>36</v>
      </c>
      <c r="M368" t="str">
        <f>VLOOKUP(Incidents[[#This Row],[Ticket ID]],[1]Incidents!$A$2:$D$792,4,FALSE)</f>
        <v>2 - High</v>
      </c>
      <c r="N368">
        <f>VLOOKUP(Incidents[[#This Row],[Priority]],'SLA Config'!$B$3:$C$6,2,FALSE)</f>
        <v>5</v>
      </c>
      <c r="O368" t="str">
        <f ca="1">IF(Incidents[[#This Row],[Age (days)]]&gt;Incidents[[#This Row],[SLA Threshold]],"NO","Yes")</f>
        <v>NO</v>
      </c>
    </row>
    <row r="369" spans="1:15" x14ac:dyDescent="0.25">
      <c r="A369" s="19" t="s">
        <v>835</v>
      </c>
      <c r="B369" s="8">
        <v>45506</v>
      </c>
      <c r="C369" s="8">
        <v>45523</v>
      </c>
      <c r="D369" t="s">
        <v>29</v>
      </c>
      <c r="E369" t="s">
        <v>46</v>
      </c>
      <c r="F369" s="49">
        <f t="shared" ca="1" si="5"/>
        <v>12</v>
      </c>
      <c r="G369" s="16" t="s">
        <v>31</v>
      </c>
      <c r="H369" t="s">
        <v>836</v>
      </c>
      <c r="I369" t="s">
        <v>730</v>
      </c>
      <c r="J369" s="14" t="s">
        <v>136</v>
      </c>
      <c r="K369" t="s">
        <v>35</v>
      </c>
      <c r="L369" s="27" t="s">
        <v>36</v>
      </c>
      <c r="M369" t="str">
        <f>VLOOKUP(Incidents[[#This Row],[Ticket ID]],[1]Incidents!$A$2:$D$792,4,FALSE)</f>
        <v>4 - Low</v>
      </c>
      <c r="N369">
        <f>VLOOKUP(Incidents[[#This Row],[Priority]],'SLA Config'!$B$3:$C$6,2,FALSE)</f>
        <v>25</v>
      </c>
      <c r="O369" t="str">
        <f ca="1">IF(Incidents[[#This Row],[Age (days)]]&gt;Incidents[[#This Row],[SLA Threshold]],"NO","Yes")</f>
        <v>Yes</v>
      </c>
    </row>
    <row r="370" spans="1:15" x14ac:dyDescent="0.25">
      <c r="A370" s="28" t="s">
        <v>837</v>
      </c>
      <c r="B370" s="29">
        <v>45649</v>
      </c>
      <c r="C370" s="29">
        <v>45664</v>
      </c>
      <c r="D370" s="28" t="s">
        <v>29</v>
      </c>
      <c r="E370" s="28" t="s">
        <v>30</v>
      </c>
      <c r="F370" s="49">
        <f t="shared" ca="1" si="5"/>
        <v>12</v>
      </c>
      <c r="G370" s="28" t="s">
        <v>31</v>
      </c>
      <c r="H370" s="28" t="s">
        <v>838</v>
      </c>
      <c r="I370" t="s">
        <v>730</v>
      </c>
      <c r="J370" s="14"/>
      <c r="K370" s="28" t="s">
        <v>90</v>
      </c>
      <c r="L370" t="s">
        <v>36</v>
      </c>
      <c r="M370" t="str">
        <f>VLOOKUP(Incidents[[#This Row],[Ticket ID]],[1]Incidents!$A$2:$D$792,4,FALSE)</f>
        <v>4 - Low</v>
      </c>
      <c r="N370">
        <f>VLOOKUP(Incidents[[#This Row],[Priority]],'SLA Config'!$B$3:$C$6,2,FALSE)</f>
        <v>25</v>
      </c>
      <c r="O370" t="str">
        <f ca="1">IF(Incidents[[#This Row],[Age (days)]]&gt;Incidents[[#This Row],[SLA Threshold]],"NO","Yes")</f>
        <v>Yes</v>
      </c>
    </row>
    <row r="371" spans="1:15" x14ac:dyDescent="0.25">
      <c r="A371" s="28" t="s">
        <v>839</v>
      </c>
      <c r="B371" s="29">
        <v>45680</v>
      </c>
      <c r="C371" s="29">
        <v>45697</v>
      </c>
      <c r="D371" s="28" t="s">
        <v>29</v>
      </c>
      <c r="E371" s="28" t="s">
        <v>38</v>
      </c>
      <c r="F371" s="49">
        <f t="shared" ca="1" si="5"/>
        <v>12</v>
      </c>
      <c r="G371" s="28" t="s">
        <v>31</v>
      </c>
      <c r="H371" s="28" t="s">
        <v>716</v>
      </c>
      <c r="I371" t="s">
        <v>730</v>
      </c>
      <c r="J371" s="14"/>
      <c r="K371" s="28" t="s">
        <v>717</v>
      </c>
      <c r="L371" t="s">
        <v>36</v>
      </c>
      <c r="M371" t="str">
        <f>VLOOKUP(Incidents[[#This Row],[Ticket ID]],[1]Incidents!$A$2:$D$792,4,FALSE)</f>
        <v>4 - Low</v>
      </c>
      <c r="N371">
        <f>VLOOKUP(Incidents[[#This Row],[Priority]],'SLA Config'!$B$3:$C$6,2,FALSE)</f>
        <v>25</v>
      </c>
      <c r="O371" t="str">
        <f ca="1">IF(Incidents[[#This Row],[Age (days)]]&gt;Incidents[[#This Row],[SLA Threshold]],"NO","Yes")</f>
        <v>Yes</v>
      </c>
    </row>
    <row r="372" spans="1:15" x14ac:dyDescent="0.25">
      <c r="A372" s="28" t="s">
        <v>840</v>
      </c>
      <c r="B372" s="29">
        <v>45680</v>
      </c>
      <c r="C372" s="29">
        <v>45697</v>
      </c>
      <c r="D372" s="28" t="s">
        <v>29</v>
      </c>
      <c r="E372" s="28" t="s">
        <v>38</v>
      </c>
      <c r="F372" s="49">
        <f t="shared" ca="1" si="5"/>
        <v>12</v>
      </c>
      <c r="G372" s="28" t="s">
        <v>801</v>
      </c>
      <c r="H372" s="28" t="s">
        <v>841</v>
      </c>
      <c r="I372" t="s">
        <v>730</v>
      </c>
      <c r="J372" s="14"/>
      <c r="K372" s="28" t="s">
        <v>717</v>
      </c>
      <c r="L372" t="s">
        <v>36</v>
      </c>
      <c r="M372" t="str">
        <f>VLOOKUP(Incidents[[#This Row],[Ticket ID]],[1]Incidents!$A$2:$D$792,4,FALSE)</f>
        <v>4 - Low</v>
      </c>
      <c r="N372">
        <f>VLOOKUP(Incidents[[#This Row],[Priority]],'SLA Config'!$B$3:$C$6,2,FALSE)</f>
        <v>25</v>
      </c>
      <c r="O372" t="str">
        <f ca="1">IF(Incidents[[#This Row],[Age (days)]]&gt;Incidents[[#This Row],[SLA Threshold]],"NO","Yes")</f>
        <v>Yes</v>
      </c>
    </row>
    <row r="373" spans="1:15" x14ac:dyDescent="0.25">
      <c r="A373" s="28" t="s">
        <v>842</v>
      </c>
      <c r="B373" s="29">
        <v>45622</v>
      </c>
      <c r="C373" s="8">
        <v>45733</v>
      </c>
      <c r="D373" s="28" t="s">
        <v>29</v>
      </c>
      <c r="E373" s="28" t="s">
        <v>30</v>
      </c>
      <c r="F373" s="49">
        <f t="shared" ca="1" si="5"/>
        <v>80</v>
      </c>
      <c r="G373" s="28" t="s">
        <v>31</v>
      </c>
      <c r="H373" s="28" t="s">
        <v>843</v>
      </c>
      <c r="I373" t="s">
        <v>730</v>
      </c>
      <c r="J373" s="14"/>
      <c r="K373" s="28" t="s">
        <v>90</v>
      </c>
      <c r="L373" t="s">
        <v>36</v>
      </c>
      <c r="M373" t="str">
        <f>VLOOKUP(Incidents[[#This Row],[Ticket ID]],[1]Incidents!$A$2:$D$792,4,FALSE)</f>
        <v>4 - Low</v>
      </c>
      <c r="N373">
        <f>VLOOKUP(Incidents[[#This Row],[Priority]],'SLA Config'!$B$3:$C$6,2,FALSE)</f>
        <v>25</v>
      </c>
      <c r="O373" t="str">
        <f ca="1">IF(Incidents[[#This Row],[Age (days)]]&gt;Incidents[[#This Row],[SLA Threshold]],"NO","Yes")</f>
        <v>NO</v>
      </c>
    </row>
    <row r="374" spans="1:15" x14ac:dyDescent="0.25">
      <c r="A374" t="s">
        <v>844</v>
      </c>
      <c r="B374" s="1">
        <v>44757</v>
      </c>
      <c r="C374" s="1">
        <v>44772</v>
      </c>
      <c r="D374" t="s">
        <v>29</v>
      </c>
      <c r="E374" t="s">
        <v>54</v>
      </c>
      <c r="F374" s="49">
        <f t="shared" ca="1" si="5"/>
        <v>11</v>
      </c>
      <c r="G374" s="16" t="s">
        <v>31</v>
      </c>
      <c r="H374" s="11" t="s">
        <v>845</v>
      </c>
      <c r="I374" t="s">
        <v>730</v>
      </c>
      <c r="J374" s="14" t="s">
        <v>136</v>
      </c>
      <c r="K374" t="s">
        <v>56</v>
      </c>
      <c r="L374" t="s">
        <v>36</v>
      </c>
      <c r="M374" t="str">
        <f>VLOOKUP(Incidents[[#This Row],[Ticket ID]],[1]Incidents!$A$2:$D$792,4,FALSE)</f>
        <v>3 - Medium</v>
      </c>
      <c r="N374">
        <f>VLOOKUP(Incidents[[#This Row],[Priority]],'SLA Config'!$B$3:$C$6,2,FALSE)</f>
        <v>15</v>
      </c>
      <c r="O374" t="str">
        <f ca="1">IF(Incidents[[#This Row],[Age (days)]]&gt;Incidents[[#This Row],[SLA Threshold]],"NO","Yes")</f>
        <v>Yes</v>
      </c>
    </row>
    <row r="375" spans="1:15" ht="30" x14ac:dyDescent="0.25">
      <c r="A375" t="s">
        <v>846</v>
      </c>
      <c r="B375" s="1">
        <v>44790</v>
      </c>
      <c r="C375" s="1">
        <v>44804</v>
      </c>
      <c r="D375" t="s">
        <v>29</v>
      </c>
      <c r="E375" t="s">
        <v>54</v>
      </c>
      <c r="F375" s="49">
        <f t="shared" ca="1" si="5"/>
        <v>11</v>
      </c>
      <c r="G375" s="16" t="s">
        <v>31</v>
      </c>
      <c r="H375" s="11" t="s">
        <v>847</v>
      </c>
      <c r="I375" t="s">
        <v>730</v>
      </c>
      <c r="J375" s="14" t="s">
        <v>136</v>
      </c>
      <c r="K375" t="s">
        <v>44</v>
      </c>
      <c r="L375" t="s">
        <v>36</v>
      </c>
      <c r="M375" t="str">
        <f>VLOOKUP(Incidents[[#This Row],[Ticket ID]],[1]Incidents!$A$2:$D$792,4,FALSE)</f>
        <v>4 - Low</v>
      </c>
      <c r="N375">
        <f>VLOOKUP(Incidents[[#This Row],[Priority]],'SLA Config'!$B$3:$C$6,2,FALSE)</f>
        <v>25</v>
      </c>
      <c r="O375" t="str">
        <f ca="1">IF(Incidents[[#This Row],[Age (days)]]&gt;Incidents[[#This Row],[SLA Threshold]],"NO","Yes")</f>
        <v>Yes</v>
      </c>
    </row>
    <row r="376" spans="1:15" x14ac:dyDescent="0.25">
      <c r="A376" t="s">
        <v>848</v>
      </c>
      <c r="B376" s="1">
        <v>44846</v>
      </c>
      <c r="C376" s="1">
        <v>44860</v>
      </c>
      <c r="D376" t="s">
        <v>29</v>
      </c>
      <c r="E376" t="s">
        <v>54</v>
      </c>
      <c r="F376" s="49">
        <f t="shared" ca="1" si="5"/>
        <v>11</v>
      </c>
      <c r="G376" s="16" t="s">
        <v>31</v>
      </c>
      <c r="H376" s="11" t="s">
        <v>849</v>
      </c>
      <c r="I376" t="s">
        <v>730</v>
      </c>
      <c r="J376" s="14" t="s">
        <v>136</v>
      </c>
      <c r="K376" t="s">
        <v>44</v>
      </c>
      <c r="L376" t="s">
        <v>36</v>
      </c>
      <c r="M376" t="str">
        <f>VLOOKUP(Incidents[[#This Row],[Ticket ID]],[1]Incidents!$A$2:$D$792,4,FALSE)</f>
        <v>4 - Low</v>
      </c>
      <c r="N376">
        <f>VLOOKUP(Incidents[[#This Row],[Priority]],'SLA Config'!$B$3:$C$6,2,FALSE)</f>
        <v>25</v>
      </c>
      <c r="O376" t="str">
        <f ca="1">IF(Incidents[[#This Row],[Age (days)]]&gt;Incidents[[#This Row],[SLA Threshold]],"NO","Yes")</f>
        <v>Yes</v>
      </c>
    </row>
    <row r="377" spans="1:15" x14ac:dyDescent="0.25">
      <c r="A377" s="2" t="s">
        <v>850</v>
      </c>
      <c r="B377" s="1">
        <v>45117</v>
      </c>
      <c r="C377" s="8">
        <v>45131</v>
      </c>
      <c r="D377" t="s">
        <v>29</v>
      </c>
      <c r="E377" s="17" t="s">
        <v>54</v>
      </c>
      <c r="F377" s="49">
        <f t="shared" ca="1" si="5"/>
        <v>11</v>
      </c>
      <c r="G377" s="16" t="s">
        <v>31</v>
      </c>
      <c r="H377" s="11" t="s">
        <v>851</v>
      </c>
      <c r="I377" t="s">
        <v>730</v>
      </c>
      <c r="J377" s="14" t="s">
        <v>136</v>
      </c>
      <c r="K377" t="s">
        <v>44</v>
      </c>
      <c r="L377" t="s">
        <v>36</v>
      </c>
      <c r="M377" t="str">
        <f>VLOOKUP(Incidents[[#This Row],[Ticket ID]],[1]Incidents!$A$2:$D$792,4,FALSE)</f>
        <v>4 - Low</v>
      </c>
      <c r="N377">
        <f>VLOOKUP(Incidents[[#This Row],[Priority]],'SLA Config'!$B$3:$C$6,2,FALSE)</f>
        <v>25</v>
      </c>
      <c r="O377" t="str">
        <f ca="1">IF(Incidents[[#This Row],[Age (days)]]&gt;Incidents[[#This Row],[SLA Threshold]],"NO","Yes")</f>
        <v>Yes</v>
      </c>
    </row>
    <row r="378" spans="1:15" x14ac:dyDescent="0.25">
      <c r="A378" s="2" t="s">
        <v>852</v>
      </c>
      <c r="B378" s="1">
        <v>45161</v>
      </c>
      <c r="C378" s="8">
        <v>45175</v>
      </c>
      <c r="D378" t="s">
        <v>29</v>
      </c>
      <c r="E378" s="17" t="s">
        <v>104</v>
      </c>
      <c r="F378" s="49">
        <f t="shared" ca="1" si="5"/>
        <v>11</v>
      </c>
      <c r="G378" s="16" t="s">
        <v>31</v>
      </c>
      <c r="H378" s="11" t="s">
        <v>853</v>
      </c>
      <c r="I378" t="s">
        <v>730</v>
      </c>
      <c r="J378" s="14" t="s">
        <v>136</v>
      </c>
      <c r="K378" t="s">
        <v>44</v>
      </c>
      <c r="L378" t="s">
        <v>36</v>
      </c>
      <c r="M378" t="str">
        <f>VLOOKUP(Incidents[[#This Row],[Ticket ID]],[1]Incidents!$A$2:$D$792,4,FALSE)</f>
        <v>4 - Low</v>
      </c>
      <c r="N378">
        <f>VLOOKUP(Incidents[[#This Row],[Priority]],'SLA Config'!$B$3:$C$6,2,FALSE)</f>
        <v>25</v>
      </c>
      <c r="O378" t="str">
        <f ca="1">IF(Incidents[[#This Row],[Age (days)]]&gt;Incidents[[#This Row],[SLA Threshold]],"NO","Yes")</f>
        <v>Yes</v>
      </c>
    </row>
    <row r="379" spans="1:15" x14ac:dyDescent="0.25">
      <c r="A379" s="2" t="s">
        <v>854</v>
      </c>
      <c r="B379" s="1">
        <v>45196</v>
      </c>
      <c r="C379" s="8">
        <v>45210</v>
      </c>
      <c r="D379" t="s">
        <v>29</v>
      </c>
      <c r="E379" t="s">
        <v>30</v>
      </c>
      <c r="F379" s="49">
        <f t="shared" ca="1" si="5"/>
        <v>11</v>
      </c>
      <c r="G379" s="16" t="s">
        <v>31</v>
      </c>
      <c r="H379" s="11" t="s">
        <v>855</v>
      </c>
      <c r="I379" t="s">
        <v>730</v>
      </c>
      <c r="J379" s="14" t="s">
        <v>136</v>
      </c>
      <c r="K379" t="s">
        <v>90</v>
      </c>
      <c r="L379" t="s">
        <v>36</v>
      </c>
      <c r="M379" t="str">
        <f>VLOOKUP(Incidents[[#This Row],[Ticket ID]],[1]Incidents!$A$2:$D$792,4,FALSE)</f>
        <v>4 - Low</v>
      </c>
      <c r="N379">
        <f>VLOOKUP(Incidents[[#This Row],[Priority]],'SLA Config'!$B$3:$C$6,2,FALSE)</f>
        <v>25</v>
      </c>
      <c r="O379" t="str">
        <f ca="1">IF(Incidents[[#This Row],[Age (days)]]&gt;Incidents[[#This Row],[SLA Threshold]],"NO","Yes")</f>
        <v>Yes</v>
      </c>
    </row>
    <row r="380" spans="1:15" x14ac:dyDescent="0.25">
      <c r="A380" s="2" t="s">
        <v>856</v>
      </c>
      <c r="B380" s="1">
        <v>45229</v>
      </c>
      <c r="C380" s="8">
        <v>45243</v>
      </c>
      <c r="D380" t="s">
        <v>29</v>
      </c>
      <c r="E380" t="s">
        <v>30</v>
      </c>
      <c r="F380" s="49">
        <f t="shared" ca="1" si="5"/>
        <v>11</v>
      </c>
      <c r="G380" s="16" t="s">
        <v>31</v>
      </c>
      <c r="H380" s="11" t="s">
        <v>857</v>
      </c>
      <c r="I380" t="s">
        <v>730</v>
      </c>
      <c r="J380" s="14" t="s">
        <v>136</v>
      </c>
      <c r="K380" t="s">
        <v>90</v>
      </c>
      <c r="L380" t="s">
        <v>36</v>
      </c>
      <c r="M380" t="str">
        <f>VLOOKUP(Incidents[[#This Row],[Ticket ID]],[1]Incidents!$A$2:$D$792,4,FALSE)</f>
        <v>4 - Low</v>
      </c>
      <c r="N380">
        <f>VLOOKUP(Incidents[[#This Row],[Priority]],'SLA Config'!$B$3:$C$6,2,FALSE)</f>
        <v>25</v>
      </c>
      <c r="O380" t="str">
        <f ca="1">IF(Incidents[[#This Row],[Age (days)]]&gt;Incidents[[#This Row],[SLA Threshold]],"NO","Yes")</f>
        <v>Yes</v>
      </c>
    </row>
    <row r="381" spans="1:15" x14ac:dyDescent="0.25">
      <c r="A381" s="19" t="s">
        <v>858</v>
      </c>
      <c r="B381" s="8">
        <v>45446</v>
      </c>
      <c r="C381" s="8">
        <v>45460</v>
      </c>
      <c r="D381" t="s">
        <v>29</v>
      </c>
      <c r="E381" t="s">
        <v>46</v>
      </c>
      <c r="F381" s="49">
        <f t="shared" ca="1" si="5"/>
        <v>11</v>
      </c>
      <c r="G381" s="16" t="s">
        <v>31</v>
      </c>
      <c r="H381" t="s">
        <v>859</v>
      </c>
      <c r="I381" t="s">
        <v>730</v>
      </c>
      <c r="J381" s="14" t="s">
        <v>136</v>
      </c>
      <c r="K381" t="s">
        <v>35</v>
      </c>
      <c r="L381" t="s">
        <v>36</v>
      </c>
      <c r="M381" t="str">
        <f>VLOOKUP(Incidents[[#This Row],[Ticket ID]],[1]Incidents!$A$2:$D$792,4,FALSE)</f>
        <v>4 - Low</v>
      </c>
      <c r="N381">
        <f>VLOOKUP(Incidents[[#This Row],[Priority]],'SLA Config'!$B$3:$C$6,2,FALSE)</f>
        <v>25</v>
      </c>
      <c r="O381" t="str">
        <f ca="1">IF(Incidents[[#This Row],[Age (days)]]&gt;Incidents[[#This Row],[SLA Threshold]],"NO","Yes")</f>
        <v>Yes</v>
      </c>
    </row>
    <row r="382" spans="1:15" x14ac:dyDescent="0.25">
      <c r="A382" s="28" t="s">
        <v>860</v>
      </c>
      <c r="B382" s="29">
        <v>45657</v>
      </c>
      <c r="C382" s="29">
        <v>45671</v>
      </c>
      <c r="D382" s="28" t="s">
        <v>29</v>
      </c>
      <c r="E382" s="28" t="s">
        <v>46</v>
      </c>
      <c r="F382" s="49">
        <f t="shared" ca="1" si="5"/>
        <v>11</v>
      </c>
      <c r="G382" s="28" t="s">
        <v>31</v>
      </c>
      <c r="H382" s="28" t="s">
        <v>861</v>
      </c>
      <c r="I382" t="s">
        <v>730</v>
      </c>
      <c r="J382" s="14"/>
      <c r="K382" s="28" t="s">
        <v>35</v>
      </c>
      <c r="L382" t="s">
        <v>36</v>
      </c>
      <c r="M382" t="str">
        <f>VLOOKUP(Incidents[[#This Row],[Ticket ID]],[1]Incidents!$A$2:$D$792,4,FALSE)</f>
        <v>4 - Low</v>
      </c>
      <c r="N382">
        <f>VLOOKUP(Incidents[[#This Row],[Priority]],'SLA Config'!$B$3:$C$6,2,FALSE)</f>
        <v>25</v>
      </c>
      <c r="O382" t="str">
        <f ca="1">IF(Incidents[[#This Row],[Age (days)]]&gt;Incidents[[#This Row],[SLA Threshold]],"NO","Yes")</f>
        <v>Yes</v>
      </c>
    </row>
    <row r="383" spans="1:15" ht="30" x14ac:dyDescent="0.25">
      <c r="A383" t="s">
        <v>862</v>
      </c>
      <c r="B383" s="1">
        <v>44791</v>
      </c>
      <c r="C383" s="1">
        <v>44804</v>
      </c>
      <c r="D383" t="s">
        <v>29</v>
      </c>
      <c r="E383" t="s">
        <v>54</v>
      </c>
      <c r="F383" s="49">
        <f t="shared" ca="1" si="5"/>
        <v>10</v>
      </c>
      <c r="G383" s="16" t="s">
        <v>31</v>
      </c>
      <c r="H383" s="11" t="s">
        <v>863</v>
      </c>
      <c r="I383" t="s">
        <v>730</v>
      </c>
      <c r="J383" s="14" t="s">
        <v>136</v>
      </c>
      <c r="K383" t="s">
        <v>44</v>
      </c>
      <c r="L383" t="s">
        <v>36</v>
      </c>
      <c r="M383" t="str">
        <f>VLOOKUP(Incidents[[#This Row],[Ticket ID]],[1]Incidents!$A$2:$D$792,4,FALSE)</f>
        <v>4 - Low</v>
      </c>
      <c r="N383">
        <f>VLOOKUP(Incidents[[#This Row],[Priority]],'SLA Config'!$B$3:$C$6,2,FALSE)</f>
        <v>25</v>
      </c>
      <c r="O383" t="str">
        <f ca="1">IF(Incidents[[#This Row],[Age (days)]]&gt;Incidents[[#This Row],[SLA Threshold]],"NO","Yes")</f>
        <v>Yes</v>
      </c>
    </row>
    <row r="384" spans="1:15" ht="30" x14ac:dyDescent="0.25">
      <c r="A384" t="s">
        <v>864</v>
      </c>
      <c r="B384" s="1">
        <v>44791</v>
      </c>
      <c r="C384" s="1">
        <v>44804</v>
      </c>
      <c r="D384" t="s">
        <v>29</v>
      </c>
      <c r="E384" t="s">
        <v>54</v>
      </c>
      <c r="F384" s="49">
        <f t="shared" ca="1" si="5"/>
        <v>10</v>
      </c>
      <c r="G384" s="16" t="s">
        <v>31</v>
      </c>
      <c r="H384" s="11" t="s">
        <v>865</v>
      </c>
      <c r="I384" t="s">
        <v>730</v>
      </c>
      <c r="J384" s="14" t="s">
        <v>136</v>
      </c>
      <c r="K384" t="s">
        <v>44</v>
      </c>
      <c r="L384" t="s">
        <v>36</v>
      </c>
      <c r="M384" t="str">
        <f>VLOOKUP(Incidents[[#This Row],[Ticket ID]],[1]Incidents!$A$2:$D$792,4,FALSE)</f>
        <v>3 - Medium</v>
      </c>
      <c r="N384">
        <f>VLOOKUP(Incidents[[#This Row],[Priority]],'SLA Config'!$B$3:$C$6,2,FALSE)</f>
        <v>15</v>
      </c>
      <c r="O384" t="str">
        <f ca="1">IF(Incidents[[#This Row],[Age (days)]]&gt;Incidents[[#This Row],[SLA Threshold]],"NO","Yes")</f>
        <v>Yes</v>
      </c>
    </row>
    <row r="385" spans="1:15" x14ac:dyDescent="0.25">
      <c r="A385" t="s">
        <v>866</v>
      </c>
      <c r="B385" s="1">
        <v>44823</v>
      </c>
      <c r="C385" s="1">
        <v>44835</v>
      </c>
      <c r="D385" t="s">
        <v>29</v>
      </c>
      <c r="E385" t="s">
        <v>54</v>
      </c>
      <c r="F385" s="49">
        <f t="shared" ca="1" si="5"/>
        <v>10</v>
      </c>
      <c r="G385" s="16" t="s">
        <v>31</v>
      </c>
      <c r="H385" s="11" t="s">
        <v>867</v>
      </c>
      <c r="I385" t="s">
        <v>730</v>
      </c>
      <c r="J385" s="15" t="s">
        <v>136</v>
      </c>
      <c r="K385" t="s">
        <v>44</v>
      </c>
      <c r="L385" t="s">
        <v>36</v>
      </c>
      <c r="M385" t="str">
        <f>VLOOKUP(Incidents[[#This Row],[Ticket ID]],[1]Incidents!$A$2:$D$792,4,FALSE)</f>
        <v>4 - Low</v>
      </c>
      <c r="N385">
        <f>VLOOKUP(Incidents[[#This Row],[Priority]],'SLA Config'!$B$3:$C$6,2,FALSE)</f>
        <v>25</v>
      </c>
      <c r="O385" t="str">
        <f ca="1">IF(Incidents[[#This Row],[Age (days)]]&gt;Incidents[[#This Row],[SLA Threshold]],"NO","Yes")</f>
        <v>Yes</v>
      </c>
    </row>
    <row r="386" spans="1:15" x14ac:dyDescent="0.25">
      <c r="A386" t="s">
        <v>868</v>
      </c>
      <c r="B386" s="1">
        <v>44847</v>
      </c>
      <c r="C386" s="1">
        <v>44860</v>
      </c>
      <c r="D386" t="s">
        <v>29</v>
      </c>
      <c r="E386" t="s">
        <v>54</v>
      </c>
      <c r="F386" s="49">
        <f t="shared" ref="F386:F449" ca="1" si="6">IF(ISBLANK(C386), NETWORKDAYS(B386,TODAY()), NETWORKDAYS(B386,C386))</f>
        <v>10</v>
      </c>
      <c r="G386" s="16" t="s">
        <v>31</v>
      </c>
      <c r="H386" s="11" t="s">
        <v>869</v>
      </c>
      <c r="I386" t="s">
        <v>730</v>
      </c>
      <c r="J386" s="14" t="s">
        <v>136</v>
      </c>
      <c r="K386" t="s">
        <v>44</v>
      </c>
      <c r="L386" t="s">
        <v>36</v>
      </c>
      <c r="M386" t="str">
        <f>VLOOKUP(Incidents[[#This Row],[Ticket ID]],[1]Incidents!$A$2:$D$792,4,FALSE)</f>
        <v>4 - Low</v>
      </c>
      <c r="N386">
        <f>VLOOKUP(Incidents[[#This Row],[Priority]],'SLA Config'!$B$3:$C$6,2,FALSE)</f>
        <v>25</v>
      </c>
      <c r="O386" t="str">
        <f ca="1">IF(Incidents[[#This Row],[Age (days)]]&gt;Incidents[[#This Row],[SLA Threshold]],"NO","Yes")</f>
        <v>Yes</v>
      </c>
    </row>
    <row r="387" spans="1:15" x14ac:dyDescent="0.25">
      <c r="A387" s="2" t="s">
        <v>870</v>
      </c>
      <c r="B387" s="1">
        <v>45161</v>
      </c>
      <c r="C387" s="8">
        <v>45174</v>
      </c>
      <c r="D387" t="s">
        <v>29</v>
      </c>
      <c r="E387" s="17" t="s">
        <v>104</v>
      </c>
      <c r="F387" s="49">
        <f t="shared" ca="1" si="6"/>
        <v>10</v>
      </c>
      <c r="G387" s="16" t="s">
        <v>31</v>
      </c>
      <c r="H387" s="11" t="s">
        <v>871</v>
      </c>
      <c r="I387" t="s">
        <v>730</v>
      </c>
      <c r="J387" s="14" t="s">
        <v>136</v>
      </c>
      <c r="K387" t="s">
        <v>44</v>
      </c>
      <c r="L387" t="s">
        <v>36</v>
      </c>
      <c r="M387" t="str">
        <f>VLOOKUP(Incidents[[#This Row],[Ticket ID]],[1]Incidents!$A$2:$D$792,4,FALSE)</f>
        <v>4 - Low</v>
      </c>
      <c r="N387">
        <f>VLOOKUP(Incidents[[#This Row],[Priority]],'SLA Config'!$B$3:$C$6,2,FALSE)</f>
        <v>25</v>
      </c>
      <c r="O387" t="str">
        <f ca="1">IF(Incidents[[#This Row],[Age (days)]]&gt;Incidents[[#This Row],[SLA Threshold]],"NO","Yes")</f>
        <v>Yes</v>
      </c>
    </row>
    <row r="388" spans="1:15" x14ac:dyDescent="0.25">
      <c r="A388" s="2" t="s">
        <v>872</v>
      </c>
      <c r="B388" s="1">
        <v>45161</v>
      </c>
      <c r="C388" s="8">
        <v>45174</v>
      </c>
      <c r="D388" t="s">
        <v>29</v>
      </c>
      <c r="E388" s="17" t="s">
        <v>104</v>
      </c>
      <c r="F388" s="49">
        <f t="shared" ca="1" si="6"/>
        <v>10</v>
      </c>
      <c r="G388" s="16" t="s">
        <v>31</v>
      </c>
      <c r="H388" s="11" t="s">
        <v>873</v>
      </c>
      <c r="I388" t="s">
        <v>730</v>
      </c>
      <c r="J388" s="14" t="s">
        <v>136</v>
      </c>
      <c r="K388" t="s">
        <v>44</v>
      </c>
      <c r="L388" t="s">
        <v>36</v>
      </c>
      <c r="M388" t="str">
        <f>VLOOKUP(Incidents[[#This Row],[Ticket ID]],[1]Incidents!$A$2:$D$792,4,FALSE)</f>
        <v>4 - Low</v>
      </c>
      <c r="N388">
        <f>VLOOKUP(Incidents[[#This Row],[Priority]],'SLA Config'!$B$3:$C$6,2,FALSE)</f>
        <v>25</v>
      </c>
      <c r="O388" t="str">
        <f ca="1">IF(Incidents[[#This Row],[Age (days)]]&gt;Incidents[[#This Row],[SLA Threshold]],"NO","Yes")</f>
        <v>Yes</v>
      </c>
    </row>
    <row r="389" spans="1:15" x14ac:dyDescent="0.25">
      <c r="A389" s="2" t="s">
        <v>874</v>
      </c>
      <c r="B389" s="1">
        <v>45162</v>
      </c>
      <c r="C389" s="8">
        <v>45175</v>
      </c>
      <c r="D389" t="s">
        <v>29</v>
      </c>
      <c r="E389" s="17" t="s">
        <v>104</v>
      </c>
      <c r="F389" s="49">
        <f t="shared" ca="1" si="6"/>
        <v>10</v>
      </c>
      <c r="G389" s="16" t="s">
        <v>31</v>
      </c>
      <c r="H389" s="11" t="s">
        <v>875</v>
      </c>
      <c r="I389" t="s">
        <v>730</v>
      </c>
      <c r="J389" s="14" t="s">
        <v>136</v>
      </c>
      <c r="K389" t="s">
        <v>44</v>
      </c>
      <c r="L389" t="s">
        <v>36</v>
      </c>
      <c r="M389" t="str">
        <f>VLOOKUP(Incidents[[#This Row],[Ticket ID]],[1]Incidents!$A$2:$D$792,4,FALSE)</f>
        <v>4 - Low</v>
      </c>
      <c r="N389">
        <f>VLOOKUP(Incidents[[#This Row],[Priority]],'SLA Config'!$B$3:$C$6,2,FALSE)</f>
        <v>25</v>
      </c>
      <c r="O389" t="str">
        <f ca="1">IF(Incidents[[#This Row],[Age (days)]]&gt;Incidents[[#This Row],[SLA Threshold]],"NO","Yes")</f>
        <v>Yes</v>
      </c>
    </row>
    <row r="390" spans="1:15" x14ac:dyDescent="0.25">
      <c r="A390" s="2" t="s">
        <v>876</v>
      </c>
      <c r="B390" s="1">
        <v>45169</v>
      </c>
      <c r="C390" s="8">
        <v>45182</v>
      </c>
      <c r="D390" t="s">
        <v>29</v>
      </c>
      <c r="E390" t="s">
        <v>104</v>
      </c>
      <c r="F390" s="49">
        <f t="shared" ca="1" si="6"/>
        <v>10</v>
      </c>
      <c r="G390" s="16" t="s">
        <v>31</v>
      </c>
      <c r="H390" s="11" t="s">
        <v>877</v>
      </c>
      <c r="I390" t="s">
        <v>730</v>
      </c>
      <c r="J390" s="14" t="s">
        <v>136</v>
      </c>
      <c r="K390" t="s">
        <v>44</v>
      </c>
      <c r="L390" t="s">
        <v>36</v>
      </c>
      <c r="M390" t="str">
        <f>VLOOKUP(Incidents[[#This Row],[Ticket ID]],[1]Incidents!$A$2:$D$792,4,FALSE)</f>
        <v>4 - Low</v>
      </c>
      <c r="N390">
        <f>VLOOKUP(Incidents[[#This Row],[Priority]],'SLA Config'!$B$3:$C$6,2,FALSE)</f>
        <v>25</v>
      </c>
      <c r="O390" t="str">
        <f ca="1">IF(Incidents[[#This Row],[Age (days)]]&gt;Incidents[[#This Row],[SLA Threshold]],"NO","Yes")</f>
        <v>Yes</v>
      </c>
    </row>
    <row r="391" spans="1:15" x14ac:dyDescent="0.25">
      <c r="A391" s="2" t="s">
        <v>878</v>
      </c>
      <c r="B391" s="1">
        <v>45187</v>
      </c>
      <c r="C391" s="8">
        <v>45199</v>
      </c>
      <c r="D391" t="s">
        <v>29</v>
      </c>
      <c r="E391" t="s">
        <v>30</v>
      </c>
      <c r="F391" s="49">
        <f t="shared" ca="1" si="6"/>
        <v>10</v>
      </c>
      <c r="G391" s="16" t="s">
        <v>31</v>
      </c>
      <c r="H391" s="11" t="s">
        <v>879</v>
      </c>
      <c r="I391" t="s">
        <v>730</v>
      </c>
      <c r="J391" s="14" t="s">
        <v>136</v>
      </c>
      <c r="K391" t="s">
        <v>90</v>
      </c>
      <c r="L391" t="s">
        <v>36</v>
      </c>
      <c r="M391" t="str">
        <f>VLOOKUP(Incidents[[#This Row],[Ticket ID]],[1]Incidents!$A$2:$D$792,4,FALSE)</f>
        <v>4 - Low</v>
      </c>
      <c r="N391">
        <f>VLOOKUP(Incidents[[#This Row],[Priority]],'SLA Config'!$B$3:$C$6,2,FALSE)</f>
        <v>25</v>
      </c>
      <c r="O391" t="str">
        <f ca="1">IF(Incidents[[#This Row],[Age (days)]]&gt;Incidents[[#This Row],[SLA Threshold]],"NO","Yes")</f>
        <v>Yes</v>
      </c>
    </row>
    <row r="392" spans="1:15" x14ac:dyDescent="0.25">
      <c r="A392" s="2" t="s">
        <v>880</v>
      </c>
      <c r="B392" s="1">
        <v>45194</v>
      </c>
      <c r="C392" s="8">
        <v>45207</v>
      </c>
      <c r="D392" t="s">
        <v>29</v>
      </c>
      <c r="E392" t="s">
        <v>30</v>
      </c>
      <c r="F392" s="49">
        <f t="shared" ca="1" si="6"/>
        <v>10</v>
      </c>
      <c r="G392" s="16" t="s">
        <v>31</v>
      </c>
      <c r="H392" s="11" t="s">
        <v>881</v>
      </c>
      <c r="I392" t="s">
        <v>730</v>
      </c>
      <c r="J392" s="14" t="s">
        <v>136</v>
      </c>
      <c r="K392" t="s">
        <v>90</v>
      </c>
      <c r="L392" t="s">
        <v>36</v>
      </c>
      <c r="M392" t="str">
        <f>VLOOKUP(Incidents[[#This Row],[Ticket ID]],[1]Incidents!$A$2:$D$792,4,FALSE)</f>
        <v>4 - Low</v>
      </c>
      <c r="N392">
        <f>VLOOKUP(Incidents[[#This Row],[Priority]],'SLA Config'!$B$3:$C$6,2,FALSE)</f>
        <v>25</v>
      </c>
      <c r="O392" t="str">
        <f ca="1">IF(Incidents[[#This Row],[Age (days)]]&gt;Incidents[[#This Row],[SLA Threshold]],"NO","Yes")</f>
        <v>Yes</v>
      </c>
    </row>
    <row r="393" spans="1:15" x14ac:dyDescent="0.25">
      <c r="A393" s="2" t="s">
        <v>882</v>
      </c>
      <c r="B393" s="1">
        <v>45194</v>
      </c>
      <c r="C393" s="8">
        <v>45206</v>
      </c>
      <c r="D393" t="s">
        <v>29</v>
      </c>
      <c r="E393" s="17" t="s">
        <v>30</v>
      </c>
      <c r="F393" s="49">
        <f t="shared" ca="1" si="6"/>
        <v>10</v>
      </c>
      <c r="G393" s="16" t="s">
        <v>31</v>
      </c>
      <c r="H393" s="11" t="s">
        <v>883</v>
      </c>
      <c r="I393" t="s">
        <v>730</v>
      </c>
      <c r="J393" s="14" t="s">
        <v>136</v>
      </c>
      <c r="K393" t="s">
        <v>90</v>
      </c>
      <c r="L393" t="s">
        <v>36</v>
      </c>
      <c r="M393" t="str">
        <f>VLOOKUP(Incidents[[#This Row],[Ticket ID]],[1]Incidents!$A$2:$D$792,4,FALSE)</f>
        <v>4 - Low</v>
      </c>
      <c r="N393">
        <f>VLOOKUP(Incidents[[#This Row],[Priority]],'SLA Config'!$B$3:$C$6,2,FALSE)</f>
        <v>25</v>
      </c>
      <c r="O393" t="str">
        <f ca="1">IF(Incidents[[#This Row],[Age (days)]]&gt;Incidents[[#This Row],[SLA Threshold]],"NO","Yes")</f>
        <v>Yes</v>
      </c>
    </row>
    <row r="394" spans="1:15" x14ac:dyDescent="0.25">
      <c r="A394" s="2" t="s">
        <v>884</v>
      </c>
      <c r="B394" s="1">
        <v>45208</v>
      </c>
      <c r="C394" s="8">
        <v>45221</v>
      </c>
      <c r="D394" t="s">
        <v>29</v>
      </c>
      <c r="E394" t="s">
        <v>30</v>
      </c>
      <c r="F394" s="49">
        <f t="shared" ca="1" si="6"/>
        <v>10</v>
      </c>
      <c r="G394" s="16" t="s">
        <v>31</v>
      </c>
      <c r="H394" s="11" t="s">
        <v>885</v>
      </c>
      <c r="I394" t="s">
        <v>730</v>
      </c>
      <c r="J394" s="14" t="s">
        <v>136</v>
      </c>
      <c r="K394" t="s">
        <v>90</v>
      </c>
      <c r="L394" t="s">
        <v>36</v>
      </c>
      <c r="M394" t="str">
        <f>VLOOKUP(Incidents[[#This Row],[Ticket ID]],[1]Incidents!$A$2:$D$792,4,FALSE)</f>
        <v>4 - Low</v>
      </c>
      <c r="N394">
        <f>VLOOKUP(Incidents[[#This Row],[Priority]],'SLA Config'!$B$3:$C$6,2,FALSE)</f>
        <v>25</v>
      </c>
      <c r="O394" t="str">
        <f ca="1">IF(Incidents[[#This Row],[Age (days)]]&gt;Incidents[[#This Row],[SLA Threshold]],"NO","Yes")</f>
        <v>Yes</v>
      </c>
    </row>
    <row r="395" spans="1:15" x14ac:dyDescent="0.25">
      <c r="A395" s="19" t="s">
        <v>886</v>
      </c>
      <c r="B395" s="8">
        <v>45460</v>
      </c>
      <c r="C395" s="8">
        <v>45472</v>
      </c>
      <c r="D395" t="s">
        <v>29</v>
      </c>
      <c r="E395" t="s">
        <v>46</v>
      </c>
      <c r="F395" s="49">
        <f t="shared" ca="1" si="6"/>
        <v>10</v>
      </c>
      <c r="G395" s="16" t="s">
        <v>31</v>
      </c>
      <c r="H395" t="s">
        <v>887</v>
      </c>
      <c r="I395" t="s">
        <v>730</v>
      </c>
      <c r="J395" s="14" t="s">
        <v>136</v>
      </c>
      <c r="K395" t="s">
        <v>35</v>
      </c>
      <c r="L395" s="27" t="s">
        <v>36</v>
      </c>
      <c r="M395" t="str">
        <f>VLOOKUP(Incidents[[#This Row],[Ticket ID]],[1]Incidents!$A$2:$D$792,4,FALSE)</f>
        <v>4 - Low</v>
      </c>
      <c r="N395">
        <f>VLOOKUP(Incidents[[#This Row],[Priority]],'SLA Config'!$B$3:$C$6,2,FALSE)</f>
        <v>25</v>
      </c>
      <c r="O395" t="str">
        <f ca="1">IF(Incidents[[#This Row],[Age (days)]]&gt;Incidents[[#This Row],[SLA Threshold]],"NO","Yes")</f>
        <v>Yes</v>
      </c>
    </row>
    <row r="396" spans="1:15" x14ac:dyDescent="0.25">
      <c r="A396" s="19" t="s">
        <v>888</v>
      </c>
      <c r="B396" s="8">
        <v>45462</v>
      </c>
      <c r="C396" s="8">
        <v>45475</v>
      </c>
      <c r="D396" t="s">
        <v>29</v>
      </c>
      <c r="E396" t="s">
        <v>46</v>
      </c>
      <c r="F396" s="49">
        <f t="shared" ca="1" si="6"/>
        <v>10</v>
      </c>
      <c r="G396" s="16" t="s">
        <v>31</v>
      </c>
      <c r="H396" t="s">
        <v>889</v>
      </c>
      <c r="I396" t="s">
        <v>730</v>
      </c>
      <c r="J396" s="14" t="s">
        <v>136</v>
      </c>
      <c r="K396" t="s">
        <v>35</v>
      </c>
      <c r="L396" s="27" t="s">
        <v>36</v>
      </c>
      <c r="M396" t="str">
        <f>VLOOKUP(Incidents[[#This Row],[Ticket ID]],[1]Incidents!$A$2:$D$792,4,FALSE)</f>
        <v>4 - Low</v>
      </c>
      <c r="N396">
        <f>VLOOKUP(Incidents[[#This Row],[Priority]],'SLA Config'!$B$3:$C$6,2,FALSE)</f>
        <v>25</v>
      </c>
      <c r="O396" t="str">
        <f ca="1">IF(Incidents[[#This Row],[Age (days)]]&gt;Incidents[[#This Row],[SLA Threshold]],"NO","Yes")</f>
        <v>Yes</v>
      </c>
    </row>
    <row r="397" spans="1:15" x14ac:dyDescent="0.25">
      <c r="A397" s="19" t="s">
        <v>890</v>
      </c>
      <c r="B397" s="8">
        <v>45488</v>
      </c>
      <c r="C397" s="8">
        <v>45500</v>
      </c>
      <c r="D397" t="s">
        <v>29</v>
      </c>
      <c r="E397" s="17" t="s">
        <v>46</v>
      </c>
      <c r="F397" s="49">
        <f t="shared" ca="1" si="6"/>
        <v>10</v>
      </c>
      <c r="G397" s="16" t="s">
        <v>31</v>
      </c>
      <c r="H397" s="11" t="s">
        <v>891</v>
      </c>
      <c r="I397" t="s">
        <v>730</v>
      </c>
      <c r="J397" s="14" t="s">
        <v>136</v>
      </c>
      <c r="K397" s="27" t="s">
        <v>35</v>
      </c>
      <c r="L397" t="s">
        <v>36</v>
      </c>
      <c r="M397" t="str">
        <f>VLOOKUP(Incidents[[#This Row],[Ticket ID]],[1]Incidents!$A$2:$D$792,4,FALSE)</f>
        <v>4 - Low</v>
      </c>
      <c r="N397">
        <f>VLOOKUP(Incidents[[#This Row],[Priority]],'SLA Config'!$B$3:$C$6,2,FALSE)</f>
        <v>25</v>
      </c>
      <c r="O397" t="str">
        <f ca="1">IF(Incidents[[#This Row],[Age (days)]]&gt;Incidents[[#This Row],[SLA Threshold]],"NO","Yes")</f>
        <v>Yes</v>
      </c>
    </row>
    <row r="398" spans="1:15" x14ac:dyDescent="0.25">
      <c r="A398" s="19" t="s">
        <v>892</v>
      </c>
      <c r="B398" s="8">
        <v>45495</v>
      </c>
      <c r="C398" s="8">
        <v>45508</v>
      </c>
      <c r="D398" t="s">
        <v>29</v>
      </c>
      <c r="E398" t="s">
        <v>46</v>
      </c>
      <c r="F398" s="49">
        <f t="shared" ca="1" si="6"/>
        <v>10</v>
      </c>
      <c r="G398" s="16" t="s">
        <v>31</v>
      </c>
      <c r="H398" t="s">
        <v>893</v>
      </c>
      <c r="I398" t="s">
        <v>730</v>
      </c>
      <c r="J398" s="14" t="s">
        <v>136</v>
      </c>
      <c r="K398" t="s">
        <v>35</v>
      </c>
      <c r="L398" t="s">
        <v>36</v>
      </c>
      <c r="M398" t="str">
        <f>VLOOKUP(Incidents[[#This Row],[Ticket ID]],[1]Incidents!$A$2:$D$792,4,FALSE)</f>
        <v>4 - Low</v>
      </c>
      <c r="N398">
        <f>VLOOKUP(Incidents[[#This Row],[Priority]],'SLA Config'!$B$3:$C$6,2,FALSE)</f>
        <v>25</v>
      </c>
      <c r="O398" t="str">
        <f ca="1">IF(Incidents[[#This Row],[Age (days)]]&gt;Incidents[[#This Row],[SLA Threshold]],"NO","Yes")</f>
        <v>Yes</v>
      </c>
    </row>
    <row r="399" spans="1:15" x14ac:dyDescent="0.25">
      <c r="A399" s="28" t="s">
        <v>894</v>
      </c>
      <c r="B399" s="29">
        <v>45612</v>
      </c>
      <c r="C399" s="29">
        <v>45626</v>
      </c>
      <c r="D399" s="28" t="s">
        <v>29</v>
      </c>
      <c r="E399" s="28" t="s">
        <v>46</v>
      </c>
      <c r="F399" s="49">
        <f t="shared" ca="1" si="6"/>
        <v>10</v>
      </c>
      <c r="G399" s="28" t="s">
        <v>31</v>
      </c>
      <c r="H399" s="28" t="s">
        <v>716</v>
      </c>
      <c r="I399" t="s">
        <v>730</v>
      </c>
      <c r="J399" s="14"/>
      <c r="K399" s="28" t="s">
        <v>717</v>
      </c>
      <c r="L399" t="s">
        <v>36</v>
      </c>
      <c r="M399" t="str">
        <f>VLOOKUP(Incidents[[#This Row],[Ticket ID]],[1]Incidents!$A$2:$D$792,4,FALSE)</f>
        <v>4 - Low</v>
      </c>
      <c r="N399">
        <f>VLOOKUP(Incidents[[#This Row],[Priority]],'SLA Config'!$B$3:$C$6,2,FALSE)</f>
        <v>25</v>
      </c>
      <c r="O399" t="str">
        <f ca="1">IF(Incidents[[#This Row],[Age (days)]]&gt;Incidents[[#This Row],[SLA Threshold]],"NO","Yes")</f>
        <v>Yes</v>
      </c>
    </row>
    <row r="400" spans="1:15" x14ac:dyDescent="0.25">
      <c r="A400" s="28" t="s">
        <v>895</v>
      </c>
      <c r="B400" s="29">
        <v>45628</v>
      </c>
      <c r="C400" s="29">
        <v>45640</v>
      </c>
      <c r="D400" s="28" t="s">
        <v>29</v>
      </c>
      <c r="E400" s="28" t="s">
        <v>38</v>
      </c>
      <c r="F400" s="49">
        <f t="shared" ca="1" si="6"/>
        <v>10</v>
      </c>
      <c r="G400" s="28" t="s">
        <v>31</v>
      </c>
      <c r="H400" s="28" t="s">
        <v>896</v>
      </c>
      <c r="I400" t="s">
        <v>730</v>
      </c>
      <c r="J400" s="14"/>
      <c r="K400" s="28" t="s">
        <v>717</v>
      </c>
      <c r="L400" t="s">
        <v>36</v>
      </c>
      <c r="M400" t="str">
        <f>VLOOKUP(Incidents[[#This Row],[Ticket ID]],[1]Incidents!$A$2:$D$792,4,FALSE)</f>
        <v>4 - Low</v>
      </c>
      <c r="N400">
        <f>VLOOKUP(Incidents[[#This Row],[Priority]],'SLA Config'!$B$3:$C$6,2,FALSE)</f>
        <v>25</v>
      </c>
      <c r="O400" t="str">
        <f ca="1">IF(Incidents[[#This Row],[Age (days)]]&gt;Incidents[[#This Row],[SLA Threshold]],"NO","Yes")</f>
        <v>Yes</v>
      </c>
    </row>
    <row r="401" spans="1:15" ht="30" x14ac:dyDescent="0.25">
      <c r="A401" t="s">
        <v>897</v>
      </c>
      <c r="B401" s="1">
        <v>44792</v>
      </c>
      <c r="C401" s="1">
        <v>44804</v>
      </c>
      <c r="D401" t="s">
        <v>29</v>
      </c>
      <c r="E401" t="s">
        <v>54</v>
      </c>
      <c r="F401" s="49">
        <f t="shared" ca="1" si="6"/>
        <v>9</v>
      </c>
      <c r="G401" s="16" t="s">
        <v>31</v>
      </c>
      <c r="H401" s="11" t="s">
        <v>898</v>
      </c>
      <c r="I401" t="s">
        <v>730</v>
      </c>
      <c r="J401" s="14" t="s">
        <v>136</v>
      </c>
      <c r="K401" t="s">
        <v>44</v>
      </c>
      <c r="L401" t="s">
        <v>36</v>
      </c>
      <c r="M401" t="str">
        <f>VLOOKUP(Incidents[[#This Row],[Ticket ID]],[1]Incidents!$A$2:$D$792,4,FALSE)</f>
        <v>4 - Low</v>
      </c>
      <c r="N401">
        <f>VLOOKUP(Incidents[[#This Row],[Priority]],'SLA Config'!$B$3:$C$6,2,FALSE)</f>
        <v>25</v>
      </c>
      <c r="O401" t="str">
        <f ca="1">IF(Incidents[[#This Row],[Age (days)]]&gt;Incidents[[#This Row],[SLA Threshold]],"NO","Yes")</f>
        <v>Yes</v>
      </c>
    </row>
    <row r="402" spans="1:15" x14ac:dyDescent="0.25">
      <c r="A402" t="s">
        <v>899</v>
      </c>
      <c r="B402" s="1">
        <v>44848</v>
      </c>
      <c r="C402" s="1">
        <v>44860</v>
      </c>
      <c r="D402" t="s">
        <v>29</v>
      </c>
      <c r="E402" t="s">
        <v>54</v>
      </c>
      <c r="F402" s="49">
        <f t="shared" ca="1" si="6"/>
        <v>9</v>
      </c>
      <c r="G402" s="16" t="s">
        <v>31</v>
      </c>
      <c r="H402" s="11" t="s">
        <v>900</v>
      </c>
      <c r="I402" t="s">
        <v>730</v>
      </c>
      <c r="J402" s="14" t="s">
        <v>136</v>
      </c>
      <c r="K402" t="s">
        <v>44</v>
      </c>
      <c r="L402" t="s">
        <v>36</v>
      </c>
      <c r="M402" t="str">
        <f>VLOOKUP(Incidents[[#This Row],[Ticket ID]],[1]Incidents!$A$2:$D$792,4,FALSE)</f>
        <v>4 - Low</v>
      </c>
      <c r="N402">
        <f>VLOOKUP(Incidents[[#This Row],[Priority]],'SLA Config'!$B$3:$C$6,2,FALSE)</f>
        <v>25</v>
      </c>
      <c r="O402" t="str">
        <f ca="1">IF(Incidents[[#This Row],[Age (days)]]&gt;Incidents[[#This Row],[SLA Threshold]],"NO","Yes")</f>
        <v>Yes</v>
      </c>
    </row>
    <row r="403" spans="1:15" x14ac:dyDescent="0.25">
      <c r="A403" t="s">
        <v>901</v>
      </c>
      <c r="B403" s="1">
        <v>44880</v>
      </c>
      <c r="C403" s="1">
        <v>44892</v>
      </c>
      <c r="D403" t="s">
        <v>29</v>
      </c>
      <c r="E403" t="s">
        <v>54</v>
      </c>
      <c r="F403" s="49">
        <f t="shared" ca="1" si="6"/>
        <v>9</v>
      </c>
      <c r="G403" s="16" t="s">
        <v>31</v>
      </c>
      <c r="H403" s="11" t="s">
        <v>902</v>
      </c>
      <c r="I403" t="s">
        <v>730</v>
      </c>
      <c r="J403" s="14" t="s">
        <v>136</v>
      </c>
      <c r="K403" t="s">
        <v>44</v>
      </c>
      <c r="L403" t="s">
        <v>36</v>
      </c>
      <c r="M403" t="str">
        <f>VLOOKUP(Incidents[[#This Row],[Ticket ID]],[1]Incidents!$A$2:$D$792,4,FALSE)</f>
        <v>4 - Low</v>
      </c>
      <c r="N403">
        <f>VLOOKUP(Incidents[[#This Row],[Priority]],'SLA Config'!$B$3:$C$6,2,FALSE)</f>
        <v>25</v>
      </c>
      <c r="O403" t="str">
        <f ca="1">IF(Incidents[[#This Row],[Age (days)]]&gt;Incidents[[#This Row],[SLA Threshold]],"NO","Yes")</f>
        <v>Yes</v>
      </c>
    </row>
    <row r="404" spans="1:15" x14ac:dyDescent="0.25">
      <c r="A404" s="19" t="s">
        <v>903</v>
      </c>
      <c r="B404" s="1">
        <v>45071</v>
      </c>
      <c r="C404" s="8">
        <v>45083</v>
      </c>
      <c r="D404" t="s">
        <v>29</v>
      </c>
      <c r="E404" s="17" t="s">
        <v>54</v>
      </c>
      <c r="F404" s="49">
        <f t="shared" ca="1" si="6"/>
        <v>9</v>
      </c>
      <c r="G404" s="16" t="s">
        <v>31</v>
      </c>
      <c r="H404" s="11" t="s">
        <v>904</v>
      </c>
      <c r="I404" t="s">
        <v>730</v>
      </c>
      <c r="J404" s="14" t="s">
        <v>136</v>
      </c>
      <c r="K404" t="s">
        <v>207</v>
      </c>
      <c r="L404" t="s">
        <v>36</v>
      </c>
      <c r="M404" t="str">
        <f>VLOOKUP(Incidents[[#This Row],[Ticket ID]],[1]Incidents!$A$2:$D$792,4,FALSE)</f>
        <v>4 - Low</v>
      </c>
      <c r="N404">
        <f>VLOOKUP(Incidents[[#This Row],[Priority]],'SLA Config'!$B$3:$C$6,2,FALSE)</f>
        <v>25</v>
      </c>
      <c r="O404" t="str">
        <f ca="1">IF(Incidents[[#This Row],[Age (days)]]&gt;Incidents[[#This Row],[SLA Threshold]],"NO","Yes")</f>
        <v>Yes</v>
      </c>
    </row>
    <row r="405" spans="1:15" x14ac:dyDescent="0.25">
      <c r="A405" s="2" t="s">
        <v>905</v>
      </c>
      <c r="B405" s="1">
        <v>45162</v>
      </c>
      <c r="C405" s="8">
        <v>45174</v>
      </c>
      <c r="D405" t="s">
        <v>29</v>
      </c>
      <c r="E405" s="17" t="s">
        <v>104</v>
      </c>
      <c r="F405" s="49">
        <f t="shared" ca="1" si="6"/>
        <v>9</v>
      </c>
      <c r="G405" s="16" t="s">
        <v>31</v>
      </c>
      <c r="H405" s="11" t="s">
        <v>906</v>
      </c>
      <c r="I405" t="s">
        <v>730</v>
      </c>
      <c r="J405" s="14" t="s">
        <v>136</v>
      </c>
      <c r="K405" t="s">
        <v>44</v>
      </c>
      <c r="L405" t="s">
        <v>36</v>
      </c>
      <c r="M405" t="str">
        <f>VLOOKUP(Incidents[[#This Row],[Ticket ID]],[1]Incidents!$A$2:$D$792,4,FALSE)</f>
        <v>4 - Low</v>
      </c>
      <c r="N405">
        <f>VLOOKUP(Incidents[[#This Row],[Priority]],'SLA Config'!$B$3:$C$6,2,FALSE)</f>
        <v>25</v>
      </c>
      <c r="O405" t="str">
        <f ca="1">IF(Incidents[[#This Row],[Age (days)]]&gt;Incidents[[#This Row],[SLA Threshold]],"NO","Yes")</f>
        <v>Yes</v>
      </c>
    </row>
    <row r="406" spans="1:15" x14ac:dyDescent="0.25">
      <c r="A406" s="2" t="s">
        <v>907</v>
      </c>
      <c r="B406" s="1">
        <v>45162</v>
      </c>
      <c r="C406" s="8">
        <v>45174</v>
      </c>
      <c r="D406" t="s">
        <v>29</v>
      </c>
      <c r="E406" s="17" t="s">
        <v>104</v>
      </c>
      <c r="F406" s="49">
        <f t="shared" ca="1" si="6"/>
        <v>9</v>
      </c>
      <c r="G406" s="16" t="s">
        <v>31</v>
      </c>
      <c r="H406" s="11" t="s">
        <v>908</v>
      </c>
      <c r="I406" t="s">
        <v>730</v>
      </c>
      <c r="J406" s="14" t="s">
        <v>136</v>
      </c>
      <c r="K406" t="s">
        <v>44</v>
      </c>
      <c r="L406" t="s">
        <v>36</v>
      </c>
      <c r="M406" t="str">
        <f>VLOOKUP(Incidents[[#This Row],[Ticket ID]],[1]Incidents!$A$2:$D$792,4,FALSE)</f>
        <v>4 - Low</v>
      </c>
      <c r="N406">
        <f>VLOOKUP(Incidents[[#This Row],[Priority]],'SLA Config'!$B$3:$C$6,2,FALSE)</f>
        <v>25</v>
      </c>
      <c r="O406" t="str">
        <f ca="1">IF(Incidents[[#This Row],[Age (days)]]&gt;Incidents[[#This Row],[SLA Threshold]],"NO","Yes")</f>
        <v>Yes</v>
      </c>
    </row>
    <row r="407" spans="1:15" x14ac:dyDescent="0.25">
      <c r="A407" s="2" t="s">
        <v>909</v>
      </c>
      <c r="B407" s="1">
        <v>45168</v>
      </c>
      <c r="C407" s="8">
        <v>45180</v>
      </c>
      <c r="D407" t="s">
        <v>29</v>
      </c>
      <c r="E407" t="s">
        <v>38</v>
      </c>
      <c r="F407" s="49">
        <f t="shared" ca="1" si="6"/>
        <v>9</v>
      </c>
      <c r="G407" s="16" t="s">
        <v>31</v>
      </c>
      <c r="H407" s="11" t="s">
        <v>910</v>
      </c>
      <c r="I407" t="s">
        <v>730</v>
      </c>
      <c r="J407" s="14" t="s">
        <v>136</v>
      </c>
      <c r="K407" t="s">
        <v>44</v>
      </c>
      <c r="L407" t="s">
        <v>36</v>
      </c>
      <c r="M407" t="str">
        <f>VLOOKUP(Incidents[[#This Row],[Ticket ID]],[1]Incidents!$A$2:$D$792,4,FALSE)</f>
        <v>4 - Low</v>
      </c>
      <c r="N407">
        <f>VLOOKUP(Incidents[[#This Row],[Priority]],'SLA Config'!$B$3:$C$6,2,FALSE)</f>
        <v>25</v>
      </c>
      <c r="O407" t="str">
        <f ca="1">IF(Incidents[[#This Row],[Age (days)]]&gt;Incidents[[#This Row],[SLA Threshold]],"NO","Yes")</f>
        <v>Yes</v>
      </c>
    </row>
    <row r="408" spans="1:15" x14ac:dyDescent="0.25">
      <c r="A408" s="2" t="s">
        <v>911</v>
      </c>
      <c r="B408" s="1">
        <v>45170</v>
      </c>
      <c r="C408" s="8">
        <v>45182</v>
      </c>
      <c r="D408" t="s">
        <v>29</v>
      </c>
      <c r="E408" t="s">
        <v>104</v>
      </c>
      <c r="F408" s="49">
        <f t="shared" ca="1" si="6"/>
        <v>9</v>
      </c>
      <c r="G408" s="16" t="s">
        <v>31</v>
      </c>
      <c r="H408" s="11" t="s">
        <v>912</v>
      </c>
      <c r="I408" t="s">
        <v>730</v>
      </c>
      <c r="J408" s="15" t="s">
        <v>136</v>
      </c>
      <c r="K408" t="s">
        <v>44</v>
      </c>
      <c r="L408" t="s">
        <v>36</v>
      </c>
      <c r="M408" t="str">
        <f>VLOOKUP(Incidents[[#This Row],[Ticket ID]],[1]Incidents!$A$2:$D$792,4,FALSE)</f>
        <v>4 - Low</v>
      </c>
      <c r="N408">
        <f>VLOOKUP(Incidents[[#This Row],[Priority]],'SLA Config'!$B$3:$C$6,2,FALSE)</f>
        <v>25</v>
      </c>
      <c r="O408" t="str">
        <f ca="1">IF(Incidents[[#This Row],[Age (days)]]&gt;Incidents[[#This Row],[SLA Threshold]],"NO","Yes")</f>
        <v>Yes</v>
      </c>
    </row>
    <row r="409" spans="1:15" x14ac:dyDescent="0.25">
      <c r="A409" s="2" t="s">
        <v>913</v>
      </c>
      <c r="B409" s="1">
        <v>45337</v>
      </c>
      <c r="C409" s="8">
        <v>45349</v>
      </c>
      <c r="D409" t="s">
        <v>29</v>
      </c>
      <c r="E409" t="s">
        <v>30</v>
      </c>
      <c r="F409" s="49">
        <f t="shared" ca="1" si="6"/>
        <v>9</v>
      </c>
      <c r="G409" s="16" t="s">
        <v>31</v>
      </c>
      <c r="H409" s="11" t="s">
        <v>914</v>
      </c>
      <c r="I409" t="s">
        <v>730</v>
      </c>
      <c r="J409" s="14" t="s">
        <v>136</v>
      </c>
      <c r="K409" t="s">
        <v>44</v>
      </c>
      <c r="L409" t="s">
        <v>36</v>
      </c>
      <c r="M409" t="str">
        <f>VLOOKUP(Incidents[[#This Row],[Ticket ID]],[1]Incidents!$A$2:$D$792,4,FALSE)</f>
        <v>2 - High</v>
      </c>
      <c r="N409">
        <f>VLOOKUP(Incidents[[#This Row],[Priority]],'SLA Config'!$B$3:$C$6,2,FALSE)</f>
        <v>5</v>
      </c>
      <c r="O409" t="str">
        <f ca="1">IF(Incidents[[#This Row],[Age (days)]]&gt;Incidents[[#This Row],[SLA Threshold]],"NO","Yes")</f>
        <v>NO</v>
      </c>
    </row>
    <row r="410" spans="1:15" x14ac:dyDescent="0.25">
      <c r="A410" s="28" t="s">
        <v>915</v>
      </c>
      <c r="B410" s="29">
        <v>45629</v>
      </c>
      <c r="C410" s="29">
        <v>45640</v>
      </c>
      <c r="D410" s="28" t="s">
        <v>29</v>
      </c>
      <c r="E410" s="28" t="s">
        <v>38</v>
      </c>
      <c r="F410" s="49">
        <f t="shared" ca="1" si="6"/>
        <v>9</v>
      </c>
      <c r="G410" s="28" t="s">
        <v>31</v>
      </c>
      <c r="H410" s="28" t="s">
        <v>896</v>
      </c>
      <c r="I410" t="s">
        <v>730</v>
      </c>
      <c r="J410" s="14"/>
      <c r="K410" s="28" t="s">
        <v>717</v>
      </c>
      <c r="L410" t="s">
        <v>36</v>
      </c>
      <c r="M410" t="str">
        <f>VLOOKUP(Incidents[[#This Row],[Ticket ID]],[1]Incidents!$A$2:$D$792,4,FALSE)</f>
        <v>4 - Low</v>
      </c>
      <c r="N410">
        <f>VLOOKUP(Incidents[[#This Row],[Priority]],'SLA Config'!$B$3:$C$6,2,FALSE)</f>
        <v>25</v>
      </c>
      <c r="O410" t="str">
        <f ca="1">IF(Incidents[[#This Row],[Age (days)]]&gt;Incidents[[#This Row],[SLA Threshold]],"NO","Yes")</f>
        <v>Yes</v>
      </c>
    </row>
    <row r="411" spans="1:15" x14ac:dyDescent="0.25">
      <c r="A411" s="28" t="s">
        <v>916</v>
      </c>
      <c r="B411" s="29">
        <v>45699</v>
      </c>
      <c r="C411" s="29">
        <v>45710</v>
      </c>
      <c r="D411" s="28" t="s">
        <v>29</v>
      </c>
      <c r="E411" s="28" t="s">
        <v>46</v>
      </c>
      <c r="F411" s="49">
        <f t="shared" ca="1" si="6"/>
        <v>9</v>
      </c>
      <c r="G411" s="28" t="s">
        <v>31</v>
      </c>
      <c r="H411" s="28" t="s">
        <v>917</v>
      </c>
      <c r="I411" t="s">
        <v>730</v>
      </c>
      <c r="J411" s="14"/>
      <c r="K411" s="28" t="s">
        <v>717</v>
      </c>
      <c r="L411" t="s">
        <v>36</v>
      </c>
      <c r="M411" t="str">
        <f>VLOOKUP(Incidents[[#This Row],[Ticket ID]],[1]Incidents!$A$2:$D$792,4,FALSE)</f>
        <v>4 - Low</v>
      </c>
      <c r="N411">
        <f>VLOOKUP(Incidents[[#This Row],[Priority]],'SLA Config'!$B$3:$C$6,2,FALSE)</f>
        <v>25</v>
      </c>
      <c r="O411" t="str">
        <f ca="1">IF(Incidents[[#This Row],[Age (days)]]&gt;Incidents[[#This Row],[SLA Threshold]],"NO","Yes")</f>
        <v>Yes</v>
      </c>
    </row>
    <row r="412" spans="1:15" x14ac:dyDescent="0.25">
      <c r="A412" s="28" t="s">
        <v>918</v>
      </c>
      <c r="B412" s="29">
        <v>45699</v>
      </c>
      <c r="C412" s="29">
        <v>45710</v>
      </c>
      <c r="D412" s="28" t="s">
        <v>29</v>
      </c>
      <c r="E412" s="28" t="s">
        <v>46</v>
      </c>
      <c r="F412" s="49">
        <f t="shared" ca="1" si="6"/>
        <v>9</v>
      </c>
      <c r="G412" s="28" t="s">
        <v>31</v>
      </c>
      <c r="H412" s="28" t="s">
        <v>919</v>
      </c>
      <c r="I412" t="s">
        <v>730</v>
      </c>
      <c r="J412" s="14"/>
      <c r="K412" s="28" t="s">
        <v>717</v>
      </c>
      <c r="L412" t="s">
        <v>36</v>
      </c>
      <c r="M412" t="str">
        <f>VLOOKUP(Incidents[[#This Row],[Ticket ID]],[1]Incidents!$A$2:$D$792,4,FALSE)</f>
        <v>4 - Low</v>
      </c>
      <c r="N412">
        <f>VLOOKUP(Incidents[[#This Row],[Priority]],'SLA Config'!$B$3:$C$6,2,FALSE)</f>
        <v>25</v>
      </c>
      <c r="O412" t="str">
        <f ca="1">IF(Incidents[[#This Row],[Age (days)]]&gt;Incidents[[#This Row],[SLA Threshold]],"NO","Yes")</f>
        <v>Yes</v>
      </c>
    </row>
    <row r="413" spans="1:15" ht="30" x14ac:dyDescent="0.25">
      <c r="A413" t="s">
        <v>920</v>
      </c>
      <c r="B413" s="1">
        <v>44783</v>
      </c>
      <c r="C413" s="1">
        <v>44794</v>
      </c>
      <c r="D413" t="s">
        <v>29</v>
      </c>
      <c r="E413" t="s">
        <v>54</v>
      </c>
      <c r="F413" s="49">
        <f t="shared" ca="1" si="6"/>
        <v>8</v>
      </c>
      <c r="G413" s="16" t="s">
        <v>31</v>
      </c>
      <c r="H413" s="11" t="s">
        <v>865</v>
      </c>
      <c r="I413" t="s">
        <v>730</v>
      </c>
      <c r="J413" s="14" t="s">
        <v>136</v>
      </c>
      <c r="K413" t="s">
        <v>44</v>
      </c>
      <c r="L413" t="s">
        <v>36</v>
      </c>
      <c r="M413" t="str">
        <f>VLOOKUP(Incidents[[#This Row],[Ticket ID]],[1]Incidents!$A$2:$D$792,4,FALSE)</f>
        <v>3 - Medium</v>
      </c>
      <c r="N413">
        <f>VLOOKUP(Incidents[[#This Row],[Priority]],'SLA Config'!$B$3:$C$6,2,FALSE)</f>
        <v>15</v>
      </c>
      <c r="O413" t="str">
        <f ca="1">IF(Incidents[[#This Row],[Age (days)]]&gt;Incidents[[#This Row],[SLA Threshold]],"NO","Yes")</f>
        <v>Yes</v>
      </c>
    </row>
    <row r="414" spans="1:15" ht="30" x14ac:dyDescent="0.25">
      <c r="A414" t="s">
        <v>921</v>
      </c>
      <c r="B414" s="1">
        <v>44795</v>
      </c>
      <c r="C414" s="1">
        <v>44804</v>
      </c>
      <c r="D414" t="s">
        <v>29</v>
      </c>
      <c r="E414" t="s">
        <v>54</v>
      </c>
      <c r="F414" s="49">
        <f t="shared" ca="1" si="6"/>
        <v>8</v>
      </c>
      <c r="G414" s="16" t="s">
        <v>31</v>
      </c>
      <c r="H414" s="11" t="s">
        <v>922</v>
      </c>
      <c r="I414" t="s">
        <v>730</v>
      </c>
      <c r="J414" s="14" t="s">
        <v>136</v>
      </c>
      <c r="K414" t="s">
        <v>44</v>
      </c>
      <c r="L414" t="s">
        <v>36</v>
      </c>
      <c r="M414" t="str">
        <f>VLOOKUP(Incidents[[#This Row],[Ticket ID]],[1]Incidents!$A$2:$D$792,4,FALSE)</f>
        <v>4 - Low</v>
      </c>
      <c r="N414">
        <f>VLOOKUP(Incidents[[#This Row],[Priority]],'SLA Config'!$B$3:$C$6,2,FALSE)</f>
        <v>25</v>
      </c>
      <c r="O414" t="str">
        <f ca="1">IF(Incidents[[#This Row],[Age (days)]]&gt;Incidents[[#This Row],[SLA Threshold]],"NO","Yes")</f>
        <v>Yes</v>
      </c>
    </row>
    <row r="415" spans="1:15" ht="30" x14ac:dyDescent="0.25">
      <c r="A415" t="s">
        <v>923</v>
      </c>
      <c r="B415" s="1">
        <v>44825</v>
      </c>
      <c r="C415" s="1">
        <v>44835</v>
      </c>
      <c r="D415" t="s">
        <v>29</v>
      </c>
      <c r="E415" t="s">
        <v>54</v>
      </c>
      <c r="F415" s="49">
        <f t="shared" ca="1" si="6"/>
        <v>8</v>
      </c>
      <c r="G415" s="16" t="s">
        <v>31</v>
      </c>
      <c r="H415" s="11" t="s">
        <v>924</v>
      </c>
      <c r="I415" t="s">
        <v>730</v>
      </c>
      <c r="J415" s="14" t="s">
        <v>136</v>
      </c>
      <c r="K415" t="s">
        <v>44</v>
      </c>
      <c r="L415" t="s">
        <v>36</v>
      </c>
      <c r="M415" t="str">
        <f>VLOOKUP(Incidents[[#This Row],[Ticket ID]],[1]Incidents!$A$2:$D$792,4,FALSE)</f>
        <v>4 - Low</v>
      </c>
      <c r="N415">
        <f>VLOOKUP(Incidents[[#This Row],[Priority]],'SLA Config'!$B$3:$C$6,2,FALSE)</f>
        <v>25</v>
      </c>
      <c r="O415" t="str">
        <f ca="1">IF(Incidents[[#This Row],[Age (days)]]&gt;Incidents[[#This Row],[SLA Threshold]],"NO","Yes")</f>
        <v>Yes</v>
      </c>
    </row>
    <row r="416" spans="1:15" x14ac:dyDescent="0.25">
      <c r="A416" t="s">
        <v>925</v>
      </c>
      <c r="B416" s="1">
        <v>44825</v>
      </c>
      <c r="C416" s="1">
        <v>44835</v>
      </c>
      <c r="D416" t="s">
        <v>29</v>
      </c>
      <c r="E416" t="s">
        <v>54</v>
      </c>
      <c r="F416" s="49">
        <f t="shared" ca="1" si="6"/>
        <v>8</v>
      </c>
      <c r="G416" s="16" t="s">
        <v>31</v>
      </c>
      <c r="H416" s="11" t="s">
        <v>926</v>
      </c>
      <c r="I416" t="s">
        <v>730</v>
      </c>
      <c r="J416" s="14" t="s">
        <v>136</v>
      </c>
      <c r="K416" t="s">
        <v>44</v>
      </c>
      <c r="L416" t="s">
        <v>36</v>
      </c>
      <c r="M416" t="str">
        <f>VLOOKUP(Incidents[[#This Row],[Ticket ID]],[1]Incidents!$A$2:$D$792,4,FALSE)</f>
        <v>4 - Low</v>
      </c>
      <c r="N416">
        <f>VLOOKUP(Incidents[[#This Row],[Priority]],'SLA Config'!$B$3:$C$6,2,FALSE)</f>
        <v>25</v>
      </c>
      <c r="O416" t="str">
        <f ca="1">IF(Incidents[[#This Row],[Age (days)]]&gt;Incidents[[#This Row],[SLA Threshold]],"NO","Yes")</f>
        <v>Yes</v>
      </c>
    </row>
    <row r="417" spans="1:15" x14ac:dyDescent="0.25">
      <c r="A417" t="s">
        <v>927</v>
      </c>
      <c r="B417" s="1">
        <v>44834</v>
      </c>
      <c r="C417" s="1">
        <v>44845</v>
      </c>
      <c r="D417" t="s">
        <v>29</v>
      </c>
      <c r="E417" t="s">
        <v>54</v>
      </c>
      <c r="F417" s="49">
        <f t="shared" ca="1" si="6"/>
        <v>8</v>
      </c>
      <c r="G417" s="16" t="s">
        <v>31</v>
      </c>
      <c r="H417" s="11" t="s">
        <v>928</v>
      </c>
      <c r="I417" t="s">
        <v>730</v>
      </c>
      <c r="J417" s="14" t="s">
        <v>136</v>
      </c>
      <c r="K417" t="s">
        <v>44</v>
      </c>
      <c r="L417" t="s">
        <v>36</v>
      </c>
      <c r="M417" t="str">
        <f>VLOOKUP(Incidents[[#This Row],[Ticket ID]],[1]Incidents!$A$2:$D$792,4,FALSE)</f>
        <v>4 - Low</v>
      </c>
      <c r="N417">
        <f>VLOOKUP(Incidents[[#This Row],[Priority]],'SLA Config'!$B$3:$C$6,2,FALSE)</f>
        <v>25</v>
      </c>
      <c r="O417" t="str">
        <f ca="1">IF(Incidents[[#This Row],[Age (days)]]&gt;Incidents[[#This Row],[SLA Threshold]],"NO","Yes")</f>
        <v>Yes</v>
      </c>
    </row>
    <row r="418" spans="1:15" ht="30" x14ac:dyDescent="0.25">
      <c r="A418" t="s">
        <v>929</v>
      </c>
      <c r="B418" s="1">
        <v>44851</v>
      </c>
      <c r="C418" s="1">
        <v>44860</v>
      </c>
      <c r="D418" t="s">
        <v>29</v>
      </c>
      <c r="E418" t="s">
        <v>54</v>
      </c>
      <c r="F418" s="49">
        <f t="shared" ca="1" si="6"/>
        <v>8</v>
      </c>
      <c r="G418" s="16" t="s">
        <v>31</v>
      </c>
      <c r="H418" s="11" t="s">
        <v>930</v>
      </c>
      <c r="I418" t="s">
        <v>730</v>
      </c>
      <c r="J418" s="14" t="s">
        <v>136</v>
      </c>
      <c r="K418" t="s">
        <v>44</v>
      </c>
      <c r="L418" t="s">
        <v>36</v>
      </c>
      <c r="M418" t="str">
        <f>VLOOKUP(Incidents[[#This Row],[Ticket ID]],[1]Incidents!$A$2:$D$792,4,FALSE)</f>
        <v>4 - Low</v>
      </c>
      <c r="N418">
        <f>VLOOKUP(Incidents[[#This Row],[Priority]],'SLA Config'!$B$3:$C$6,2,FALSE)</f>
        <v>25</v>
      </c>
      <c r="O418" t="str">
        <f ca="1">IF(Incidents[[#This Row],[Age (days)]]&gt;Incidents[[#This Row],[SLA Threshold]],"NO","Yes")</f>
        <v>Yes</v>
      </c>
    </row>
    <row r="419" spans="1:15" x14ac:dyDescent="0.25">
      <c r="A419" t="s">
        <v>931</v>
      </c>
      <c r="B419" s="1">
        <v>44881</v>
      </c>
      <c r="C419" s="1">
        <v>44892</v>
      </c>
      <c r="D419" t="s">
        <v>29</v>
      </c>
      <c r="E419" t="s">
        <v>54</v>
      </c>
      <c r="F419" s="49">
        <f t="shared" ca="1" si="6"/>
        <v>8</v>
      </c>
      <c r="G419" s="16" t="s">
        <v>31</v>
      </c>
      <c r="H419" s="11" t="s">
        <v>932</v>
      </c>
      <c r="I419" t="s">
        <v>730</v>
      </c>
      <c r="J419" s="14" t="s">
        <v>136</v>
      </c>
      <c r="K419" t="s">
        <v>44</v>
      </c>
      <c r="L419" t="s">
        <v>36</v>
      </c>
      <c r="M419" t="str">
        <f>VLOOKUP(Incidents[[#This Row],[Ticket ID]],[1]Incidents!$A$2:$D$792,4,FALSE)</f>
        <v>4 - Low</v>
      </c>
      <c r="N419">
        <f>VLOOKUP(Incidents[[#This Row],[Priority]],'SLA Config'!$B$3:$C$6,2,FALSE)</f>
        <v>25</v>
      </c>
      <c r="O419" t="str">
        <f ca="1">IF(Incidents[[#This Row],[Age (days)]]&gt;Incidents[[#This Row],[SLA Threshold]],"NO","Yes")</f>
        <v>Yes</v>
      </c>
    </row>
    <row r="420" spans="1:15" x14ac:dyDescent="0.25">
      <c r="A420" s="2" t="s">
        <v>933</v>
      </c>
      <c r="B420" s="1">
        <v>45163</v>
      </c>
      <c r="C420" s="8">
        <v>45174</v>
      </c>
      <c r="D420" t="s">
        <v>29</v>
      </c>
      <c r="E420" t="s">
        <v>104</v>
      </c>
      <c r="F420" s="49">
        <f t="shared" ca="1" si="6"/>
        <v>8</v>
      </c>
      <c r="G420" s="16" t="s">
        <v>31</v>
      </c>
      <c r="H420" s="11" t="s">
        <v>934</v>
      </c>
      <c r="I420" t="s">
        <v>730</v>
      </c>
      <c r="J420" s="14" t="s">
        <v>136</v>
      </c>
      <c r="K420" t="s">
        <v>44</v>
      </c>
      <c r="L420" t="s">
        <v>36</v>
      </c>
      <c r="M420" t="str">
        <f>VLOOKUP(Incidents[[#This Row],[Ticket ID]],[1]Incidents!$A$2:$D$792,4,FALSE)</f>
        <v>4 - Low</v>
      </c>
      <c r="N420">
        <f>VLOOKUP(Incidents[[#This Row],[Priority]],'SLA Config'!$B$3:$C$6,2,FALSE)</f>
        <v>25</v>
      </c>
      <c r="O420" t="str">
        <f ca="1">IF(Incidents[[#This Row],[Age (days)]]&gt;Incidents[[#This Row],[SLA Threshold]],"NO","Yes")</f>
        <v>Yes</v>
      </c>
    </row>
    <row r="421" spans="1:15" x14ac:dyDescent="0.25">
      <c r="A421" s="2" t="s">
        <v>935</v>
      </c>
      <c r="B421" s="1">
        <v>45168</v>
      </c>
      <c r="C421" s="8">
        <v>45178</v>
      </c>
      <c r="D421" t="s">
        <v>29</v>
      </c>
      <c r="E421" t="s">
        <v>38</v>
      </c>
      <c r="F421" s="49">
        <f t="shared" ca="1" si="6"/>
        <v>8</v>
      </c>
      <c r="G421" s="16" t="s">
        <v>31</v>
      </c>
      <c r="H421" s="11" t="s">
        <v>936</v>
      </c>
      <c r="I421" t="s">
        <v>730</v>
      </c>
      <c r="J421" s="14" t="s">
        <v>136</v>
      </c>
      <c r="K421" t="s">
        <v>44</v>
      </c>
      <c r="L421" t="s">
        <v>36</v>
      </c>
      <c r="M421" t="str">
        <f>VLOOKUP(Incidents[[#This Row],[Ticket ID]],[1]Incidents!$A$2:$D$792,4,FALSE)</f>
        <v>4 - Low</v>
      </c>
      <c r="N421">
        <f>VLOOKUP(Incidents[[#This Row],[Priority]],'SLA Config'!$B$3:$C$6,2,FALSE)</f>
        <v>25</v>
      </c>
      <c r="O421" t="str">
        <f ca="1">IF(Incidents[[#This Row],[Age (days)]]&gt;Incidents[[#This Row],[SLA Threshold]],"NO","Yes")</f>
        <v>Yes</v>
      </c>
    </row>
    <row r="422" spans="1:15" x14ac:dyDescent="0.25">
      <c r="A422" s="2" t="s">
        <v>937</v>
      </c>
      <c r="B422" s="1">
        <v>45168</v>
      </c>
      <c r="C422" s="8">
        <v>45178</v>
      </c>
      <c r="D422" t="s">
        <v>29</v>
      </c>
      <c r="E422" t="s">
        <v>38</v>
      </c>
      <c r="F422" s="49">
        <f t="shared" ca="1" si="6"/>
        <v>8</v>
      </c>
      <c r="G422" s="16" t="s">
        <v>31</v>
      </c>
      <c r="H422" s="11" t="s">
        <v>938</v>
      </c>
      <c r="I422" t="s">
        <v>730</v>
      </c>
      <c r="J422" s="14" t="s">
        <v>136</v>
      </c>
      <c r="K422" t="s">
        <v>44</v>
      </c>
      <c r="L422" t="s">
        <v>36</v>
      </c>
      <c r="M422" t="str">
        <f>VLOOKUP(Incidents[[#This Row],[Ticket ID]],[1]Incidents!$A$2:$D$792,4,FALSE)</f>
        <v>4 - Low</v>
      </c>
      <c r="N422">
        <f>VLOOKUP(Incidents[[#This Row],[Priority]],'SLA Config'!$B$3:$C$6,2,FALSE)</f>
        <v>25</v>
      </c>
      <c r="O422" t="str">
        <f ca="1">IF(Incidents[[#This Row],[Age (days)]]&gt;Incidents[[#This Row],[SLA Threshold]],"NO","Yes")</f>
        <v>Yes</v>
      </c>
    </row>
    <row r="423" spans="1:15" x14ac:dyDescent="0.25">
      <c r="A423" s="2" t="s">
        <v>939</v>
      </c>
      <c r="B423" s="1">
        <v>45168</v>
      </c>
      <c r="C423" s="8">
        <v>45178</v>
      </c>
      <c r="D423" t="s">
        <v>29</v>
      </c>
      <c r="E423" t="s">
        <v>38</v>
      </c>
      <c r="F423" s="49">
        <f t="shared" ca="1" si="6"/>
        <v>8</v>
      </c>
      <c r="G423" s="16" t="s">
        <v>31</v>
      </c>
      <c r="H423" s="11" t="s">
        <v>940</v>
      </c>
      <c r="I423" t="s">
        <v>730</v>
      </c>
      <c r="J423" s="14" t="s">
        <v>136</v>
      </c>
      <c r="K423" t="s">
        <v>44</v>
      </c>
      <c r="L423" t="s">
        <v>36</v>
      </c>
      <c r="M423" t="str">
        <f>VLOOKUP(Incidents[[#This Row],[Ticket ID]],[1]Incidents!$A$2:$D$792,4,FALSE)</f>
        <v>4 - Low</v>
      </c>
      <c r="N423">
        <f>VLOOKUP(Incidents[[#This Row],[Priority]],'SLA Config'!$B$3:$C$6,2,FALSE)</f>
        <v>25</v>
      </c>
      <c r="O423" t="str">
        <f ca="1">IF(Incidents[[#This Row],[Age (days)]]&gt;Incidents[[#This Row],[SLA Threshold]],"NO","Yes")</f>
        <v>Yes</v>
      </c>
    </row>
    <row r="424" spans="1:15" x14ac:dyDescent="0.25">
      <c r="A424" s="2" t="s">
        <v>941</v>
      </c>
      <c r="B424" s="1">
        <v>45173</v>
      </c>
      <c r="C424" s="8">
        <v>45182</v>
      </c>
      <c r="D424" t="s">
        <v>29</v>
      </c>
      <c r="E424" t="s">
        <v>104</v>
      </c>
      <c r="F424" s="49">
        <f t="shared" ca="1" si="6"/>
        <v>8</v>
      </c>
      <c r="G424" s="16" t="s">
        <v>31</v>
      </c>
      <c r="H424" s="11" t="s">
        <v>942</v>
      </c>
      <c r="I424" t="s">
        <v>730</v>
      </c>
      <c r="J424" s="14" t="s">
        <v>136</v>
      </c>
      <c r="K424" t="s">
        <v>44</v>
      </c>
      <c r="L424" t="s">
        <v>36</v>
      </c>
      <c r="M424" t="str">
        <f>VLOOKUP(Incidents[[#This Row],[Ticket ID]],[1]Incidents!$A$2:$D$792,4,FALSE)</f>
        <v>4 - Low</v>
      </c>
      <c r="N424">
        <f>VLOOKUP(Incidents[[#This Row],[Priority]],'SLA Config'!$B$3:$C$6,2,FALSE)</f>
        <v>25</v>
      </c>
      <c r="O424" t="str">
        <f ca="1">IF(Incidents[[#This Row],[Age (days)]]&gt;Incidents[[#This Row],[SLA Threshold]],"NO","Yes")</f>
        <v>Yes</v>
      </c>
    </row>
    <row r="425" spans="1:15" x14ac:dyDescent="0.25">
      <c r="A425" s="2" t="s">
        <v>943</v>
      </c>
      <c r="B425" s="1">
        <v>45212</v>
      </c>
      <c r="C425" s="8">
        <v>45223</v>
      </c>
      <c r="D425" t="s">
        <v>29</v>
      </c>
      <c r="E425" t="s">
        <v>38</v>
      </c>
      <c r="F425" s="49">
        <f t="shared" ca="1" si="6"/>
        <v>8</v>
      </c>
      <c r="G425" s="16" t="s">
        <v>31</v>
      </c>
      <c r="H425" s="11" t="s">
        <v>944</v>
      </c>
      <c r="I425" t="s">
        <v>730</v>
      </c>
      <c r="J425" s="14" t="s">
        <v>136</v>
      </c>
      <c r="K425" t="s">
        <v>41</v>
      </c>
      <c r="L425" t="s">
        <v>36</v>
      </c>
      <c r="M425" t="str">
        <f>VLOOKUP(Incidents[[#This Row],[Ticket ID]],[1]Incidents!$A$2:$D$792,4,FALSE)</f>
        <v>4 - Low</v>
      </c>
      <c r="N425">
        <f>VLOOKUP(Incidents[[#This Row],[Priority]],'SLA Config'!$B$3:$C$6,2,FALSE)</f>
        <v>25</v>
      </c>
      <c r="O425" t="str">
        <f ca="1">IF(Incidents[[#This Row],[Age (days)]]&gt;Incidents[[#This Row],[SLA Threshold]],"NO","Yes")</f>
        <v>Yes</v>
      </c>
    </row>
    <row r="426" spans="1:15" x14ac:dyDescent="0.25">
      <c r="A426" s="17" t="s">
        <v>945</v>
      </c>
      <c r="B426" s="1">
        <v>45252</v>
      </c>
      <c r="C426" s="8">
        <v>45263</v>
      </c>
      <c r="D426" t="s">
        <v>29</v>
      </c>
      <c r="E426" t="s">
        <v>30</v>
      </c>
      <c r="F426" s="49">
        <f t="shared" ca="1" si="6"/>
        <v>8</v>
      </c>
      <c r="G426" s="16" t="s">
        <v>31</v>
      </c>
      <c r="H426" s="11" t="s">
        <v>946</v>
      </c>
      <c r="I426" t="s">
        <v>730</v>
      </c>
      <c r="J426" s="14" t="s">
        <v>136</v>
      </c>
      <c r="K426" t="s">
        <v>90</v>
      </c>
      <c r="L426" t="s">
        <v>36</v>
      </c>
      <c r="M426" t="str">
        <f>VLOOKUP(Incidents[[#This Row],[Ticket ID]],[1]Incidents!$A$2:$D$792,4,FALSE)</f>
        <v>4 - Low</v>
      </c>
      <c r="N426">
        <f>VLOOKUP(Incidents[[#This Row],[Priority]],'SLA Config'!$B$3:$C$6,2,FALSE)</f>
        <v>25</v>
      </c>
      <c r="O426" t="str">
        <f ca="1">IF(Incidents[[#This Row],[Age (days)]]&gt;Incidents[[#This Row],[SLA Threshold]],"NO","Yes")</f>
        <v>Yes</v>
      </c>
    </row>
    <row r="427" spans="1:15" x14ac:dyDescent="0.25">
      <c r="A427" s="2" t="s">
        <v>947</v>
      </c>
      <c r="B427" s="1">
        <v>45282</v>
      </c>
      <c r="C427" s="8">
        <v>45293</v>
      </c>
      <c r="D427" t="s">
        <v>29</v>
      </c>
      <c r="E427" s="17" t="s">
        <v>30</v>
      </c>
      <c r="F427" s="49">
        <f t="shared" ca="1" si="6"/>
        <v>8</v>
      </c>
      <c r="G427" s="16" t="s">
        <v>31</v>
      </c>
      <c r="H427" s="11" t="s">
        <v>948</v>
      </c>
      <c r="I427" t="s">
        <v>730</v>
      </c>
      <c r="J427" s="14" t="s">
        <v>136</v>
      </c>
      <c r="K427" t="s">
        <v>90</v>
      </c>
      <c r="L427" t="s">
        <v>36</v>
      </c>
      <c r="M427" t="str">
        <f>VLOOKUP(Incidents[[#This Row],[Ticket ID]],[1]Incidents!$A$2:$D$792,4,FALSE)</f>
        <v>4 - Low</v>
      </c>
      <c r="N427">
        <f>VLOOKUP(Incidents[[#This Row],[Priority]],'SLA Config'!$B$3:$C$6,2,FALSE)</f>
        <v>25</v>
      </c>
      <c r="O427" t="str">
        <f ca="1">IF(Incidents[[#This Row],[Age (days)]]&gt;Incidents[[#This Row],[SLA Threshold]],"NO","Yes")</f>
        <v>Yes</v>
      </c>
    </row>
    <row r="428" spans="1:15" x14ac:dyDescent="0.25">
      <c r="A428" s="2" t="s">
        <v>949</v>
      </c>
      <c r="B428" s="1">
        <v>45338</v>
      </c>
      <c r="C428" s="8">
        <v>45349</v>
      </c>
      <c r="D428" t="s">
        <v>29</v>
      </c>
      <c r="E428" t="s">
        <v>30</v>
      </c>
      <c r="F428" s="49">
        <f t="shared" ca="1" si="6"/>
        <v>8</v>
      </c>
      <c r="G428" s="16" t="s">
        <v>31</v>
      </c>
      <c r="H428" s="11" t="s">
        <v>950</v>
      </c>
      <c r="I428" t="s">
        <v>730</v>
      </c>
      <c r="J428" s="14" t="s">
        <v>136</v>
      </c>
      <c r="K428" t="s">
        <v>44</v>
      </c>
      <c r="L428" t="s">
        <v>36</v>
      </c>
      <c r="M428" t="str">
        <f>VLOOKUP(Incidents[[#This Row],[Ticket ID]],[1]Incidents!$A$2:$D$792,4,FALSE)</f>
        <v>2 - High</v>
      </c>
      <c r="N428">
        <f>VLOOKUP(Incidents[[#This Row],[Priority]],'SLA Config'!$B$3:$C$6,2,FALSE)</f>
        <v>5</v>
      </c>
      <c r="O428" t="str">
        <f ca="1">IF(Incidents[[#This Row],[Age (days)]]&gt;Incidents[[#This Row],[SLA Threshold]],"NO","Yes")</f>
        <v>NO</v>
      </c>
    </row>
    <row r="429" spans="1:15" x14ac:dyDescent="0.25">
      <c r="A429" s="2" t="s">
        <v>951</v>
      </c>
      <c r="B429" s="1">
        <v>45364</v>
      </c>
      <c r="C429" s="8">
        <v>45375</v>
      </c>
      <c r="D429" t="s">
        <v>29</v>
      </c>
      <c r="E429" t="s">
        <v>38</v>
      </c>
      <c r="F429" s="49">
        <f t="shared" ca="1" si="6"/>
        <v>8</v>
      </c>
      <c r="G429" s="16" t="s">
        <v>31</v>
      </c>
      <c r="H429" t="s">
        <v>952</v>
      </c>
      <c r="I429" t="s">
        <v>730</v>
      </c>
      <c r="J429" s="14" t="s">
        <v>136</v>
      </c>
      <c r="K429" t="s">
        <v>41</v>
      </c>
      <c r="L429" t="s">
        <v>36</v>
      </c>
      <c r="M429" t="str">
        <f>VLOOKUP(Incidents[[#This Row],[Ticket ID]],[1]Incidents!$A$2:$D$792,4,FALSE)</f>
        <v>3 - Medium</v>
      </c>
      <c r="N429">
        <f>VLOOKUP(Incidents[[#This Row],[Priority]],'SLA Config'!$B$3:$C$6,2,FALSE)</f>
        <v>15</v>
      </c>
      <c r="O429" t="str">
        <f ca="1">IF(Incidents[[#This Row],[Age (days)]]&gt;Incidents[[#This Row],[SLA Threshold]],"NO","Yes")</f>
        <v>Yes</v>
      </c>
    </row>
    <row r="430" spans="1:15" x14ac:dyDescent="0.25">
      <c r="A430" s="19" t="s">
        <v>953</v>
      </c>
      <c r="B430" s="8">
        <v>45435</v>
      </c>
      <c r="C430" s="8">
        <v>45446</v>
      </c>
      <c r="D430" t="s">
        <v>29</v>
      </c>
      <c r="E430" s="17" t="s">
        <v>30</v>
      </c>
      <c r="F430" s="49">
        <f t="shared" ca="1" si="6"/>
        <v>8</v>
      </c>
      <c r="G430" s="16" t="s">
        <v>31</v>
      </c>
      <c r="H430" s="11" t="s">
        <v>954</v>
      </c>
      <c r="I430" t="s">
        <v>730</v>
      </c>
      <c r="J430" s="15" t="s">
        <v>136</v>
      </c>
      <c r="K430" s="27" t="s">
        <v>90</v>
      </c>
      <c r="L430" t="s">
        <v>36</v>
      </c>
      <c r="M430" t="str">
        <f>VLOOKUP(Incidents[[#This Row],[Ticket ID]],[1]Incidents!$A$2:$D$792,4,FALSE)</f>
        <v>4 - Low</v>
      </c>
      <c r="N430">
        <f>VLOOKUP(Incidents[[#This Row],[Priority]],'SLA Config'!$B$3:$C$6,2,FALSE)</f>
        <v>25</v>
      </c>
      <c r="O430" t="str">
        <f ca="1">IF(Incidents[[#This Row],[Age (days)]]&gt;Incidents[[#This Row],[SLA Threshold]],"NO","Yes")</f>
        <v>Yes</v>
      </c>
    </row>
    <row r="431" spans="1:15" x14ac:dyDescent="0.25">
      <c r="A431" s="28" t="s">
        <v>955</v>
      </c>
      <c r="B431" s="29">
        <v>45630</v>
      </c>
      <c r="C431" s="29">
        <v>45640</v>
      </c>
      <c r="D431" s="28" t="s">
        <v>29</v>
      </c>
      <c r="E431" s="28" t="s">
        <v>38</v>
      </c>
      <c r="F431" s="49">
        <f t="shared" ca="1" si="6"/>
        <v>8</v>
      </c>
      <c r="G431" s="28" t="s">
        <v>31</v>
      </c>
      <c r="H431" s="28" t="s">
        <v>896</v>
      </c>
      <c r="I431" t="s">
        <v>730</v>
      </c>
      <c r="J431" s="20"/>
      <c r="K431" s="28" t="s">
        <v>717</v>
      </c>
      <c r="L431" t="s">
        <v>36</v>
      </c>
      <c r="M431" t="str">
        <f>VLOOKUP(Incidents[[#This Row],[Ticket ID]],[1]Incidents!$A$2:$D$792,4,FALSE)</f>
        <v>4 - Low</v>
      </c>
      <c r="N431">
        <f>VLOOKUP(Incidents[[#This Row],[Priority]],'SLA Config'!$B$3:$C$6,2,FALSE)</f>
        <v>25</v>
      </c>
      <c r="O431" t="str">
        <f ca="1">IF(Incidents[[#This Row],[Age (days)]]&gt;Incidents[[#This Row],[SLA Threshold]],"NO","Yes")</f>
        <v>Yes</v>
      </c>
    </row>
    <row r="432" spans="1:15" x14ac:dyDescent="0.25">
      <c r="A432" s="28" t="s">
        <v>956</v>
      </c>
      <c r="B432" s="29">
        <v>45686</v>
      </c>
      <c r="C432" s="29">
        <v>45697</v>
      </c>
      <c r="D432" s="28" t="s">
        <v>29</v>
      </c>
      <c r="E432" s="28" t="s">
        <v>38</v>
      </c>
      <c r="F432" s="49">
        <f t="shared" ca="1" si="6"/>
        <v>8</v>
      </c>
      <c r="G432" s="28" t="s">
        <v>31</v>
      </c>
      <c r="H432" s="28" t="s">
        <v>799</v>
      </c>
      <c r="I432" t="s">
        <v>730</v>
      </c>
      <c r="J432" s="20"/>
      <c r="K432" s="28" t="s">
        <v>717</v>
      </c>
      <c r="L432" t="s">
        <v>36</v>
      </c>
      <c r="M432" t="str">
        <f>VLOOKUP(Incidents[[#This Row],[Ticket ID]],[1]Incidents!$A$2:$D$792,4,FALSE)</f>
        <v>4 - Low</v>
      </c>
      <c r="N432">
        <f>VLOOKUP(Incidents[[#This Row],[Priority]],'SLA Config'!$B$3:$C$6,2,FALSE)</f>
        <v>25</v>
      </c>
      <c r="O432" t="str">
        <f ca="1">IF(Incidents[[#This Row],[Age (days)]]&gt;Incidents[[#This Row],[SLA Threshold]],"NO","Yes")</f>
        <v>Yes</v>
      </c>
    </row>
    <row r="433" spans="1:15" x14ac:dyDescent="0.25">
      <c r="A433" s="28" t="s">
        <v>957</v>
      </c>
      <c r="B433" s="29">
        <v>45686</v>
      </c>
      <c r="C433" s="29">
        <v>45697</v>
      </c>
      <c r="D433" s="28" t="s">
        <v>29</v>
      </c>
      <c r="E433" s="28" t="s">
        <v>38</v>
      </c>
      <c r="F433" s="49">
        <f t="shared" ca="1" si="6"/>
        <v>8</v>
      </c>
      <c r="G433" s="28" t="s">
        <v>801</v>
      </c>
      <c r="H433" s="28" t="s">
        <v>958</v>
      </c>
      <c r="I433" t="s">
        <v>730</v>
      </c>
      <c r="J433" s="20"/>
      <c r="K433" s="28" t="s">
        <v>717</v>
      </c>
      <c r="L433" t="s">
        <v>36</v>
      </c>
      <c r="M433" t="str">
        <f>VLOOKUP(Incidents[[#This Row],[Ticket ID]],[1]Incidents!$A$2:$D$792,4,FALSE)</f>
        <v>4 - Low</v>
      </c>
      <c r="N433">
        <f>VLOOKUP(Incidents[[#This Row],[Priority]],'SLA Config'!$B$3:$C$6,2,FALSE)</f>
        <v>25</v>
      </c>
      <c r="O433" t="str">
        <f ca="1">IF(Incidents[[#This Row],[Age (days)]]&gt;Incidents[[#This Row],[SLA Threshold]],"NO","Yes")</f>
        <v>Yes</v>
      </c>
    </row>
    <row r="434" spans="1:15" ht="30" x14ac:dyDescent="0.25">
      <c r="A434" t="s">
        <v>959</v>
      </c>
      <c r="B434" s="1">
        <v>44749</v>
      </c>
      <c r="C434" s="1">
        <v>44758</v>
      </c>
      <c r="D434" t="s">
        <v>29</v>
      </c>
      <c r="E434" t="s">
        <v>54</v>
      </c>
      <c r="F434" s="49">
        <f t="shared" ca="1" si="6"/>
        <v>7</v>
      </c>
      <c r="G434" s="16" t="s">
        <v>31</v>
      </c>
      <c r="H434" s="11" t="s">
        <v>960</v>
      </c>
      <c r="I434" t="s">
        <v>730</v>
      </c>
      <c r="J434" s="20" t="s">
        <v>34</v>
      </c>
      <c r="K434" t="s">
        <v>56</v>
      </c>
      <c r="L434" t="s">
        <v>36</v>
      </c>
      <c r="M434" t="str">
        <f>VLOOKUP(Incidents[[#This Row],[Ticket ID]],[1]Incidents!$A$2:$D$792,4,FALSE)</f>
        <v>2 - High</v>
      </c>
      <c r="N434">
        <f>VLOOKUP(Incidents[[#This Row],[Priority]],'SLA Config'!$B$3:$C$6,2,FALSE)</f>
        <v>5</v>
      </c>
      <c r="O434" t="str">
        <f ca="1">IF(Incidents[[#This Row],[Age (days)]]&gt;Incidents[[#This Row],[SLA Threshold]],"NO","Yes")</f>
        <v>NO</v>
      </c>
    </row>
    <row r="435" spans="1:15" ht="30" x14ac:dyDescent="0.25">
      <c r="A435" t="s">
        <v>961</v>
      </c>
      <c r="B435" s="1">
        <v>44796</v>
      </c>
      <c r="C435" s="1">
        <v>44804</v>
      </c>
      <c r="D435" t="s">
        <v>29</v>
      </c>
      <c r="E435" t="s">
        <v>38</v>
      </c>
      <c r="F435" s="49">
        <f t="shared" ca="1" si="6"/>
        <v>7</v>
      </c>
      <c r="G435" s="16" t="s">
        <v>31</v>
      </c>
      <c r="H435" s="11" t="s">
        <v>962</v>
      </c>
      <c r="I435" t="s">
        <v>730</v>
      </c>
      <c r="J435" s="20" t="s">
        <v>136</v>
      </c>
      <c r="K435" t="s">
        <v>41</v>
      </c>
      <c r="L435" t="s">
        <v>36</v>
      </c>
      <c r="M435" t="str">
        <f>VLOOKUP(Incidents[[#This Row],[Ticket ID]],[1]Incidents!$A$2:$D$792,4,FALSE)</f>
        <v>4 - Low</v>
      </c>
      <c r="N435">
        <f>VLOOKUP(Incidents[[#This Row],[Priority]],'SLA Config'!$B$3:$C$6,2,FALSE)</f>
        <v>25</v>
      </c>
      <c r="O435" t="str">
        <f ca="1">IF(Incidents[[#This Row],[Age (days)]]&gt;Incidents[[#This Row],[SLA Threshold]],"NO","Yes")</f>
        <v>Yes</v>
      </c>
    </row>
    <row r="436" spans="1:15" ht="30" x14ac:dyDescent="0.25">
      <c r="A436" t="s">
        <v>963</v>
      </c>
      <c r="B436" s="1">
        <v>44810</v>
      </c>
      <c r="C436" s="1">
        <v>44818</v>
      </c>
      <c r="D436" t="s">
        <v>29</v>
      </c>
      <c r="E436" t="s">
        <v>54</v>
      </c>
      <c r="F436" s="49">
        <f t="shared" ca="1" si="6"/>
        <v>7</v>
      </c>
      <c r="G436" s="16" t="s">
        <v>31</v>
      </c>
      <c r="H436" s="11" t="s">
        <v>964</v>
      </c>
      <c r="I436" t="s">
        <v>730</v>
      </c>
      <c r="J436" s="20" t="s">
        <v>136</v>
      </c>
      <c r="K436" t="s">
        <v>44</v>
      </c>
      <c r="L436" t="s">
        <v>36</v>
      </c>
      <c r="M436" t="str">
        <f>VLOOKUP(Incidents[[#This Row],[Ticket ID]],[1]Incidents!$A$2:$D$792,4,FALSE)</f>
        <v>3 - Medium</v>
      </c>
      <c r="N436">
        <f>VLOOKUP(Incidents[[#This Row],[Priority]],'SLA Config'!$B$3:$C$6,2,FALSE)</f>
        <v>15</v>
      </c>
      <c r="O436" t="str">
        <f ca="1">IF(Incidents[[#This Row],[Age (days)]]&gt;Incidents[[#This Row],[SLA Threshold]],"NO","Yes")</f>
        <v>Yes</v>
      </c>
    </row>
    <row r="437" spans="1:15" x14ac:dyDescent="0.25">
      <c r="A437" t="s">
        <v>965</v>
      </c>
      <c r="B437" s="1">
        <v>44813</v>
      </c>
      <c r="C437" s="1">
        <v>44823</v>
      </c>
      <c r="D437" t="s">
        <v>29</v>
      </c>
      <c r="E437" t="s">
        <v>54</v>
      </c>
      <c r="F437" s="49">
        <f t="shared" ca="1" si="6"/>
        <v>7</v>
      </c>
      <c r="G437" s="16" t="s">
        <v>31</v>
      </c>
      <c r="H437" s="11" t="s">
        <v>966</v>
      </c>
      <c r="I437" t="s">
        <v>730</v>
      </c>
      <c r="J437" s="20" t="s">
        <v>136</v>
      </c>
      <c r="K437" t="s">
        <v>44</v>
      </c>
      <c r="L437" t="s">
        <v>36</v>
      </c>
      <c r="M437" t="str">
        <f>VLOOKUP(Incidents[[#This Row],[Ticket ID]],[1]Incidents!$A$2:$D$792,4,FALSE)</f>
        <v>4 - Low</v>
      </c>
      <c r="N437">
        <f>VLOOKUP(Incidents[[#This Row],[Priority]],'SLA Config'!$B$3:$C$6,2,FALSE)</f>
        <v>25</v>
      </c>
      <c r="O437" t="str">
        <f ca="1">IF(Incidents[[#This Row],[Age (days)]]&gt;Incidents[[#This Row],[SLA Threshold]],"NO","Yes")</f>
        <v>Yes</v>
      </c>
    </row>
    <row r="438" spans="1:15" x14ac:dyDescent="0.25">
      <c r="A438" t="s">
        <v>967</v>
      </c>
      <c r="B438" s="1">
        <v>44826</v>
      </c>
      <c r="C438" s="1">
        <v>44835</v>
      </c>
      <c r="D438" t="s">
        <v>29</v>
      </c>
      <c r="E438" t="s">
        <v>54</v>
      </c>
      <c r="F438" s="49">
        <f t="shared" ca="1" si="6"/>
        <v>7</v>
      </c>
      <c r="G438" s="16" t="s">
        <v>31</v>
      </c>
      <c r="H438" s="11" t="s">
        <v>968</v>
      </c>
      <c r="I438" t="s">
        <v>730</v>
      </c>
      <c r="J438" s="20" t="s">
        <v>136</v>
      </c>
      <c r="K438" t="s">
        <v>44</v>
      </c>
      <c r="L438" t="s">
        <v>36</v>
      </c>
      <c r="M438" t="str">
        <f>VLOOKUP(Incidents[[#This Row],[Ticket ID]],[1]Incidents!$A$2:$D$792,4,FALSE)</f>
        <v>4 - Low</v>
      </c>
      <c r="N438">
        <f>VLOOKUP(Incidents[[#This Row],[Priority]],'SLA Config'!$B$3:$C$6,2,FALSE)</f>
        <v>25</v>
      </c>
      <c r="O438" t="str">
        <f ca="1">IF(Incidents[[#This Row],[Age (days)]]&gt;Incidents[[#This Row],[SLA Threshold]],"NO","Yes")</f>
        <v>Yes</v>
      </c>
    </row>
    <row r="439" spans="1:15" x14ac:dyDescent="0.25">
      <c r="A439" t="s">
        <v>969</v>
      </c>
      <c r="B439" s="1">
        <v>44835</v>
      </c>
      <c r="C439" s="1">
        <v>44845</v>
      </c>
      <c r="D439" t="s">
        <v>29</v>
      </c>
      <c r="E439" t="s">
        <v>54</v>
      </c>
      <c r="F439" s="49">
        <f t="shared" ca="1" si="6"/>
        <v>7</v>
      </c>
      <c r="G439" s="16" t="s">
        <v>31</v>
      </c>
      <c r="H439" s="11" t="s">
        <v>970</v>
      </c>
      <c r="I439" t="s">
        <v>730</v>
      </c>
      <c r="J439" s="20" t="s">
        <v>136</v>
      </c>
      <c r="K439" t="s">
        <v>44</v>
      </c>
      <c r="L439" t="s">
        <v>36</v>
      </c>
      <c r="M439" t="str">
        <f>VLOOKUP(Incidents[[#This Row],[Ticket ID]],[1]Incidents!$A$2:$D$792,4,FALSE)</f>
        <v>4 - Low</v>
      </c>
      <c r="N439">
        <f>VLOOKUP(Incidents[[#This Row],[Priority]],'SLA Config'!$B$3:$C$6,2,FALSE)</f>
        <v>25</v>
      </c>
      <c r="O439" t="str">
        <f ca="1">IF(Incidents[[#This Row],[Age (days)]]&gt;Incidents[[#This Row],[SLA Threshold]],"NO","Yes")</f>
        <v>Yes</v>
      </c>
    </row>
    <row r="440" spans="1:15" x14ac:dyDescent="0.25">
      <c r="A440" s="2" t="s">
        <v>971</v>
      </c>
      <c r="B440" s="1">
        <v>44903</v>
      </c>
      <c r="C440" s="1">
        <v>44913</v>
      </c>
      <c r="D440" t="s">
        <v>29</v>
      </c>
      <c r="E440" t="s">
        <v>54</v>
      </c>
      <c r="F440" s="49">
        <f t="shared" ca="1" si="6"/>
        <v>7</v>
      </c>
      <c r="G440" s="16" t="s">
        <v>31</v>
      </c>
      <c r="H440" s="11" t="s">
        <v>972</v>
      </c>
      <c r="I440" t="s">
        <v>730</v>
      </c>
      <c r="J440" s="20" t="s">
        <v>136</v>
      </c>
      <c r="K440" t="s">
        <v>44</v>
      </c>
      <c r="L440" t="s">
        <v>36</v>
      </c>
      <c r="M440" t="str">
        <f>VLOOKUP(Incidents[[#This Row],[Ticket ID]],[1]Incidents!$A$2:$D$792,4,FALSE)</f>
        <v>4 - Low</v>
      </c>
      <c r="N440">
        <f>VLOOKUP(Incidents[[#This Row],[Priority]],'SLA Config'!$B$3:$C$6,2,FALSE)</f>
        <v>25</v>
      </c>
      <c r="O440" t="str">
        <f ca="1">IF(Incidents[[#This Row],[Age (days)]]&gt;Incidents[[#This Row],[SLA Threshold]],"NO","Yes")</f>
        <v>Yes</v>
      </c>
    </row>
    <row r="441" spans="1:15" x14ac:dyDescent="0.25">
      <c r="A441" t="s">
        <v>973</v>
      </c>
      <c r="B441" s="1">
        <v>44921</v>
      </c>
      <c r="C441" s="1">
        <v>44929</v>
      </c>
      <c r="D441" t="s">
        <v>29</v>
      </c>
      <c r="E441" t="s">
        <v>54</v>
      </c>
      <c r="F441" s="49">
        <f t="shared" ca="1" si="6"/>
        <v>7</v>
      </c>
      <c r="G441" s="16" t="s">
        <v>31</v>
      </c>
      <c r="H441" s="11" t="s">
        <v>974</v>
      </c>
      <c r="I441" t="s">
        <v>730</v>
      </c>
      <c r="J441" s="20" t="s">
        <v>136</v>
      </c>
      <c r="K441" t="s">
        <v>44</v>
      </c>
      <c r="L441" t="s">
        <v>36</v>
      </c>
      <c r="M441" t="str">
        <f>VLOOKUP(Incidents[[#This Row],[Ticket ID]],[1]Incidents!$A$2:$D$792,4,FALSE)</f>
        <v>4 - Low</v>
      </c>
      <c r="N441">
        <f>VLOOKUP(Incidents[[#This Row],[Priority]],'SLA Config'!$B$3:$C$6,2,FALSE)</f>
        <v>25</v>
      </c>
      <c r="O441" t="str">
        <f ca="1">IF(Incidents[[#This Row],[Age (days)]]&gt;Incidents[[#This Row],[SLA Threshold]],"NO","Yes")</f>
        <v>Yes</v>
      </c>
    </row>
    <row r="442" spans="1:15" x14ac:dyDescent="0.25">
      <c r="A442" t="s">
        <v>975</v>
      </c>
      <c r="B442" s="1">
        <v>44928</v>
      </c>
      <c r="C442" s="1">
        <v>44936</v>
      </c>
      <c r="D442" t="s">
        <v>29</v>
      </c>
      <c r="E442" t="s">
        <v>54</v>
      </c>
      <c r="F442" s="49">
        <f t="shared" ca="1" si="6"/>
        <v>7</v>
      </c>
      <c r="G442" s="16" t="s">
        <v>31</v>
      </c>
      <c r="H442" s="11" t="s">
        <v>976</v>
      </c>
      <c r="I442" t="s">
        <v>730</v>
      </c>
      <c r="J442" s="20" t="s">
        <v>136</v>
      </c>
      <c r="K442" t="s">
        <v>44</v>
      </c>
      <c r="L442" t="s">
        <v>36</v>
      </c>
      <c r="M442" t="str">
        <f>VLOOKUP(Incidents[[#This Row],[Ticket ID]],[1]Incidents!$A$2:$D$792,4,FALSE)</f>
        <v>4 - Low</v>
      </c>
      <c r="N442">
        <f>VLOOKUP(Incidents[[#This Row],[Priority]],'SLA Config'!$B$3:$C$6,2,FALSE)</f>
        <v>25</v>
      </c>
      <c r="O442" t="str">
        <f ca="1">IF(Incidents[[#This Row],[Age (days)]]&gt;Incidents[[#This Row],[SLA Threshold]],"NO","Yes")</f>
        <v>Yes</v>
      </c>
    </row>
    <row r="443" spans="1:15" x14ac:dyDescent="0.25">
      <c r="A443" s="2" t="s">
        <v>977</v>
      </c>
      <c r="B443" s="1">
        <v>44935</v>
      </c>
      <c r="C443" s="1">
        <v>44943</v>
      </c>
      <c r="D443" t="s">
        <v>29</v>
      </c>
      <c r="E443" t="s">
        <v>38</v>
      </c>
      <c r="F443" s="49">
        <f t="shared" ca="1" si="6"/>
        <v>7</v>
      </c>
      <c r="G443" s="16" t="s">
        <v>31</v>
      </c>
      <c r="H443" s="11" t="s">
        <v>978</v>
      </c>
      <c r="I443" t="s">
        <v>730</v>
      </c>
      <c r="J443" s="20" t="s">
        <v>136</v>
      </c>
      <c r="K443" t="s">
        <v>41</v>
      </c>
      <c r="L443" t="s">
        <v>36</v>
      </c>
      <c r="M443" t="str">
        <f>VLOOKUP(Incidents[[#This Row],[Ticket ID]],[1]Incidents!$A$2:$D$792,4,FALSE)</f>
        <v>4 - Low</v>
      </c>
      <c r="N443">
        <f>VLOOKUP(Incidents[[#This Row],[Priority]],'SLA Config'!$B$3:$C$6,2,FALSE)</f>
        <v>25</v>
      </c>
      <c r="O443" t="str">
        <f ca="1">IF(Incidents[[#This Row],[Age (days)]]&gt;Incidents[[#This Row],[SLA Threshold]],"NO","Yes")</f>
        <v>Yes</v>
      </c>
    </row>
    <row r="444" spans="1:15" x14ac:dyDescent="0.25">
      <c r="A444" s="2" t="s">
        <v>979</v>
      </c>
      <c r="B444" s="1">
        <v>45170</v>
      </c>
      <c r="C444" s="8">
        <v>45180</v>
      </c>
      <c r="D444" t="s">
        <v>29</v>
      </c>
      <c r="E444" t="s">
        <v>104</v>
      </c>
      <c r="F444" s="49">
        <f t="shared" ca="1" si="6"/>
        <v>7</v>
      </c>
      <c r="G444" s="16" t="s">
        <v>31</v>
      </c>
      <c r="H444" s="11" t="s">
        <v>980</v>
      </c>
      <c r="I444" t="s">
        <v>730</v>
      </c>
      <c r="J444" s="20" t="s">
        <v>136</v>
      </c>
      <c r="K444" t="s">
        <v>44</v>
      </c>
      <c r="L444" t="s">
        <v>36</v>
      </c>
      <c r="M444" t="str">
        <f>VLOOKUP(Incidents[[#This Row],[Ticket ID]],[1]Incidents!$A$2:$D$792,4,FALSE)</f>
        <v>4 - Low</v>
      </c>
      <c r="N444">
        <f>VLOOKUP(Incidents[[#This Row],[Priority]],'SLA Config'!$B$3:$C$6,2,FALSE)</f>
        <v>25</v>
      </c>
      <c r="O444" t="str">
        <f ca="1">IF(Incidents[[#This Row],[Age (days)]]&gt;Incidents[[#This Row],[SLA Threshold]],"NO","Yes")</f>
        <v>Yes</v>
      </c>
    </row>
    <row r="445" spans="1:15" x14ac:dyDescent="0.25">
      <c r="A445" s="2" t="s">
        <v>981</v>
      </c>
      <c r="B445" s="1">
        <v>45174</v>
      </c>
      <c r="C445" s="8">
        <v>45182</v>
      </c>
      <c r="D445" t="s">
        <v>29</v>
      </c>
      <c r="E445" t="s">
        <v>104</v>
      </c>
      <c r="F445" s="49">
        <f t="shared" ca="1" si="6"/>
        <v>7</v>
      </c>
      <c r="G445" s="16" t="s">
        <v>31</v>
      </c>
      <c r="H445" s="11" t="s">
        <v>982</v>
      </c>
      <c r="I445" t="s">
        <v>730</v>
      </c>
      <c r="J445" s="20" t="s">
        <v>136</v>
      </c>
      <c r="K445" t="s">
        <v>44</v>
      </c>
      <c r="L445" t="s">
        <v>36</v>
      </c>
      <c r="M445" t="str">
        <f>VLOOKUP(Incidents[[#This Row],[Ticket ID]],[1]Incidents!$A$2:$D$792,4,FALSE)</f>
        <v>4 - Low</v>
      </c>
      <c r="N445">
        <f>VLOOKUP(Incidents[[#This Row],[Priority]],'SLA Config'!$B$3:$C$6,2,FALSE)</f>
        <v>25</v>
      </c>
      <c r="O445" t="str">
        <f ca="1">IF(Incidents[[#This Row],[Age (days)]]&gt;Incidents[[#This Row],[SLA Threshold]],"NO","Yes")</f>
        <v>Yes</v>
      </c>
    </row>
    <row r="446" spans="1:15" x14ac:dyDescent="0.25">
      <c r="A446" s="2" t="s">
        <v>983</v>
      </c>
      <c r="B446" s="1">
        <v>45174</v>
      </c>
      <c r="C446" s="8">
        <v>45182</v>
      </c>
      <c r="D446" t="s">
        <v>29</v>
      </c>
      <c r="E446" t="s">
        <v>104</v>
      </c>
      <c r="F446" s="49">
        <f t="shared" ca="1" si="6"/>
        <v>7</v>
      </c>
      <c r="G446" s="16" t="s">
        <v>31</v>
      </c>
      <c r="H446" s="11" t="s">
        <v>984</v>
      </c>
      <c r="I446" t="s">
        <v>730</v>
      </c>
      <c r="J446" s="21" t="s">
        <v>136</v>
      </c>
      <c r="K446" t="s">
        <v>44</v>
      </c>
      <c r="L446" t="s">
        <v>36</v>
      </c>
      <c r="M446" t="str">
        <f>VLOOKUP(Incidents[[#This Row],[Ticket ID]],[1]Incidents!$A$2:$D$792,4,FALSE)</f>
        <v>4 - Low</v>
      </c>
      <c r="N446">
        <f>VLOOKUP(Incidents[[#This Row],[Priority]],'SLA Config'!$B$3:$C$6,2,FALSE)</f>
        <v>25</v>
      </c>
      <c r="O446" t="str">
        <f ca="1">IF(Incidents[[#This Row],[Age (days)]]&gt;Incidents[[#This Row],[SLA Threshold]],"NO","Yes")</f>
        <v>Yes</v>
      </c>
    </row>
    <row r="447" spans="1:15" x14ac:dyDescent="0.25">
      <c r="A447" s="2" t="s">
        <v>985</v>
      </c>
      <c r="B447" s="1">
        <v>45183</v>
      </c>
      <c r="C447" s="8">
        <v>45192</v>
      </c>
      <c r="D447" t="s">
        <v>29</v>
      </c>
      <c r="E447" s="17" t="s">
        <v>30</v>
      </c>
      <c r="F447" s="49">
        <f t="shared" ca="1" si="6"/>
        <v>7</v>
      </c>
      <c r="G447" s="16" t="s">
        <v>31</v>
      </c>
      <c r="H447" s="11" t="s">
        <v>986</v>
      </c>
      <c r="I447" t="s">
        <v>730</v>
      </c>
      <c r="J447" s="20" t="s">
        <v>136</v>
      </c>
      <c r="K447" t="s">
        <v>44</v>
      </c>
      <c r="L447" t="s">
        <v>36</v>
      </c>
      <c r="M447" t="str">
        <f>VLOOKUP(Incidents[[#This Row],[Ticket ID]],[1]Incidents!$A$2:$D$792,4,FALSE)</f>
        <v>4 - Low</v>
      </c>
      <c r="N447">
        <f>VLOOKUP(Incidents[[#This Row],[Priority]],'SLA Config'!$B$3:$C$6,2,FALSE)</f>
        <v>25</v>
      </c>
      <c r="O447" t="str">
        <f ca="1">IF(Incidents[[#This Row],[Age (days)]]&gt;Incidents[[#This Row],[SLA Threshold]],"NO","Yes")</f>
        <v>Yes</v>
      </c>
    </row>
    <row r="448" spans="1:15" x14ac:dyDescent="0.25">
      <c r="A448" s="2" t="s">
        <v>987</v>
      </c>
      <c r="B448" s="1">
        <v>45190</v>
      </c>
      <c r="C448" s="8">
        <v>45200</v>
      </c>
      <c r="D448" t="s">
        <v>29</v>
      </c>
      <c r="E448" s="17" t="s">
        <v>30</v>
      </c>
      <c r="F448" s="49">
        <f t="shared" ca="1" si="6"/>
        <v>7</v>
      </c>
      <c r="G448" s="16" t="s">
        <v>31</v>
      </c>
      <c r="H448" s="11" t="s">
        <v>988</v>
      </c>
      <c r="I448" t="s">
        <v>730</v>
      </c>
      <c r="J448" s="20" t="s">
        <v>136</v>
      </c>
      <c r="K448" t="s">
        <v>90</v>
      </c>
      <c r="L448" t="s">
        <v>36</v>
      </c>
      <c r="M448" t="str">
        <f>VLOOKUP(Incidents[[#This Row],[Ticket ID]],[1]Incidents!$A$2:$D$792,4,FALSE)</f>
        <v>4 - Low</v>
      </c>
      <c r="N448">
        <f>VLOOKUP(Incidents[[#This Row],[Priority]],'SLA Config'!$B$3:$C$6,2,FALSE)</f>
        <v>25</v>
      </c>
      <c r="O448" t="str">
        <f ca="1">IF(Incidents[[#This Row],[Age (days)]]&gt;Incidents[[#This Row],[SLA Threshold]],"NO","Yes")</f>
        <v>Yes</v>
      </c>
    </row>
    <row r="449" spans="1:15" x14ac:dyDescent="0.25">
      <c r="A449" s="2" t="s">
        <v>989</v>
      </c>
      <c r="B449" s="1">
        <v>45208</v>
      </c>
      <c r="C449" s="8">
        <v>45216</v>
      </c>
      <c r="D449" t="s">
        <v>29</v>
      </c>
      <c r="E449" t="s">
        <v>30</v>
      </c>
      <c r="F449" s="49">
        <f t="shared" ca="1" si="6"/>
        <v>7</v>
      </c>
      <c r="G449" s="16" t="s">
        <v>31</v>
      </c>
      <c r="H449" s="11" t="s">
        <v>990</v>
      </c>
      <c r="I449" t="s">
        <v>730</v>
      </c>
      <c r="J449" s="20" t="s">
        <v>136</v>
      </c>
      <c r="K449" t="s">
        <v>90</v>
      </c>
      <c r="L449" t="s">
        <v>36</v>
      </c>
      <c r="M449" t="str">
        <f>VLOOKUP(Incidents[[#This Row],[Ticket ID]],[1]Incidents!$A$2:$D$792,4,FALSE)</f>
        <v>4 - Low</v>
      </c>
      <c r="N449">
        <f>VLOOKUP(Incidents[[#This Row],[Priority]],'SLA Config'!$B$3:$C$6,2,FALSE)</f>
        <v>25</v>
      </c>
      <c r="O449" t="str">
        <f ca="1">IF(Incidents[[#This Row],[Age (days)]]&gt;Incidents[[#This Row],[SLA Threshold]],"NO","Yes")</f>
        <v>Yes</v>
      </c>
    </row>
    <row r="450" spans="1:15" x14ac:dyDescent="0.25">
      <c r="A450" s="2" t="s">
        <v>991</v>
      </c>
      <c r="B450" s="1">
        <v>45219</v>
      </c>
      <c r="C450" s="8">
        <v>45229</v>
      </c>
      <c r="D450" t="s">
        <v>29</v>
      </c>
      <c r="E450" t="s">
        <v>30</v>
      </c>
      <c r="F450" s="49">
        <f t="shared" ref="F450:F513" ca="1" si="7">IF(ISBLANK(C450), NETWORKDAYS(B450,TODAY()), NETWORKDAYS(B450,C450))</f>
        <v>7</v>
      </c>
      <c r="G450" s="16" t="s">
        <v>31</v>
      </c>
      <c r="H450" s="11" t="s">
        <v>992</v>
      </c>
      <c r="I450" t="s">
        <v>730</v>
      </c>
      <c r="J450" s="20" t="s">
        <v>136</v>
      </c>
      <c r="K450" t="s">
        <v>90</v>
      </c>
      <c r="L450" t="s">
        <v>36</v>
      </c>
      <c r="M450" t="str">
        <f>VLOOKUP(Incidents[[#This Row],[Ticket ID]],[1]Incidents!$A$2:$D$792,4,FALSE)</f>
        <v>4 - Low</v>
      </c>
      <c r="N450">
        <f>VLOOKUP(Incidents[[#This Row],[Priority]],'SLA Config'!$B$3:$C$6,2,FALSE)</f>
        <v>25</v>
      </c>
      <c r="O450" t="str">
        <f ca="1">IF(Incidents[[#This Row],[Age (days)]]&gt;Incidents[[#This Row],[SLA Threshold]],"NO","Yes")</f>
        <v>Yes</v>
      </c>
    </row>
    <row r="451" spans="1:15" x14ac:dyDescent="0.25">
      <c r="A451" s="2" t="s">
        <v>993</v>
      </c>
      <c r="B451" s="1">
        <v>45222</v>
      </c>
      <c r="C451" s="8">
        <v>45230</v>
      </c>
      <c r="D451" t="s">
        <v>29</v>
      </c>
      <c r="E451" t="s">
        <v>30</v>
      </c>
      <c r="F451" s="49">
        <f t="shared" ca="1" si="7"/>
        <v>7</v>
      </c>
      <c r="G451" s="16" t="s">
        <v>31</v>
      </c>
      <c r="H451" s="11" t="s">
        <v>994</v>
      </c>
      <c r="I451" t="s">
        <v>730</v>
      </c>
      <c r="J451" s="20" t="s">
        <v>136</v>
      </c>
      <c r="K451" t="s">
        <v>90</v>
      </c>
      <c r="L451" t="s">
        <v>36</v>
      </c>
      <c r="M451" t="str">
        <f>VLOOKUP(Incidents[[#This Row],[Ticket ID]],[1]Incidents!$A$2:$D$792,4,FALSE)</f>
        <v>4 - Low</v>
      </c>
      <c r="N451">
        <f>VLOOKUP(Incidents[[#This Row],[Priority]],'SLA Config'!$B$3:$C$6,2,FALSE)</f>
        <v>25</v>
      </c>
      <c r="O451" t="str">
        <f ca="1">IF(Incidents[[#This Row],[Age (days)]]&gt;Incidents[[#This Row],[SLA Threshold]],"NO","Yes")</f>
        <v>Yes</v>
      </c>
    </row>
    <row r="452" spans="1:15" x14ac:dyDescent="0.25">
      <c r="A452" s="17" t="s">
        <v>995</v>
      </c>
      <c r="B452" s="1">
        <v>45239</v>
      </c>
      <c r="C452" s="8">
        <v>45248</v>
      </c>
      <c r="D452" t="s">
        <v>29</v>
      </c>
      <c r="E452" t="s">
        <v>30</v>
      </c>
      <c r="F452" s="49">
        <f t="shared" ca="1" si="7"/>
        <v>7</v>
      </c>
      <c r="G452" s="16" t="s">
        <v>31</v>
      </c>
      <c r="H452" s="11" t="s">
        <v>996</v>
      </c>
      <c r="I452" t="s">
        <v>730</v>
      </c>
      <c r="J452" s="20" t="s">
        <v>136</v>
      </c>
      <c r="K452" t="s">
        <v>90</v>
      </c>
      <c r="L452" t="s">
        <v>36</v>
      </c>
      <c r="M452" t="str">
        <f>VLOOKUP(Incidents[[#This Row],[Ticket ID]],[1]Incidents!$A$2:$D$792,4,FALSE)</f>
        <v>4 - Low</v>
      </c>
      <c r="N452">
        <f>VLOOKUP(Incidents[[#This Row],[Priority]],'SLA Config'!$B$3:$C$6,2,FALSE)</f>
        <v>25</v>
      </c>
      <c r="O452" t="str">
        <f ca="1">IF(Incidents[[#This Row],[Age (days)]]&gt;Incidents[[#This Row],[SLA Threshold]],"NO","Yes")</f>
        <v>Yes</v>
      </c>
    </row>
    <row r="453" spans="1:15" x14ac:dyDescent="0.25">
      <c r="A453" s="17" t="s">
        <v>997</v>
      </c>
      <c r="B453" s="1">
        <v>45253</v>
      </c>
      <c r="C453" s="8">
        <v>45263</v>
      </c>
      <c r="D453" t="s">
        <v>29</v>
      </c>
      <c r="E453" s="17" t="s">
        <v>30</v>
      </c>
      <c r="F453" s="49">
        <f t="shared" ca="1" si="7"/>
        <v>7</v>
      </c>
      <c r="G453" s="16" t="s">
        <v>31</v>
      </c>
      <c r="H453" s="11" t="s">
        <v>998</v>
      </c>
      <c r="I453" t="s">
        <v>730</v>
      </c>
      <c r="J453" s="20" t="s">
        <v>136</v>
      </c>
      <c r="K453" t="s">
        <v>90</v>
      </c>
      <c r="L453" t="s">
        <v>36</v>
      </c>
      <c r="M453" t="str">
        <f>VLOOKUP(Incidents[[#This Row],[Ticket ID]],[1]Incidents!$A$2:$D$792,4,FALSE)</f>
        <v>4 - Low</v>
      </c>
      <c r="N453">
        <f>VLOOKUP(Incidents[[#This Row],[Priority]],'SLA Config'!$B$3:$C$6,2,FALSE)</f>
        <v>25</v>
      </c>
      <c r="O453" t="str">
        <f ca="1">IF(Incidents[[#This Row],[Age (days)]]&gt;Incidents[[#This Row],[SLA Threshold]],"NO","Yes")</f>
        <v>Yes</v>
      </c>
    </row>
    <row r="454" spans="1:15" x14ac:dyDescent="0.25">
      <c r="A454" s="19" t="s">
        <v>999</v>
      </c>
      <c r="B454" s="1">
        <v>45295</v>
      </c>
      <c r="C454" s="8">
        <v>45304</v>
      </c>
      <c r="D454" t="s">
        <v>29</v>
      </c>
      <c r="E454" t="s">
        <v>38</v>
      </c>
      <c r="F454" s="49">
        <f t="shared" ca="1" si="7"/>
        <v>7</v>
      </c>
      <c r="G454" s="16" t="s">
        <v>31</v>
      </c>
      <c r="H454" s="11" t="s">
        <v>1000</v>
      </c>
      <c r="I454" t="s">
        <v>730</v>
      </c>
      <c r="J454" s="20" t="s">
        <v>136</v>
      </c>
      <c r="K454" t="s">
        <v>41</v>
      </c>
      <c r="L454" t="s">
        <v>36</v>
      </c>
      <c r="M454" t="str">
        <f>VLOOKUP(Incidents[[#This Row],[Ticket ID]],[1]Incidents!$A$2:$D$792,4,FALSE)</f>
        <v>4 - Low</v>
      </c>
      <c r="N454">
        <f>VLOOKUP(Incidents[[#This Row],[Priority]],'SLA Config'!$B$3:$C$6,2,FALSE)</f>
        <v>25</v>
      </c>
      <c r="O454" t="str">
        <f ca="1">IF(Incidents[[#This Row],[Age (days)]]&gt;Incidents[[#This Row],[SLA Threshold]],"NO","Yes")</f>
        <v>Yes</v>
      </c>
    </row>
    <row r="455" spans="1:15" x14ac:dyDescent="0.25">
      <c r="A455" s="2" t="s">
        <v>1001</v>
      </c>
      <c r="B455" s="1">
        <v>45330</v>
      </c>
      <c r="C455" s="8">
        <v>45340</v>
      </c>
      <c r="D455" t="s">
        <v>29</v>
      </c>
      <c r="E455" t="s">
        <v>30</v>
      </c>
      <c r="F455" s="49">
        <f t="shared" ca="1" si="7"/>
        <v>7</v>
      </c>
      <c r="G455" s="16" t="s">
        <v>31</v>
      </c>
      <c r="H455" s="11" t="s">
        <v>1002</v>
      </c>
      <c r="I455" t="s">
        <v>730</v>
      </c>
      <c r="J455" s="20" t="s">
        <v>136</v>
      </c>
      <c r="K455" t="s">
        <v>90</v>
      </c>
      <c r="L455" t="s">
        <v>36</v>
      </c>
      <c r="M455" t="str">
        <f>VLOOKUP(Incidents[[#This Row],[Ticket ID]],[1]Incidents!$A$2:$D$792,4,FALSE)</f>
        <v>4 - Low</v>
      </c>
      <c r="N455">
        <f>VLOOKUP(Incidents[[#This Row],[Priority]],'SLA Config'!$B$3:$C$6,2,FALSE)</f>
        <v>25</v>
      </c>
      <c r="O455" t="str">
        <f ca="1">IF(Incidents[[#This Row],[Age (days)]]&gt;Incidents[[#This Row],[SLA Threshold]],"NO","Yes")</f>
        <v>Yes</v>
      </c>
    </row>
    <row r="456" spans="1:15" x14ac:dyDescent="0.25">
      <c r="A456" s="2" t="s">
        <v>1003</v>
      </c>
      <c r="B456" s="1">
        <v>45344</v>
      </c>
      <c r="C456" s="8">
        <v>45353</v>
      </c>
      <c r="D456" t="s">
        <v>29</v>
      </c>
      <c r="E456" s="17" t="s">
        <v>30</v>
      </c>
      <c r="F456" s="49">
        <f t="shared" ca="1" si="7"/>
        <v>7</v>
      </c>
      <c r="G456" s="16" t="s">
        <v>31</v>
      </c>
      <c r="H456" s="11" t="s">
        <v>1004</v>
      </c>
      <c r="I456" t="s">
        <v>730</v>
      </c>
      <c r="J456" s="20" t="s">
        <v>136</v>
      </c>
      <c r="K456" t="s">
        <v>90</v>
      </c>
      <c r="L456" t="s">
        <v>36</v>
      </c>
      <c r="M456" t="str">
        <f>VLOOKUP(Incidents[[#This Row],[Ticket ID]],[1]Incidents!$A$2:$D$792,4,FALSE)</f>
        <v>2 - High</v>
      </c>
      <c r="N456">
        <f>VLOOKUP(Incidents[[#This Row],[Priority]],'SLA Config'!$B$3:$C$6,2,FALSE)</f>
        <v>5</v>
      </c>
      <c r="O456" t="str">
        <f ca="1">IF(Incidents[[#This Row],[Age (days)]]&gt;Incidents[[#This Row],[SLA Threshold]],"NO","Yes")</f>
        <v>NO</v>
      </c>
    </row>
    <row r="457" spans="1:15" ht="30" x14ac:dyDescent="0.25">
      <c r="A457" s="19" t="s">
        <v>1005</v>
      </c>
      <c r="B457" s="8">
        <v>45387</v>
      </c>
      <c r="C457" s="8">
        <v>45397</v>
      </c>
      <c r="D457" t="s">
        <v>29</v>
      </c>
      <c r="E457" t="s">
        <v>30</v>
      </c>
      <c r="F457" s="49">
        <f t="shared" ca="1" si="7"/>
        <v>7</v>
      </c>
      <c r="G457" s="16" t="s">
        <v>31</v>
      </c>
      <c r="H457" s="11" t="s">
        <v>1006</v>
      </c>
      <c r="I457" t="s">
        <v>730</v>
      </c>
      <c r="J457" s="20" t="s">
        <v>136</v>
      </c>
      <c r="K457" t="s">
        <v>90</v>
      </c>
      <c r="L457" t="s">
        <v>36</v>
      </c>
      <c r="M457" t="str">
        <f>VLOOKUP(Incidents[[#This Row],[Ticket ID]],[1]Incidents!$A$2:$D$792,4,FALSE)</f>
        <v>4 - Low</v>
      </c>
      <c r="N457">
        <f>VLOOKUP(Incidents[[#This Row],[Priority]],'SLA Config'!$B$3:$C$6,2,FALSE)</f>
        <v>25</v>
      </c>
      <c r="O457" t="str">
        <f ca="1">IF(Incidents[[#This Row],[Age (days)]]&gt;Incidents[[#This Row],[SLA Threshold]],"NO","Yes")</f>
        <v>Yes</v>
      </c>
    </row>
    <row r="458" spans="1:15" x14ac:dyDescent="0.25">
      <c r="A458" s="19" t="s">
        <v>1007</v>
      </c>
      <c r="B458" s="8">
        <v>45456</v>
      </c>
      <c r="C458" s="8">
        <v>45465</v>
      </c>
      <c r="D458" t="s">
        <v>29</v>
      </c>
      <c r="E458" s="17" t="s">
        <v>30</v>
      </c>
      <c r="F458" s="49">
        <f t="shared" ca="1" si="7"/>
        <v>7</v>
      </c>
      <c r="G458" s="16" t="s">
        <v>31</v>
      </c>
      <c r="H458" t="s">
        <v>1008</v>
      </c>
      <c r="I458" t="s">
        <v>730</v>
      </c>
      <c r="J458" s="20" t="s">
        <v>136</v>
      </c>
      <c r="K458" s="27" t="s">
        <v>90</v>
      </c>
      <c r="L458" s="27" t="s">
        <v>36</v>
      </c>
      <c r="M458" t="str">
        <f>VLOOKUP(Incidents[[#This Row],[Ticket ID]],[1]Incidents!$A$2:$D$792,4,FALSE)</f>
        <v>4 - Low</v>
      </c>
      <c r="N458">
        <f>VLOOKUP(Incidents[[#This Row],[Priority]],'SLA Config'!$B$3:$C$6,2,FALSE)</f>
        <v>25</v>
      </c>
      <c r="O458" t="str">
        <f ca="1">IF(Incidents[[#This Row],[Age (days)]]&gt;Incidents[[#This Row],[SLA Threshold]],"NO","Yes")</f>
        <v>Yes</v>
      </c>
    </row>
    <row r="459" spans="1:15" x14ac:dyDescent="0.25">
      <c r="A459" s="19" t="s">
        <v>1009</v>
      </c>
      <c r="B459" s="8">
        <v>45467</v>
      </c>
      <c r="C459" s="8">
        <v>45475</v>
      </c>
      <c r="D459" t="s">
        <v>29</v>
      </c>
      <c r="E459" t="s">
        <v>46</v>
      </c>
      <c r="F459" s="49">
        <f t="shared" ca="1" si="7"/>
        <v>7</v>
      </c>
      <c r="G459" s="16" t="s">
        <v>31</v>
      </c>
      <c r="H459" t="s">
        <v>1010</v>
      </c>
      <c r="I459" t="s">
        <v>730</v>
      </c>
      <c r="J459" s="20" t="s">
        <v>136</v>
      </c>
      <c r="K459" t="s">
        <v>35</v>
      </c>
      <c r="L459" s="27" t="s">
        <v>36</v>
      </c>
      <c r="M459" t="str">
        <f>VLOOKUP(Incidents[[#This Row],[Ticket ID]],[1]Incidents!$A$2:$D$792,4,FALSE)</f>
        <v>4 - Low</v>
      </c>
      <c r="N459">
        <f>VLOOKUP(Incidents[[#This Row],[Priority]],'SLA Config'!$B$3:$C$6,2,FALSE)</f>
        <v>25</v>
      </c>
      <c r="O459" t="str">
        <f ca="1">IF(Incidents[[#This Row],[Age (days)]]&gt;Incidents[[#This Row],[SLA Threshold]],"NO","Yes")</f>
        <v>Yes</v>
      </c>
    </row>
    <row r="460" spans="1:15" x14ac:dyDescent="0.25">
      <c r="A460" s="19" t="s">
        <v>1011</v>
      </c>
      <c r="B460" s="8">
        <v>45491</v>
      </c>
      <c r="C460" s="8">
        <v>45500</v>
      </c>
      <c r="D460" t="s">
        <v>29</v>
      </c>
      <c r="E460" t="s">
        <v>46</v>
      </c>
      <c r="F460" s="49">
        <f t="shared" ca="1" si="7"/>
        <v>7</v>
      </c>
      <c r="G460" s="16" t="s">
        <v>31</v>
      </c>
      <c r="H460" t="s">
        <v>1012</v>
      </c>
      <c r="I460" t="s">
        <v>730</v>
      </c>
      <c r="J460" s="20" t="s">
        <v>136</v>
      </c>
      <c r="K460" t="s">
        <v>35</v>
      </c>
      <c r="L460" t="s">
        <v>36</v>
      </c>
      <c r="M460" t="str">
        <f>VLOOKUP(Incidents[[#This Row],[Ticket ID]],[1]Incidents!$A$2:$D$792,4,FALSE)</f>
        <v>4 - Low</v>
      </c>
      <c r="N460">
        <f>VLOOKUP(Incidents[[#This Row],[Priority]],'SLA Config'!$B$3:$C$6,2,FALSE)</f>
        <v>25</v>
      </c>
      <c r="O460" t="str">
        <f ca="1">IF(Incidents[[#This Row],[Age (days)]]&gt;Incidents[[#This Row],[SLA Threshold]],"NO","Yes")</f>
        <v>Yes</v>
      </c>
    </row>
    <row r="461" spans="1:15" x14ac:dyDescent="0.25">
      <c r="A461" s="19" t="s">
        <v>1013</v>
      </c>
      <c r="B461" s="8">
        <v>45502</v>
      </c>
      <c r="C461" s="8">
        <v>45510</v>
      </c>
      <c r="D461" t="s">
        <v>29</v>
      </c>
      <c r="E461" t="s">
        <v>46</v>
      </c>
      <c r="F461" s="49">
        <f t="shared" ca="1" si="7"/>
        <v>7</v>
      </c>
      <c r="G461" s="16" t="s">
        <v>31</v>
      </c>
      <c r="H461" t="s">
        <v>1014</v>
      </c>
      <c r="I461" t="s">
        <v>730</v>
      </c>
      <c r="J461" s="20" t="s">
        <v>136</v>
      </c>
      <c r="K461" t="s">
        <v>35</v>
      </c>
      <c r="L461" t="s">
        <v>36</v>
      </c>
      <c r="M461" t="str">
        <f>VLOOKUP(Incidents[[#This Row],[Ticket ID]],[1]Incidents!$A$2:$D$792,4,FALSE)</f>
        <v>4 - Low</v>
      </c>
      <c r="N461">
        <f>VLOOKUP(Incidents[[#This Row],[Priority]],'SLA Config'!$B$3:$C$6,2,FALSE)</f>
        <v>25</v>
      </c>
      <c r="O461" t="str">
        <f ca="1">IF(Incidents[[#This Row],[Age (days)]]&gt;Incidents[[#This Row],[SLA Threshold]],"NO","Yes")</f>
        <v>Yes</v>
      </c>
    </row>
    <row r="462" spans="1:15" x14ac:dyDescent="0.25">
      <c r="A462" s="19" t="s">
        <v>1015</v>
      </c>
      <c r="B462" s="8">
        <v>45526</v>
      </c>
      <c r="C462" s="8">
        <v>45536</v>
      </c>
      <c r="D462" t="s">
        <v>29</v>
      </c>
      <c r="E462" s="17" t="s">
        <v>46</v>
      </c>
      <c r="F462" s="49">
        <f t="shared" ca="1" si="7"/>
        <v>7</v>
      </c>
      <c r="G462" s="16" t="s">
        <v>31</v>
      </c>
      <c r="H462" t="s">
        <v>1016</v>
      </c>
      <c r="I462" t="s">
        <v>730</v>
      </c>
      <c r="J462" s="20" t="s">
        <v>136</v>
      </c>
      <c r="K462" t="s">
        <v>35</v>
      </c>
      <c r="L462" s="27" t="s">
        <v>36</v>
      </c>
      <c r="M462" t="str">
        <f>VLOOKUP(Incidents[[#This Row],[Ticket ID]],[1]Incidents!$A$2:$D$792,4,FALSE)</f>
        <v>4 - Low</v>
      </c>
      <c r="N462">
        <f>VLOOKUP(Incidents[[#This Row],[Priority]],'SLA Config'!$B$3:$C$6,2,FALSE)</f>
        <v>25</v>
      </c>
      <c r="O462" t="str">
        <f ca="1">IF(Incidents[[#This Row],[Age (days)]]&gt;Incidents[[#This Row],[SLA Threshold]],"NO","Yes")</f>
        <v>Yes</v>
      </c>
    </row>
    <row r="463" spans="1:15" x14ac:dyDescent="0.25">
      <c r="A463" s="28" t="s">
        <v>1017</v>
      </c>
      <c r="B463" s="29">
        <v>45687</v>
      </c>
      <c r="C463" s="29">
        <v>45697</v>
      </c>
      <c r="D463" s="28" t="s">
        <v>29</v>
      </c>
      <c r="E463" s="28" t="s">
        <v>38</v>
      </c>
      <c r="F463" s="49">
        <f t="shared" ca="1" si="7"/>
        <v>7</v>
      </c>
      <c r="G463" s="28" t="s">
        <v>31</v>
      </c>
      <c r="H463" s="28" t="s">
        <v>799</v>
      </c>
      <c r="I463" t="s">
        <v>730</v>
      </c>
      <c r="J463" s="20"/>
      <c r="K463" s="28" t="s">
        <v>717</v>
      </c>
      <c r="L463" t="s">
        <v>36</v>
      </c>
      <c r="M463" t="str">
        <f>VLOOKUP(Incidents[[#This Row],[Ticket ID]],[1]Incidents!$A$2:$D$792,4,FALSE)</f>
        <v>4 - Low</v>
      </c>
      <c r="N463">
        <f>VLOOKUP(Incidents[[#This Row],[Priority]],'SLA Config'!$B$3:$C$6,2,FALSE)</f>
        <v>25</v>
      </c>
      <c r="O463" t="str">
        <f ca="1">IF(Incidents[[#This Row],[Age (days)]]&gt;Incidents[[#This Row],[SLA Threshold]],"NO","Yes")</f>
        <v>Yes</v>
      </c>
    </row>
    <row r="464" spans="1:15" x14ac:dyDescent="0.25">
      <c r="A464" s="28" t="s">
        <v>1018</v>
      </c>
      <c r="B464" s="29">
        <v>45687</v>
      </c>
      <c r="C464" s="29">
        <v>45697</v>
      </c>
      <c r="D464" s="28" t="s">
        <v>29</v>
      </c>
      <c r="E464" s="28" t="s">
        <v>38</v>
      </c>
      <c r="F464" s="49">
        <f t="shared" ca="1" si="7"/>
        <v>7</v>
      </c>
      <c r="G464" s="28" t="s">
        <v>801</v>
      </c>
      <c r="H464" s="28" t="s">
        <v>958</v>
      </c>
      <c r="I464" t="s">
        <v>730</v>
      </c>
      <c r="J464" s="20"/>
      <c r="K464" s="28" t="s">
        <v>717</v>
      </c>
      <c r="L464" t="s">
        <v>36</v>
      </c>
      <c r="M464" t="str">
        <f>VLOOKUP(Incidents[[#This Row],[Ticket ID]],[1]Incidents!$A$2:$D$792,4,FALSE)</f>
        <v>4 - Low</v>
      </c>
      <c r="N464">
        <f>VLOOKUP(Incidents[[#This Row],[Priority]],'SLA Config'!$B$3:$C$6,2,FALSE)</f>
        <v>25</v>
      </c>
      <c r="O464" t="str">
        <f ca="1">IF(Incidents[[#This Row],[Age (days)]]&gt;Incidents[[#This Row],[SLA Threshold]],"NO","Yes")</f>
        <v>Yes</v>
      </c>
    </row>
    <row r="465" spans="1:15" x14ac:dyDescent="0.25">
      <c r="A465" s="28" t="s">
        <v>1019</v>
      </c>
      <c r="B465" s="29">
        <v>45691</v>
      </c>
      <c r="C465" s="29">
        <v>45699</v>
      </c>
      <c r="D465" s="28" t="s">
        <v>29</v>
      </c>
      <c r="E465" s="28" t="s">
        <v>30</v>
      </c>
      <c r="F465" s="49">
        <f t="shared" ca="1" si="7"/>
        <v>7</v>
      </c>
      <c r="G465" s="28" t="s">
        <v>31</v>
      </c>
      <c r="H465" s="28" t="s">
        <v>896</v>
      </c>
      <c r="I465" t="s">
        <v>730</v>
      </c>
      <c r="J465" s="20"/>
      <c r="K465" s="28" t="s">
        <v>717</v>
      </c>
      <c r="L465" t="s">
        <v>36</v>
      </c>
      <c r="M465" t="str">
        <f>VLOOKUP(Incidents[[#This Row],[Ticket ID]],[1]Incidents!$A$2:$D$792,4,FALSE)</f>
        <v>4 - Low</v>
      </c>
      <c r="N465">
        <f>VLOOKUP(Incidents[[#This Row],[Priority]],'SLA Config'!$B$3:$C$6,2,FALSE)</f>
        <v>25</v>
      </c>
      <c r="O465" t="str">
        <f ca="1">IF(Incidents[[#This Row],[Age (days)]]&gt;Incidents[[#This Row],[SLA Threshold]],"NO","Yes")</f>
        <v>Yes</v>
      </c>
    </row>
    <row r="466" spans="1:15" x14ac:dyDescent="0.25">
      <c r="A466" s="28" t="s">
        <v>1020</v>
      </c>
      <c r="B466" s="29">
        <v>45691</v>
      </c>
      <c r="C466" s="29">
        <v>45699</v>
      </c>
      <c r="D466" s="28" t="s">
        <v>29</v>
      </c>
      <c r="E466" s="28" t="s">
        <v>30</v>
      </c>
      <c r="F466" s="49">
        <f t="shared" ca="1" si="7"/>
        <v>7</v>
      </c>
      <c r="G466" s="28" t="s">
        <v>31</v>
      </c>
      <c r="H466" s="28" t="s">
        <v>1021</v>
      </c>
      <c r="I466" t="s">
        <v>730</v>
      </c>
      <c r="J466" s="20"/>
      <c r="K466" s="28" t="s">
        <v>717</v>
      </c>
      <c r="L466" t="s">
        <v>36</v>
      </c>
      <c r="M466" t="str">
        <f>VLOOKUP(Incidents[[#This Row],[Ticket ID]],[1]Incidents!$A$2:$D$792,4,FALSE)</f>
        <v>4 - Low</v>
      </c>
      <c r="N466">
        <f>VLOOKUP(Incidents[[#This Row],[Priority]],'SLA Config'!$B$3:$C$6,2,FALSE)</f>
        <v>25</v>
      </c>
      <c r="O466" t="str">
        <f ca="1">IF(Incidents[[#This Row],[Age (days)]]&gt;Incidents[[#This Row],[SLA Threshold]],"NO","Yes")</f>
        <v>Yes</v>
      </c>
    </row>
    <row r="467" spans="1:15" x14ac:dyDescent="0.25">
      <c r="A467" s="28" t="s">
        <v>1022</v>
      </c>
      <c r="B467" s="29">
        <v>45691</v>
      </c>
      <c r="C467" s="29">
        <v>45699</v>
      </c>
      <c r="D467" s="28" t="s">
        <v>29</v>
      </c>
      <c r="E467" s="28" t="s">
        <v>30</v>
      </c>
      <c r="F467" s="49">
        <f t="shared" ca="1" si="7"/>
        <v>7</v>
      </c>
      <c r="G467" s="28" t="s">
        <v>31</v>
      </c>
      <c r="H467" s="28" t="s">
        <v>799</v>
      </c>
      <c r="I467" t="s">
        <v>730</v>
      </c>
      <c r="J467" s="20"/>
      <c r="K467" s="28" t="s">
        <v>717</v>
      </c>
      <c r="L467" t="s">
        <v>36</v>
      </c>
      <c r="M467" t="str">
        <f>VLOOKUP(Incidents[[#This Row],[Ticket ID]],[1]Incidents!$A$2:$D$792,4,FALSE)</f>
        <v>4 - Low</v>
      </c>
      <c r="N467">
        <f>VLOOKUP(Incidents[[#This Row],[Priority]],'SLA Config'!$B$3:$C$6,2,FALSE)</f>
        <v>25</v>
      </c>
      <c r="O467" t="str">
        <f ca="1">IF(Incidents[[#This Row],[Age (days)]]&gt;Incidents[[#This Row],[SLA Threshold]],"NO","Yes")</f>
        <v>Yes</v>
      </c>
    </row>
    <row r="468" spans="1:15" x14ac:dyDescent="0.25">
      <c r="A468" s="28" t="s">
        <v>1023</v>
      </c>
      <c r="B468" s="29">
        <v>45691</v>
      </c>
      <c r="C468" s="29">
        <v>45699</v>
      </c>
      <c r="D468" s="28" t="s">
        <v>29</v>
      </c>
      <c r="E468" s="28" t="s">
        <v>30</v>
      </c>
      <c r="F468" s="49">
        <f t="shared" ca="1" si="7"/>
        <v>7</v>
      </c>
      <c r="G468" s="28" t="s">
        <v>31</v>
      </c>
      <c r="H468" s="28" t="s">
        <v>958</v>
      </c>
      <c r="I468" t="s">
        <v>730</v>
      </c>
      <c r="J468" s="20"/>
      <c r="K468" s="28" t="s">
        <v>717</v>
      </c>
      <c r="L468" t="s">
        <v>36</v>
      </c>
      <c r="M468" t="str">
        <f>VLOOKUP(Incidents[[#This Row],[Ticket ID]],[1]Incidents!$A$2:$D$792,4,FALSE)</f>
        <v>4 - Low</v>
      </c>
      <c r="N468">
        <f>VLOOKUP(Incidents[[#This Row],[Priority]],'SLA Config'!$B$3:$C$6,2,FALSE)</f>
        <v>25</v>
      </c>
      <c r="O468" t="str">
        <f ca="1">IF(Incidents[[#This Row],[Age (days)]]&gt;Incidents[[#This Row],[SLA Threshold]],"NO","Yes")</f>
        <v>Yes</v>
      </c>
    </row>
    <row r="469" spans="1:15" x14ac:dyDescent="0.25">
      <c r="A469" s="28" t="s">
        <v>1024</v>
      </c>
      <c r="B469" s="29">
        <v>45694</v>
      </c>
      <c r="C469" s="29">
        <v>45704</v>
      </c>
      <c r="D469" s="28" t="s">
        <v>29</v>
      </c>
      <c r="E469" s="28" t="s">
        <v>46</v>
      </c>
      <c r="F469" s="49">
        <f t="shared" ca="1" si="7"/>
        <v>7</v>
      </c>
      <c r="G469" s="28" t="s">
        <v>31</v>
      </c>
      <c r="H469" s="28" t="s">
        <v>1025</v>
      </c>
      <c r="I469" t="s">
        <v>730</v>
      </c>
      <c r="J469" s="20"/>
      <c r="K469" s="28" t="s">
        <v>575</v>
      </c>
      <c r="L469" t="s">
        <v>71</v>
      </c>
      <c r="M469" t="str">
        <f>VLOOKUP(Incidents[[#This Row],[Ticket ID]],[1]Incidents!$A$2:$D$792,4,FALSE)</f>
        <v>4 - Low</v>
      </c>
      <c r="N469">
        <f>VLOOKUP(Incidents[[#This Row],[Priority]],'SLA Config'!$B$3:$C$6,2,FALSE)</f>
        <v>25</v>
      </c>
      <c r="O469" t="str">
        <f ca="1">IF(Incidents[[#This Row],[Age (days)]]&gt;Incidents[[#This Row],[SLA Threshold]],"NO","Yes")</f>
        <v>Yes</v>
      </c>
    </row>
    <row r="470" spans="1:15" x14ac:dyDescent="0.25">
      <c r="A470" t="s">
        <v>1026</v>
      </c>
      <c r="B470" s="1">
        <v>44775</v>
      </c>
      <c r="C470" s="1">
        <v>44782</v>
      </c>
      <c r="D470" t="s">
        <v>29</v>
      </c>
      <c r="E470" t="s">
        <v>54</v>
      </c>
      <c r="F470" s="49">
        <f t="shared" ca="1" si="7"/>
        <v>6</v>
      </c>
      <c r="G470" s="16" t="s">
        <v>31</v>
      </c>
      <c r="H470" s="11" t="s">
        <v>1027</v>
      </c>
      <c r="I470" t="s">
        <v>730</v>
      </c>
      <c r="J470" s="21" t="s">
        <v>136</v>
      </c>
      <c r="K470" t="s">
        <v>56</v>
      </c>
      <c r="L470" t="s">
        <v>36</v>
      </c>
      <c r="M470" t="str">
        <f>VLOOKUP(Incidents[[#This Row],[Ticket ID]],[1]Incidents!$A$2:$D$792,4,FALSE)</f>
        <v>3 - Medium</v>
      </c>
      <c r="N470">
        <f>VLOOKUP(Incidents[[#This Row],[Priority]],'SLA Config'!$B$3:$C$6,2,FALSE)</f>
        <v>15</v>
      </c>
      <c r="O470" t="str">
        <f ca="1">IF(Incidents[[#This Row],[Age (days)]]&gt;Incidents[[#This Row],[SLA Threshold]],"NO","Yes")</f>
        <v>Yes</v>
      </c>
    </row>
    <row r="471" spans="1:15" x14ac:dyDescent="0.25">
      <c r="A471" t="s">
        <v>1028</v>
      </c>
      <c r="B471" s="1">
        <v>44797</v>
      </c>
      <c r="C471" s="1">
        <v>44804</v>
      </c>
      <c r="D471" t="s">
        <v>29</v>
      </c>
      <c r="E471" t="s">
        <v>54</v>
      </c>
      <c r="F471" s="49">
        <f t="shared" ca="1" si="7"/>
        <v>6</v>
      </c>
      <c r="G471" s="16" t="s">
        <v>31</v>
      </c>
      <c r="H471" s="11" t="s">
        <v>1029</v>
      </c>
      <c r="I471" t="s">
        <v>730</v>
      </c>
      <c r="J471" s="20" t="s">
        <v>136</v>
      </c>
      <c r="K471" t="s">
        <v>56</v>
      </c>
      <c r="L471" t="s">
        <v>36</v>
      </c>
      <c r="M471" t="str">
        <f>VLOOKUP(Incidents[[#This Row],[Ticket ID]],[1]Incidents!$A$2:$D$792,4,FALSE)</f>
        <v>4 - Low</v>
      </c>
      <c r="N471">
        <f>VLOOKUP(Incidents[[#This Row],[Priority]],'SLA Config'!$B$3:$C$6,2,FALSE)</f>
        <v>25</v>
      </c>
      <c r="O471" t="str">
        <f ca="1">IF(Incidents[[#This Row],[Age (days)]]&gt;Incidents[[#This Row],[SLA Threshold]],"NO","Yes")</f>
        <v>Yes</v>
      </c>
    </row>
    <row r="472" spans="1:15" x14ac:dyDescent="0.25">
      <c r="A472" t="s">
        <v>1030</v>
      </c>
      <c r="B472" s="1">
        <v>44814</v>
      </c>
      <c r="C472" s="1">
        <v>44823</v>
      </c>
      <c r="D472" t="s">
        <v>29</v>
      </c>
      <c r="E472" t="s">
        <v>54</v>
      </c>
      <c r="F472" s="49">
        <f t="shared" ca="1" si="7"/>
        <v>6</v>
      </c>
      <c r="G472" s="16" t="s">
        <v>31</v>
      </c>
      <c r="H472" s="11" t="s">
        <v>1031</v>
      </c>
      <c r="I472" t="s">
        <v>730</v>
      </c>
      <c r="J472" s="20" t="s">
        <v>136</v>
      </c>
      <c r="K472" t="s">
        <v>44</v>
      </c>
      <c r="L472" t="s">
        <v>36</v>
      </c>
      <c r="M472" t="str">
        <f>VLOOKUP(Incidents[[#This Row],[Ticket ID]],[1]Incidents!$A$2:$D$792,4,FALSE)</f>
        <v>4 - Low</v>
      </c>
      <c r="N472">
        <f>VLOOKUP(Incidents[[#This Row],[Priority]],'SLA Config'!$B$3:$C$6,2,FALSE)</f>
        <v>25</v>
      </c>
      <c r="O472" t="str">
        <f ca="1">IF(Incidents[[#This Row],[Age (days)]]&gt;Incidents[[#This Row],[SLA Threshold]],"NO","Yes")</f>
        <v>Yes</v>
      </c>
    </row>
    <row r="473" spans="1:15" x14ac:dyDescent="0.25">
      <c r="A473" t="s">
        <v>1032</v>
      </c>
      <c r="B473" s="1">
        <v>44893</v>
      </c>
      <c r="C473" s="1">
        <v>44900</v>
      </c>
      <c r="D473" t="s">
        <v>29</v>
      </c>
      <c r="E473" t="s">
        <v>54</v>
      </c>
      <c r="F473" s="49">
        <f t="shared" ca="1" si="7"/>
        <v>6</v>
      </c>
      <c r="G473" s="16" t="s">
        <v>31</v>
      </c>
      <c r="H473" s="11" t="s">
        <v>1033</v>
      </c>
      <c r="I473" t="s">
        <v>730</v>
      </c>
      <c r="J473" s="20" t="s">
        <v>136</v>
      </c>
      <c r="K473" t="s">
        <v>44</v>
      </c>
      <c r="L473" t="s">
        <v>36</v>
      </c>
      <c r="M473" t="str">
        <f>VLOOKUP(Incidents[[#This Row],[Ticket ID]],[1]Incidents!$A$2:$D$792,4,FALSE)</f>
        <v>4 - Low</v>
      </c>
      <c r="N473">
        <f>VLOOKUP(Incidents[[#This Row],[Priority]],'SLA Config'!$B$3:$C$6,2,FALSE)</f>
        <v>25</v>
      </c>
      <c r="O473" t="str">
        <f ca="1">IF(Incidents[[#This Row],[Age (days)]]&gt;Incidents[[#This Row],[SLA Threshold]],"NO","Yes")</f>
        <v>Yes</v>
      </c>
    </row>
    <row r="474" spans="1:15" x14ac:dyDescent="0.25">
      <c r="A474" t="s">
        <v>1034</v>
      </c>
      <c r="B474" s="1">
        <v>44893</v>
      </c>
      <c r="C474" s="1">
        <v>44900</v>
      </c>
      <c r="D474" t="s">
        <v>29</v>
      </c>
      <c r="E474" t="s">
        <v>54</v>
      </c>
      <c r="F474" s="49">
        <f t="shared" ca="1" si="7"/>
        <v>6</v>
      </c>
      <c r="G474" s="16" t="s">
        <v>31</v>
      </c>
      <c r="H474" s="11" t="s">
        <v>1035</v>
      </c>
      <c r="I474" t="s">
        <v>730</v>
      </c>
      <c r="J474" s="20" t="s">
        <v>136</v>
      </c>
      <c r="K474" t="s">
        <v>44</v>
      </c>
      <c r="L474" t="s">
        <v>36</v>
      </c>
      <c r="M474" t="str">
        <f>VLOOKUP(Incidents[[#This Row],[Ticket ID]],[1]Incidents!$A$2:$D$792,4,FALSE)</f>
        <v>4 - Low</v>
      </c>
      <c r="N474">
        <f>VLOOKUP(Incidents[[#This Row],[Priority]],'SLA Config'!$B$3:$C$6,2,FALSE)</f>
        <v>25</v>
      </c>
      <c r="O474" t="str">
        <f ca="1">IF(Incidents[[#This Row],[Age (days)]]&gt;Incidents[[#This Row],[SLA Threshold]],"NO","Yes")</f>
        <v>Yes</v>
      </c>
    </row>
    <row r="475" spans="1:15" x14ac:dyDescent="0.25">
      <c r="A475" s="2" t="s">
        <v>1036</v>
      </c>
      <c r="B475" s="1">
        <v>44911</v>
      </c>
      <c r="C475" s="1">
        <v>44919</v>
      </c>
      <c r="D475" t="s">
        <v>29</v>
      </c>
      <c r="E475" t="s">
        <v>54</v>
      </c>
      <c r="F475" s="49">
        <f t="shared" ca="1" si="7"/>
        <v>6</v>
      </c>
      <c r="G475" s="16" t="s">
        <v>31</v>
      </c>
      <c r="H475" s="11" t="s">
        <v>1037</v>
      </c>
      <c r="I475" t="s">
        <v>730</v>
      </c>
      <c r="J475" s="20" t="s">
        <v>136</v>
      </c>
      <c r="K475" t="s">
        <v>44</v>
      </c>
      <c r="L475" t="s">
        <v>36</v>
      </c>
      <c r="M475" t="str">
        <f>VLOOKUP(Incidents[[#This Row],[Ticket ID]],[1]Incidents!$A$2:$D$792,4,FALSE)</f>
        <v>4 - Low</v>
      </c>
      <c r="N475">
        <f>VLOOKUP(Incidents[[#This Row],[Priority]],'SLA Config'!$B$3:$C$6,2,FALSE)</f>
        <v>25</v>
      </c>
      <c r="O475" t="str">
        <f ca="1">IF(Incidents[[#This Row],[Age (days)]]&gt;Incidents[[#This Row],[SLA Threshold]],"NO","Yes")</f>
        <v>Yes</v>
      </c>
    </row>
    <row r="476" spans="1:15" x14ac:dyDescent="0.25">
      <c r="A476" s="2" t="s">
        <v>1038</v>
      </c>
      <c r="B476" s="1">
        <v>44936</v>
      </c>
      <c r="C476" s="1">
        <v>44943</v>
      </c>
      <c r="D476" t="s">
        <v>29</v>
      </c>
      <c r="E476" t="s">
        <v>38</v>
      </c>
      <c r="F476" s="49">
        <f t="shared" ca="1" si="7"/>
        <v>6</v>
      </c>
      <c r="G476" s="16" t="s">
        <v>31</v>
      </c>
      <c r="H476" s="11" t="s">
        <v>1039</v>
      </c>
      <c r="I476" t="s">
        <v>730</v>
      </c>
      <c r="J476" s="20" t="s">
        <v>136</v>
      </c>
      <c r="K476" t="s">
        <v>44</v>
      </c>
      <c r="L476" t="s">
        <v>36</v>
      </c>
      <c r="M476" t="str">
        <f>VLOOKUP(Incidents[[#This Row],[Ticket ID]],[1]Incidents!$A$2:$D$792,4,FALSE)</f>
        <v>4 - Low</v>
      </c>
      <c r="N476">
        <f>VLOOKUP(Incidents[[#This Row],[Priority]],'SLA Config'!$B$3:$C$6,2,FALSE)</f>
        <v>25</v>
      </c>
      <c r="O476" t="str">
        <f ca="1">IF(Incidents[[#This Row],[Age (days)]]&gt;Incidents[[#This Row],[SLA Threshold]],"NO","Yes")</f>
        <v>Yes</v>
      </c>
    </row>
    <row r="477" spans="1:15" x14ac:dyDescent="0.25">
      <c r="A477" s="19" t="s">
        <v>1040</v>
      </c>
      <c r="B477" s="1">
        <v>44946</v>
      </c>
      <c r="C477" s="1">
        <v>44955</v>
      </c>
      <c r="D477" t="s">
        <v>29</v>
      </c>
      <c r="E477" t="s">
        <v>54</v>
      </c>
      <c r="F477" s="49">
        <f t="shared" ca="1" si="7"/>
        <v>6</v>
      </c>
      <c r="G477" s="16" t="s">
        <v>31</v>
      </c>
      <c r="H477" s="11" t="s">
        <v>1041</v>
      </c>
      <c r="I477" t="s">
        <v>730</v>
      </c>
      <c r="J477" s="20" t="s">
        <v>136</v>
      </c>
      <c r="K477" t="s">
        <v>44</v>
      </c>
      <c r="L477" t="s">
        <v>36</v>
      </c>
      <c r="M477" t="str">
        <f>VLOOKUP(Incidents[[#This Row],[Ticket ID]],[1]Incidents!$A$2:$D$792,4,FALSE)</f>
        <v>4 - Low</v>
      </c>
      <c r="N477">
        <f>VLOOKUP(Incidents[[#This Row],[Priority]],'SLA Config'!$B$3:$C$6,2,FALSE)</f>
        <v>25</v>
      </c>
      <c r="O477" t="str">
        <f ca="1">IF(Incidents[[#This Row],[Age (days)]]&gt;Incidents[[#This Row],[SLA Threshold]],"NO","Yes")</f>
        <v>Yes</v>
      </c>
    </row>
    <row r="478" spans="1:15" x14ac:dyDescent="0.25">
      <c r="A478" s="19" t="s">
        <v>1042</v>
      </c>
      <c r="B478" s="1">
        <v>44953</v>
      </c>
      <c r="C478" s="1">
        <v>44961</v>
      </c>
      <c r="D478" t="s">
        <v>29</v>
      </c>
      <c r="E478" t="s">
        <v>54</v>
      </c>
      <c r="F478" s="49">
        <f t="shared" ca="1" si="7"/>
        <v>6</v>
      </c>
      <c r="G478" s="16" t="s">
        <v>31</v>
      </c>
      <c r="H478" s="11" t="s">
        <v>1043</v>
      </c>
      <c r="I478" t="s">
        <v>730</v>
      </c>
      <c r="J478" s="20" t="s">
        <v>136</v>
      </c>
      <c r="K478" t="s">
        <v>44</v>
      </c>
      <c r="L478" t="s">
        <v>36</v>
      </c>
      <c r="M478" t="str">
        <f>VLOOKUP(Incidents[[#This Row],[Ticket ID]],[1]Incidents!$A$2:$D$792,4,FALSE)</f>
        <v>4 - Low</v>
      </c>
      <c r="N478">
        <f>VLOOKUP(Incidents[[#This Row],[Priority]],'SLA Config'!$B$3:$C$6,2,FALSE)</f>
        <v>25</v>
      </c>
      <c r="O478" t="str">
        <f ca="1">IF(Incidents[[#This Row],[Age (days)]]&gt;Incidents[[#This Row],[SLA Threshold]],"NO","Yes")</f>
        <v>Yes</v>
      </c>
    </row>
    <row r="479" spans="1:15" x14ac:dyDescent="0.25">
      <c r="A479" s="2" t="s">
        <v>1044</v>
      </c>
      <c r="B479" s="1">
        <v>45044</v>
      </c>
      <c r="C479" s="8">
        <v>45053</v>
      </c>
      <c r="D479" t="s">
        <v>29</v>
      </c>
      <c r="E479" t="s">
        <v>54</v>
      </c>
      <c r="F479" s="49">
        <f t="shared" ca="1" si="7"/>
        <v>6</v>
      </c>
      <c r="G479" s="16" t="s">
        <v>31</v>
      </c>
      <c r="H479" s="11" t="s">
        <v>1045</v>
      </c>
      <c r="I479" t="s">
        <v>730</v>
      </c>
      <c r="J479" s="20" t="s">
        <v>136</v>
      </c>
      <c r="K479" t="s">
        <v>207</v>
      </c>
      <c r="L479" t="s">
        <v>71</v>
      </c>
      <c r="M479" t="str">
        <f>VLOOKUP(Incidents[[#This Row],[Ticket ID]],[1]Incidents!$A$2:$D$792,4,FALSE)</f>
        <v>3 - Medium</v>
      </c>
      <c r="N479">
        <f>VLOOKUP(Incidents[[#This Row],[Priority]],'SLA Config'!$B$3:$C$6,2,FALSE)</f>
        <v>15</v>
      </c>
      <c r="O479" t="str">
        <f ca="1">IF(Incidents[[#This Row],[Age (days)]]&gt;Incidents[[#This Row],[SLA Threshold]],"NO","Yes")</f>
        <v>Yes</v>
      </c>
    </row>
    <row r="480" spans="1:15" x14ac:dyDescent="0.25">
      <c r="A480" s="2" t="s">
        <v>1046</v>
      </c>
      <c r="B480" s="1">
        <v>45173</v>
      </c>
      <c r="C480" s="8">
        <v>45180</v>
      </c>
      <c r="D480" t="s">
        <v>29</v>
      </c>
      <c r="E480" t="s">
        <v>104</v>
      </c>
      <c r="F480" s="49">
        <f t="shared" ca="1" si="7"/>
        <v>6</v>
      </c>
      <c r="G480" s="16" t="s">
        <v>31</v>
      </c>
      <c r="H480" s="11" t="s">
        <v>1047</v>
      </c>
      <c r="I480" t="s">
        <v>730</v>
      </c>
      <c r="J480" s="21" t="s">
        <v>136</v>
      </c>
      <c r="K480" t="s">
        <v>44</v>
      </c>
      <c r="L480" t="s">
        <v>36</v>
      </c>
      <c r="M480" t="str">
        <f>VLOOKUP(Incidents[[#This Row],[Ticket ID]],[1]Incidents!$A$2:$D$792,4,FALSE)</f>
        <v>4 - Low</v>
      </c>
      <c r="N480">
        <f>VLOOKUP(Incidents[[#This Row],[Priority]],'SLA Config'!$B$3:$C$6,2,FALSE)</f>
        <v>25</v>
      </c>
      <c r="O480" t="str">
        <f ca="1">IF(Incidents[[#This Row],[Age (days)]]&gt;Incidents[[#This Row],[SLA Threshold]],"NO","Yes")</f>
        <v>Yes</v>
      </c>
    </row>
    <row r="481" spans="1:15" x14ac:dyDescent="0.25">
      <c r="A481" s="2" t="s">
        <v>1048</v>
      </c>
      <c r="B481" s="1">
        <v>45173</v>
      </c>
      <c r="C481" s="8">
        <v>45180</v>
      </c>
      <c r="D481" t="s">
        <v>29</v>
      </c>
      <c r="E481" t="s">
        <v>104</v>
      </c>
      <c r="F481" s="49">
        <f t="shared" ca="1" si="7"/>
        <v>6</v>
      </c>
      <c r="G481" s="16" t="s">
        <v>31</v>
      </c>
      <c r="H481" s="11" t="s">
        <v>1049</v>
      </c>
      <c r="I481" t="s">
        <v>730</v>
      </c>
      <c r="J481" s="20" t="s">
        <v>136</v>
      </c>
      <c r="K481" t="s">
        <v>44</v>
      </c>
      <c r="L481" t="s">
        <v>36</v>
      </c>
      <c r="M481" t="str">
        <f>VLOOKUP(Incidents[[#This Row],[Ticket ID]],[1]Incidents!$A$2:$D$792,4,FALSE)</f>
        <v>4 - Low</v>
      </c>
      <c r="N481">
        <f>VLOOKUP(Incidents[[#This Row],[Priority]],'SLA Config'!$B$3:$C$6,2,FALSE)</f>
        <v>25</v>
      </c>
      <c r="O481" t="str">
        <f ca="1">IF(Incidents[[#This Row],[Age (days)]]&gt;Incidents[[#This Row],[SLA Threshold]],"NO","Yes")</f>
        <v>Yes</v>
      </c>
    </row>
    <row r="482" spans="1:15" x14ac:dyDescent="0.25">
      <c r="A482" s="2" t="s">
        <v>1050</v>
      </c>
      <c r="B482" s="1">
        <v>45175</v>
      </c>
      <c r="C482" s="8">
        <v>45182</v>
      </c>
      <c r="D482" t="s">
        <v>29</v>
      </c>
      <c r="E482" s="17" t="s">
        <v>104</v>
      </c>
      <c r="F482" s="49">
        <f t="shared" ca="1" si="7"/>
        <v>6</v>
      </c>
      <c r="G482" s="16" t="s">
        <v>31</v>
      </c>
      <c r="H482" s="11" t="s">
        <v>1051</v>
      </c>
      <c r="I482" t="s">
        <v>730</v>
      </c>
      <c r="J482" s="20" t="s">
        <v>136</v>
      </c>
      <c r="K482" t="s">
        <v>44</v>
      </c>
      <c r="L482" t="s">
        <v>36</v>
      </c>
      <c r="M482" t="str">
        <f>VLOOKUP(Incidents[[#This Row],[Ticket ID]],[1]Incidents!$A$2:$D$792,4,FALSE)</f>
        <v>4 - Low</v>
      </c>
      <c r="N482">
        <f>VLOOKUP(Incidents[[#This Row],[Priority]],'SLA Config'!$B$3:$C$6,2,FALSE)</f>
        <v>25</v>
      </c>
      <c r="O482" t="str">
        <f ca="1">IF(Incidents[[#This Row],[Age (days)]]&gt;Incidents[[#This Row],[SLA Threshold]],"NO","Yes")</f>
        <v>Yes</v>
      </c>
    </row>
    <row r="483" spans="1:15" x14ac:dyDescent="0.25">
      <c r="A483" s="2" t="s">
        <v>1052</v>
      </c>
      <c r="B483" s="1">
        <v>45180</v>
      </c>
      <c r="C483" s="8">
        <v>45187</v>
      </c>
      <c r="D483" t="s">
        <v>29</v>
      </c>
      <c r="E483" t="s">
        <v>30</v>
      </c>
      <c r="F483" s="49">
        <f t="shared" ca="1" si="7"/>
        <v>6</v>
      </c>
      <c r="G483" s="16" t="s">
        <v>31</v>
      </c>
      <c r="H483" s="11" t="s">
        <v>1053</v>
      </c>
      <c r="I483" t="s">
        <v>730</v>
      </c>
      <c r="J483" s="20" t="s">
        <v>136</v>
      </c>
      <c r="K483" t="s">
        <v>90</v>
      </c>
      <c r="L483" t="s">
        <v>36</v>
      </c>
      <c r="M483" t="str">
        <f>VLOOKUP(Incidents[[#This Row],[Ticket ID]],[1]Incidents!$A$2:$D$792,4,FALSE)</f>
        <v>4 - Low</v>
      </c>
      <c r="N483">
        <f>VLOOKUP(Incidents[[#This Row],[Priority]],'SLA Config'!$B$3:$C$6,2,FALSE)</f>
        <v>25</v>
      </c>
      <c r="O483" t="str">
        <f ca="1">IF(Incidents[[#This Row],[Age (days)]]&gt;Incidents[[#This Row],[SLA Threshold]],"NO","Yes")</f>
        <v>Yes</v>
      </c>
    </row>
    <row r="484" spans="1:15" x14ac:dyDescent="0.25">
      <c r="A484" s="2" t="s">
        <v>1054</v>
      </c>
      <c r="B484" s="1">
        <v>45184</v>
      </c>
      <c r="C484" s="8">
        <v>45193</v>
      </c>
      <c r="D484" t="s">
        <v>29</v>
      </c>
      <c r="E484" t="s">
        <v>38</v>
      </c>
      <c r="F484" s="49">
        <f t="shared" ca="1" si="7"/>
        <v>6</v>
      </c>
      <c r="G484" s="16" t="s">
        <v>31</v>
      </c>
      <c r="H484" s="11" t="s">
        <v>1055</v>
      </c>
      <c r="I484" t="s">
        <v>730</v>
      </c>
      <c r="J484" s="20" t="s">
        <v>136</v>
      </c>
      <c r="K484" t="s">
        <v>44</v>
      </c>
      <c r="L484" t="s">
        <v>36</v>
      </c>
      <c r="M484" t="str">
        <f>VLOOKUP(Incidents[[#This Row],[Ticket ID]],[1]Incidents!$A$2:$D$792,4,FALSE)</f>
        <v>4 - Low</v>
      </c>
      <c r="N484">
        <f>VLOOKUP(Incidents[[#This Row],[Priority]],'SLA Config'!$B$3:$C$6,2,FALSE)</f>
        <v>25</v>
      </c>
      <c r="O484" t="str">
        <f ca="1">IF(Incidents[[#This Row],[Age (days)]]&gt;Incidents[[#This Row],[SLA Threshold]],"NO","Yes")</f>
        <v>Yes</v>
      </c>
    </row>
    <row r="485" spans="1:15" x14ac:dyDescent="0.25">
      <c r="A485" s="2" t="s">
        <v>1056</v>
      </c>
      <c r="B485" s="1">
        <v>45191</v>
      </c>
      <c r="C485" s="8">
        <v>45200</v>
      </c>
      <c r="D485" t="s">
        <v>29</v>
      </c>
      <c r="E485" t="s">
        <v>30</v>
      </c>
      <c r="F485" s="49">
        <f t="shared" ca="1" si="7"/>
        <v>6</v>
      </c>
      <c r="G485" s="16" t="s">
        <v>31</v>
      </c>
      <c r="H485" s="11" t="s">
        <v>1057</v>
      </c>
      <c r="I485" t="s">
        <v>730</v>
      </c>
      <c r="J485" s="21" t="s">
        <v>136</v>
      </c>
      <c r="K485" t="s">
        <v>90</v>
      </c>
      <c r="L485" t="s">
        <v>36</v>
      </c>
      <c r="M485" t="str">
        <f>VLOOKUP(Incidents[[#This Row],[Ticket ID]],[1]Incidents!$A$2:$D$792,4,FALSE)</f>
        <v>4 - Low</v>
      </c>
      <c r="N485">
        <f>VLOOKUP(Incidents[[#This Row],[Priority]],'SLA Config'!$B$3:$C$6,2,FALSE)</f>
        <v>25</v>
      </c>
      <c r="O485" t="str">
        <f ca="1">IF(Incidents[[#This Row],[Age (days)]]&gt;Incidents[[#This Row],[SLA Threshold]],"NO","Yes")</f>
        <v>Yes</v>
      </c>
    </row>
    <row r="486" spans="1:15" x14ac:dyDescent="0.25">
      <c r="A486" s="2" t="s">
        <v>1058</v>
      </c>
      <c r="B486" s="1">
        <v>45215</v>
      </c>
      <c r="C486" s="8">
        <v>45222</v>
      </c>
      <c r="D486" t="s">
        <v>29</v>
      </c>
      <c r="E486" t="s">
        <v>38</v>
      </c>
      <c r="F486" s="49">
        <f t="shared" ca="1" si="7"/>
        <v>6</v>
      </c>
      <c r="G486" s="16" t="s">
        <v>31</v>
      </c>
      <c r="H486" s="11" t="s">
        <v>1059</v>
      </c>
      <c r="I486" t="s">
        <v>730</v>
      </c>
      <c r="J486" s="20" t="s">
        <v>136</v>
      </c>
      <c r="K486" t="s">
        <v>41</v>
      </c>
      <c r="L486" t="s">
        <v>36</v>
      </c>
      <c r="M486" t="str">
        <f>VLOOKUP(Incidents[[#This Row],[Ticket ID]],[1]Incidents!$A$2:$D$792,4,FALSE)</f>
        <v>4 - Low</v>
      </c>
      <c r="N486">
        <f>VLOOKUP(Incidents[[#This Row],[Priority]],'SLA Config'!$B$3:$C$6,2,FALSE)</f>
        <v>25</v>
      </c>
      <c r="O486" t="str">
        <f ca="1">IF(Incidents[[#This Row],[Age (days)]]&gt;Incidents[[#This Row],[SLA Threshold]],"NO","Yes")</f>
        <v>Yes</v>
      </c>
    </row>
    <row r="487" spans="1:15" x14ac:dyDescent="0.25">
      <c r="A487" s="17" t="s">
        <v>1060</v>
      </c>
      <c r="B487" s="1">
        <v>45238</v>
      </c>
      <c r="C487" s="8">
        <v>45245</v>
      </c>
      <c r="D487" t="s">
        <v>29</v>
      </c>
      <c r="E487" t="s">
        <v>30</v>
      </c>
      <c r="F487" s="49">
        <f t="shared" ca="1" si="7"/>
        <v>6</v>
      </c>
      <c r="G487" s="16" t="s">
        <v>31</v>
      </c>
      <c r="H487" s="11" t="s">
        <v>1061</v>
      </c>
      <c r="I487" t="s">
        <v>730</v>
      </c>
      <c r="J487" s="20" t="s">
        <v>136</v>
      </c>
      <c r="K487" t="s">
        <v>90</v>
      </c>
      <c r="L487" t="s">
        <v>36</v>
      </c>
      <c r="M487" t="str">
        <f>VLOOKUP(Incidents[[#This Row],[Ticket ID]],[1]Incidents!$A$2:$D$792,4,FALSE)</f>
        <v>4 - Low</v>
      </c>
      <c r="N487">
        <f>VLOOKUP(Incidents[[#This Row],[Priority]],'SLA Config'!$B$3:$C$6,2,FALSE)</f>
        <v>25</v>
      </c>
      <c r="O487" t="str">
        <f ca="1">IF(Incidents[[#This Row],[Age (days)]]&gt;Incidents[[#This Row],[SLA Threshold]],"NO","Yes")</f>
        <v>Yes</v>
      </c>
    </row>
    <row r="488" spans="1:15" x14ac:dyDescent="0.25">
      <c r="A488" s="17" t="s">
        <v>1062</v>
      </c>
      <c r="B488" s="1">
        <v>45240</v>
      </c>
      <c r="C488" s="8">
        <v>45248</v>
      </c>
      <c r="D488" t="s">
        <v>29</v>
      </c>
      <c r="E488" t="s">
        <v>30</v>
      </c>
      <c r="F488" s="49">
        <f t="shared" ca="1" si="7"/>
        <v>6</v>
      </c>
      <c r="G488" s="16" t="s">
        <v>31</v>
      </c>
      <c r="H488" s="11" t="s">
        <v>1063</v>
      </c>
      <c r="I488" t="s">
        <v>730</v>
      </c>
      <c r="J488" s="20" t="s">
        <v>136</v>
      </c>
      <c r="K488" t="s">
        <v>90</v>
      </c>
      <c r="L488" t="s">
        <v>36</v>
      </c>
      <c r="M488" t="str">
        <f>VLOOKUP(Incidents[[#This Row],[Ticket ID]],[1]Incidents!$A$2:$D$792,4,FALSE)</f>
        <v>4 - Low</v>
      </c>
      <c r="N488">
        <f>VLOOKUP(Incidents[[#This Row],[Priority]],'SLA Config'!$B$3:$C$6,2,FALSE)</f>
        <v>25</v>
      </c>
      <c r="O488" t="str">
        <f ca="1">IF(Incidents[[#This Row],[Age (days)]]&gt;Incidents[[#This Row],[SLA Threshold]],"NO","Yes")</f>
        <v>Yes</v>
      </c>
    </row>
    <row r="489" spans="1:15" x14ac:dyDescent="0.25">
      <c r="A489" s="17" t="s">
        <v>1064</v>
      </c>
      <c r="B489" s="1">
        <v>45254</v>
      </c>
      <c r="C489" s="8">
        <v>45263</v>
      </c>
      <c r="D489" t="s">
        <v>29</v>
      </c>
      <c r="E489" t="s">
        <v>30</v>
      </c>
      <c r="F489" s="49">
        <f t="shared" ca="1" si="7"/>
        <v>6</v>
      </c>
      <c r="G489" s="16" t="s">
        <v>31</v>
      </c>
      <c r="H489" s="11" t="s">
        <v>1065</v>
      </c>
      <c r="I489" t="s">
        <v>730</v>
      </c>
      <c r="J489" s="20" t="s">
        <v>136</v>
      </c>
      <c r="K489" t="s">
        <v>90</v>
      </c>
      <c r="L489" t="s">
        <v>36</v>
      </c>
      <c r="M489" t="str">
        <f>VLOOKUP(Incidents[[#This Row],[Ticket ID]],[1]Incidents!$A$2:$D$792,4,FALSE)</f>
        <v>4 - Low</v>
      </c>
      <c r="N489">
        <f>VLOOKUP(Incidents[[#This Row],[Priority]],'SLA Config'!$B$3:$C$6,2,FALSE)</f>
        <v>25</v>
      </c>
      <c r="O489" t="str">
        <f ca="1">IF(Incidents[[#This Row],[Age (days)]]&gt;Incidents[[#This Row],[SLA Threshold]],"NO","Yes")</f>
        <v>Yes</v>
      </c>
    </row>
    <row r="490" spans="1:15" x14ac:dyDescent="0.25">
      <c r="A490" s="17" t="s">
        <v>1066</v>
      </c>
      <c r="B490" s="1">
        <v>45257</v>
      </c>
      <c r="C490" s="8">
        <v>45264</v>
      </c>
      <c r="D490" t="s">
        <v>29</v>
      </c>
      <c r="E490" t="s">
        <v>30</v>
      </c>
      <c r="F490" s="49">
        <f t="shared" ca="1" si="7"/>
        <v>6</v>
      </c>
      <c r="G490" s="16" t="s">
        <v>31</v>
      </c>
      <c r="H490" s="11" t="s">
        <v>1067</v>
      </c>
      <c r="I490" t="s">
        <v>730</v>
      </c>
      <c r="J490" s="21" t="s">
        <v>136</v>
      </c>
      <c r="K490" t="s">
        <v>90</v>
      </c>
      <c r="L490" t="s">
        <v>36</v>
      </c>
      <c r="M490" t="str">
        <f>VLOOKUP(Incidents[[#This Row],[Ticket ID]],[1]Incidents!$A$2:$D$792,4,FALSE)</f>
        <v>4 - Low</v>
      </c>
      <c r="N490">
        <f>VLOOKUP(Incidents[[#This Row],[Priority]],'SLA Config'!$B$3:$C$6,2,FALSE)</f>
        <v>25</v>
      </c>
      <c r="O490" t="str">
        <f ca="1">IF(Incidents[[#This Row],[Age (days)]]&gt;Incidents[[#This Row],[SLA Threshold]],"NO","Yes")</f>
        <v>Yes</v>
      </c>
    </row>
    <row r="491" spans="1:15" x14ac:dyDescent="0.25">
      <c r="A491" s="19" t="s">
        <v>1068</v>
      </c>
      <c r="B491" s="1">
        <v>45294</v>
      </c>
      <c r="C491" s="8">
        <v>45301</v>
      </c>
      <c r="D491" t="s">
        <v>29</v>
      </c>
      <c r="E491" t="s">
        <v>104</v>
      </c>
      <c r="F491" s="49">
        <f t="shared" ca="1" si="7"/>
        <v>6</v>
      </c>
      <c r="G491" s="16" t="s">
        <v>31</v>
      </c>
      <c r="H491" s="11" t="s">
        <v>1069</v>
      </c>
      <c r="I491" t="s">
        <v>730</v>
      </c>
      <c r="J491" s="21" t="s">
        <v>136</v>
      </c>
      <c r="K491" t="s">
        <v>44</v>
      </c>
      <c r="L491" t="s">
        <v>36</v>
      </c>
      <c r="M491" t="str">
        <f>VLOOKUP(Incidents[[#This Row],[Ticket ID]],[1]Incidents!$A$2:$D$792,4,FALSE)</f>
        <v>4 - Low</v>
      </c>
      <c r="N491">
        <f>VLOOKUP(Incidents[[#This Row],[Priority]],'SLA Config'!$B$3:$C$6,2,FALSE)</f>
        <v>25</v>
      </c>
      <c r="O491" t="str">
        <f ca="1">IF(Incidents[[#This Row],[Age (days)]]&gt;Incidents[[#This Row],[SLA Threshold]],"NO","Yes")</f>
        <v>Yes</v>
      </c>
    </row>
    <row r="492" spans="1:15" x14ac:dyDescent="0.25">
      <c r="A492" s="19" t="s">
        <v>1070</v>
      </c>
      <c r="B492" s="1">
        <v>45310</v>
      </c>
      <c r="C492" s="8">
        <v>45319</v>
      </c>
      <c r="D492" t="s">
        <v>29</v>
      </c>
      <c r="E492" t="s">
        <v>38</v>
      </c>
      <c r="F492" s="49">
        <f t="shared" ca="1" si="7"/>
        <v>6</v>
      </c>
      <c r="G492" s="16" t="s">
        <v>31</v>
      </c>
      <c r="H492" s="11" t="s">
        <v>1071</v>
      </c>
      <c r="I492" t="s">
        <v>730</v>
      </c>
      <c r="J492" s="20" t="s">
        <v>136</v>
      </c>
      <c r="K492" t="s">
        <v>41</v>
      </c>
      <c r="L492" t="s">
        <v>36</v>
      </c>
      <c r="M492" t="str">
        <f>VLOOKUP(Incidents[[#This Row],[Ticket ID]],[1]Incidents!$A$2:$D$792,4,FALSE)</f>
        <v>4 - Low</v>
      </c>
      <c r="N492">
        <f>VLOOKUP(Incidents[[#This Row],[Priority]],'SLA Config'!$B$3:$C$6,2,FALSE)</f>
        <v>25</v>
      </c>
      <c r="O492" t="str">
        <f ca="1">IF(Incidents[[#This Row],[Age (days)]]&gt;Incidents[[#This Row],[SLA Threshold]],"NO","Yes")</f>
        <v>Yes</v>
      </c>
    </row>
    <row r="493" spans="1:15" x14ac:dyDescent="0.25">
      <c r="A493" s="2" t="s">
        <v>1072</v>
      </c>
      <c r="B493" s="1">
        <v>45373</v>
      </c>
      <c r="C493" s="8">
        <v>45382</v>
      </c>
      <c r="D493" t="s">
        <v>29</v>
      </c>
      <c r="E493" t="s">
        <v>30</v>
      </c>
      <c r="F493" s="49">
        <f t="shared" ca="1" si="7"/>
        <v>6</v>
      </c>
      <c r="G493" s="16" t="s">
        <v>31</v>
      </c>
      <c r="H493" t="s">
        <v>1073</v>
      </c>
      <c r="I493" t="s">
        <v>730</v>
      </c>
      <c r="J493" s="20" t="s">
        <v>136</v>
      </c>
      <c r="K493" t="s">
        <v>90</v>
      </c>
      <c r="L493" t="s">
        <v>36</v>
      </c>
      <c r="M493" t="str">
        <f>VLOOKUP(Incidents[[#This Row],[Ticket ID]],[1]Incidents!$A$2:$D$792,4,FALSE)</f>
        <v>4 - Low</v>
      </c>
      <c r="N493">
        <f>VLOOKUP(Incidents[[#This Row],[Priority]],'SLA Config'!$B$3:$C$6,2,FALSE)</f>
        <v>25</v>
      </c>
      <c r="O493" t="str">
        <f ca="1">IF(Incidents[[#This Row],[Age (days)]]&gt;Incidents[[#This Row],[SLA Threshold]],"NO","Yes")</f>
        <v>Yes</v>
      </c>
    </row>
    <row r="494" spans="1:15" x14ac:dyDescent="0.25">
      <c r="A494" s="19" t="s">
        <v>1074</v>
      </c>
      <c r="B494" s="8">
        <v>45385</v>
      </c>
      <c r="C494" s="8">
        <v>45392</v>
      </c>
      <c r="D494" t="s">
        <v>29</v>
      </c>
      <c r="E494" s="17" t="s">
        <v>30</v>
      </c>
      <c r="F494" s="49">
        <f t="shared" ca="1" si="7"/>
        <v>6</v>
      </c>
      <c r="G494" s="16" t="s">
        <v>31</v>
      </c>
      <c r="H494" s="11" t="s">
        <v>1075</v>
      </c>
      <c r="I494" t="s">
        <v>730</v>
      </c>
      <c r="J494" s="21" t="s">
        <v>136</v>
      </c>
      <c r="K494" s="27" t="s">
        <v>90</v>
      </c>
      <c r="L494" t="s">
        <v>36</v>
      </c>
      <c r="M494" t="str">
        <f>VLOOKUP(Incidents[[#This Row],[Ticket ID]],[1]Incidents!$A$2:$D$792,4,FALSE)</f>
        <v>4 - Low</v>
      </c>
      <c r="N494">
        <f>VLOOKUP(Incidents[[#This Row],[Priority]],'SLA Config'!$B$3:$C$6,2,FALSE)</f>
        <v>25</v>
      </c>
      <c r="O494" t="str">
        <f ca="1">IF(Incidents[[#This Row],[Age (days)]]&gt;Incidents[[#This Row],[SLA Threshold]],"NO","Yes")</f>
        <v>Yes</v>
      </c>
    </row>
    <row r="495" spans="1:15" x14ac:dyDescent="0.25">
      <c r="A495" s="19" t="s">
        <v>1076</v>
      </c>
      <c r="B495" s="8">
        <v>45387</v>
      </c>
      <c r="C495" s="8">
        <v>45396</v>
      </c>
      <c r="D495" t="s">
        <v>29</v>
      </c>
      <c r="E495" t="s">
        <v>30</v>
      </c>
      <c r="F495" s="49">
        <f t="shared" ca="1" si="7"/>
        <v>6</v>
      </c>
      <c r="G495" s="16" t="s">
        <v>31</v>
      </c>
      <c r="H495" s="11" t="s">
        <v>1077</v>
      </c>
      <c r="I495" t="s">
        <v>730</v>
      </c>
      <c r="J495" s="20" t="s">
        <v>136</v>
      </c>
      <c r="K495" t="s">
        <v>90</v>
      </c>
      <c r="L495" t="s">
        <v>36</v>
      </c>
      <c r="M495" t="str">
        <f>VLOOKUP(Incidents[[#This Row],[Ticket ID]],[1]Incidents!$A$2:$D$792,4,FALSE)</f>
        <v>4 - Low</v>
      </c>
      <c r="N495">
        <f>VLOOKUP(Incidents[[#This Row],[Priority]],'SLA Config'!$B$3:$C$6,2,FALSE)</f>
        <v>25</v>
      </c>
      <c r="O495" t="str">
        <f ca="1">IF(Incidents[[#This Row],[Age (days)]]&gt;Incidents[[#This Row],[SLA Threshold]],"NO","Yes")</f>
        <v>Yes</v>
      </c>
    </row>
    <row r="496" spans="1:15" x14ac:dyDescent="0.25">
      <c r="A496" s="2" t="s">
        <v>1078</v>
      </c>
      <c r="B496" s="8">
        <v>45436</v>
      </c>
      <c r="C496" s="8">
        <v>45444</v>
      </c>
      <c r="D496" t="s">
        <v>29</v>
      </c>
      <c r="E496" t="s">
        <v>46</v>
      </c>
      <c r="F496" s="49">
        <f t="shared" ca="1" si="7"/>
        <v>6</v>
      </c>
      <c r="G496" s="16" t="s">
        <v>31</v>
      </c>
      <c r="H496" t="s">
        <v>1079</v>
      </c>
      <c r="I496" t="s">
        <v>730</v>
      </c>
      <c r="J496" s="20" t="s">
        <v>136</v>
      </c>
      <c r="K496" t="s">
        <v>90</v>
      </c>
      <c r="L496" t="s">
        <v>36</v>
      </c>
      <c r="M496" t="str">
        <f>VLOOKUP(Incidents[[#This Row],[Ticket ID]],[1]Incidents!$A$2:$D$792,4,FALSE)</f>
        <v>4 - Low</v>
      </c>
      <c r="N496">
        <f>VLOOKUP(Incidents[[#This Row],[Priority]],'SLA Config'!$B$3:$C$6,2,FALSE)</f>
        <v>25</v>
      </c>
      <c r="O496" t="str">
        <f ca="1">IF(Incidents[[#This Row],[Age (days)]]&gt;Incidents[[#This Row],[SLA Threshold]],"NO","Yes")</f>
        <v>Yes</v>
      </c>
    </row>
    <row r="497" spans="1:15" x14ac:dyDescent="0.25">
      <c r="A497" s="2" t="s">
        <v>1080</v>
      </c>
      <c r="B497" s="8">
        <v>45436</v>
      </c>
      <c r="C497" s="8">
        <v>45444</v>
      </c>
      <c r="D497" t="s">
        <v>29</v>
      </c>
      <c r="E497" t="s">
        <v>46</v>
      </c>
      <c r="F497" s="49">
        <f t="shared" ca="1" si="7"/>
        <v>6</v>
      </c>
      <c r="G497" s="16" t="s">
        <v>31</v>
      </c>
      <c r="H497" t="s">
        <v>1081</v>
      </c>
      <c r="I497" t="s">
        <v>730</v>
      </c>
      <c r="J497" s="21" t="s">
        <v>136</v>
      </c>
      <c r="K497" t="s">
        <v>90</v>
      </c>
      <c r="L497" t="s">
        <v>36</v>
      </c>
      <c r="M497" t="str">
        <f>VLOOKUP(Incidents[[#This Row],[Ticket ID]],[1]Incidents!$A$2:$D$792,4,FALSE)</f>
        <v>4 - Low</v>
      </c>
      <c r="N497">
        <f>VLOOKUP(Incidents[[#This Row],[Priority]],'SLA Config'!$B$3:$C$6,2,FALSE)</f>
        <v>25</v>
      </c>
      <c r="O497" t="str">
        <f ca="1">IF(Incidents[[#This Row],[Age (days)]]&gt;Incidents[[#This Row],[SLA Threshold]],"NO","Yes")</f>
        <v>Yes</v>
      </c>
    </row>
    <row r="498" spans="1:15" x14ac:dyDescent="0.25">
      <c r="A498" s="2" t="s">
        <v>1082</v>
      </c>
      <c r="B498" s="8">
        <v>45436</v>
      </c>
      <c r="C498" s="8">
        <v>45444</v>
      </c>
      <c r="D498" t="s">
        <v>29</v>
      </c>
      <c r="E498" t="s">
        <v>46</v>
      </c>
      <c r="F498" s="49">
        <f t="shared" ca="1" si="7"/>
        <v>6</v>
      </c>
      <c r="G498" s="16" t="s">
        <v>31</v>
      </c>
      <c r="H498" t="s">
        <v>1083</v>
      </c>
      <c r="I498" t="s">
        <v>730</v>
      </c>
      <c r="J498" s="20" t="s">
        <v>136</v>
      </c>
      <c r="K498" t="s">
        <v>90</v>
      </c>
      <c r="L498" t="s">
        <v>36</v>
      </c>
      <c r="M498" t="str">
        <f>VLOOKUP(Incidents[[#This Row],[Ticket ID]],[1]Incidents!$A$2:$D$792,4,FALSE)</f>
        <v>4 - Low</v>
      </c>
      <c r="N498">
        <f>VLOOKUP(Incidents[[#This Row],[Priority]],'SLA Config'!$B$3:$C$6,2,FALSE)</f>
        <v>25</v>
      </c>
      <c r="O498" t="str">
        <f ca="1">IF(Incidents[[#This Row],[Age (days)]]&gt;Incidents[[#This Row],[SLA Threshold]],"NO","Yes")</f>
        <v>Yes</v>
      </c>
    </row>
    <row r="499" spans="1:15" x14ac:dyDescent="0.25">
      <c r="A499" s="2" t="s">
        <v>1084</v>
      </c>
      <c r="B499" s="8">
        <v>45439</v>
      </c>
      <c r="C499" s="8">
        <v>45446</v>
      </c>
      <c r="D499" t="s">
        <v>29</v>
      </c>
      <c r="E499" t="s">
        <v>46</v>
      </c>
      <c r="F499" s="49">
        <f t="shared" ca="1" si="7"/>
        <v>6</v>
      </c>
      <c r="G499" s="16" t="s">
        <v>31</v>
      </c>
      <c r="H499" t="s">
        <v>1085</v>
      </c>
      <c r="I499" t="s">
        <v>730</v>
      </c>
      <c r="J499" s="20" t="s">
        <v>136</v>
      </c>
      <c r="K499" t="s">
        <v>35</v>
      </c>
      <c r="L499" t="s">
        <v>36</v>
      </c>
      <c r="M499" t="str">
        <f>VLOOKUP(Incidents[[#This Row],[Ticket ID]],[1]Incidents!$A$2:$D$792,4,FALSE)</f>
        <v>4 - Low</v>
      </c>
      <c r="N499">
        <f>VLOOKUP(Incidents[[#This Row],[Priority]],'SLA Config'!$B$3:$C$6,2,FALSE)</f>
        <v>25</v>
      </c>
      <c r="O499" t="str">
        <f ca="1">IF(Incidents[[#This Row],[Age (days)]]&gt;Incidents[[#This Row],[SLA Threshold]],"NO","Yes")</f>
        <v>Yes</v>
      </c>
    </row>
    <row r="500" spans="1:15" x14ac:dyDescent="0.25">
      <c r="A500" s="2" t="s">
        <v>1086</v>
      </c>
      <c r="B500" s="8">
        <v>45439</v>
      </c>
      <c r="C500" s="8">
        <v>45446</v>
      </c>
      <c r="D500" t="s">
        <v>29</v>
      </c>
      <c r="E500" t="s">
        <v>46</v>
      </c>
      <c r="F500" s="49">
        <f t="shared" ca="1" si="7"/>
        <v>6</v>
      </c>
      <c r="G500" s="16" t="s">
        <v>31</v>
      </c>
      <c r="H500" t="s">
        <v>1087</v>
      </c>
      <c r="I500" t="s">
        <v>730</v>
      </c>
      <c r="J500" s="20" t="s">
        <v>136</v>
      </c>
      <c r="K500" t="s">
        <v>35</v>
      </c>
      <c r="L500" t="s">
        <v>36</v>
      </c>
      <c r="M500" t="str">
        <f>VLOOKUP(Incidents[[#This Row],[Ticket ID]],[1]Incidents!$A$2:$D$792,4,FALSE)</f>
        <v>4 - Low</v>
      </c>
      <c r="N500">
        <f>VLOOKUP(Incidents[[#This Row],[Priority]],'SLA Config'!$B$3:$C$6,2,FALSE)</f>
        <v>25</v>
      </c>
      <c r="O500" t="str">
        <f ca="1">IF(Incidents[[#This Row],[Age (days)]]&gt;Incidents[[#This Row],[SLA Threshold]],"NO","Yes")</f>
        <v>Yes</v>
      </c>
    </row>
    <row r="501" spans="1:15" x14ac:dyDescent="0.25">
      <c r="A501" s="19" t="s">
        <v>1088</v>
      </c>
      <c r="B501" s="8">
        <v>45446</v>
      </c>
      <c r="C501" s="8">
        <v>45453</v>
      </c>
      <c r="D501" t="s">
        <v>29</v>
      </c>
      <c r="E501" t="s">
        <v>46</v>
      </c>
      <c r="F501" s="49">
        <f t="shared" ca="1" si="7"/>
        <v>6</v>
      </c>
      <c r="G501" s="16" t="s">
        <v>31</v>
      </c>
      <c r="H501" t="s">
        <v>1089</v>
      </c>
      <c r="I501" t="s">
        <v>730</v>
      </c>
      <c r="J501" s="20" t="s">
        <v>136</v>
      </c>
      <c r="K501" t="s">
        <v>35</v>
      </c>
      <c r="L501" t="s">
        <v>36</v>
      </c>
      <c r="M501" t="str">
        <f>VLOOKUP(Incidents[[#This Row],[Ticket ID]],[1]Incidents!$A$2:$D$792,4,FALSE)</f>
        <v>4 - Low</v>
      </c>
      <c r="N501">
        <f>VLOOKUP(Incidents[[#This Row],[Priority]],'SLA Config'!$B$3:$C$6,2,FALSE)</f>
        <v>25</v>
      </c>
      <c r="O501" t="str">
        <f ca="1">IF(Incidents[[#This Row],[Age (days)]]&gt;Incidents[[#This Row],[SLA Threshold]],"NO","Yes")</f>
        <v>Yes</v>
      </c>
    </row>
    <row r="502" spans="1:15" x14ac:dyDescent="0.25">
      <c r="A502" s="19" t="s">
        <v>1090</v>
      </c>
      <c r="B502" s="8">
        <v>45471</v>
      </c>
      <c r="C502" s="8">
        <v>45479</v>
      </c>
      <c r="D502" t="s">
        <v>29</v>
      </c>
      <c r="E502" t="s">
        <v>46</v>
      </c>
      <c r="F502" s="49">
        <f t="shared" ca="1" si="7"/>
        <v>6</v>
      </c>
      <c r="G502" s="16" t="s">
        <v>31</v>
      </c>
      <c r="H502" t="s">
        <v>1091</v>
      </c>
      <c r="I502" t="s">
        <v>730</v>
      </c>
      <c r="J502" s="20" t="s">
        <v>136</v>
      </c>
      <c r="K502" t="s">
        <v>35</v>
      </c>
      <c r="L502" s="27" t="s">
        <v>36</v>
      </c>
      <c r="M502" t="str">
        <f>VLOOKUP(Incidents[[#This Row],[Ticket ID]],[1]Incidents!$A$2:$D$792,4,FALSE)</f>
        <v>4 - Low</v>
      </c>
      <c r="N502">
        <f>VLOOKUP(Incidents[[#This Row],[Priority]],'SLA Config'!$B$3:$C$6,2,FALSE)</f>
        <v>25</v>
      </c>
      <c r="O502" t="str">
        <f ca="1">IF(Incidents[[#This Row],[Age (days)]]&gt;Incidents[[#This Row],[SLA Threshold]],"NO","Yes")</f>
        <v>Yes</v>
      </c>
    </row>
    <row r="503" spans="1:15" x14ac:dyDescent="0.25">
      <c r="A503" s="19" t="s">
        <v>1092</v>
      </c>
      <c r="B503" s="8">
        <v>45495</v>
      </c>
      <c r="C503" s="8">
        <v>45502</v>
      </c>
      <c r="D503" t="s">
        <v>29</v>
      </c>
      <c r="E503" t="s">
        <v>46</v>
      </c>
      <c r="F503" s="49">
        <f t="shared" ca="1" si="7"/>
        <v>6</v>
      </c>
      <c r="G503" s="16" t="s">
        <v>31</v>
      </c>
      <c r="H503" t="s">
        <v>1093</v>
      </c>
      <c r="I503" t="s">
        <v>730</v>
      </c>
      <c r="J503" s="20" t="s">
        <v>136</v>
      </c>
      <c r="K503" t="s">
        <v>35</v>
      </c>
      <c r="L503" t="s">
        <v>36</v>
      </c>
      <c r="M503" t="str">
        <f>VLOOKUP(Incidents[[#This Row],[Ticket ID]],[1]Incidents!$A$2:$D$792,4,FALSE)</f>
        <v>4 - Low</v>
      </c>
      <c r="N503">
        <f>VLOOKUP(Incidents[[#This Row],[Priority]],'SLA Config'!$B$3:$C$6,2,FALSE)</f>
        <v>25</v>
      </c>
      <c r="O503" t="str">
        <f ca="1">IF(Incidents[[#This Row],[Age (days)]]&gt;Incidents[[#This Row],[SLA Threshold]],"NO","Yes")</f>
        <v>Yes</v>
      </c>
    </row>
    <row r="504" spans="1:15" x14ac:dyDescent="0.25">
      <c r="A504" s="19" t="s">
        <v>1094</v>
      </c>
      <c r="B504" s="8">
        <v>45527</v>
      </c>
      <c r="C504" s="8">
        <v>45535</v>
      </c>
      <c r="D504" t="s">
        <v>29</v>
      </c>
      <c r="E504" t="s">
        <v>38</v>
      </c>
      <c r="F504" s="49">
        <f t="shared" ca="1" si="7"/>
        <v>6</v>
      </c>
      <c r="G504" s="16" t="s">
        <v>31</v>
      </c>
      <c r="H504" t="s">
        <v>1095</v>
      </c>
      <c r="I504" t="s">
        <v>730</v>
      </c>
      <c r="J504" s="20" t="s">
        <v>136</v>
      </c>
      <c r="K504" t="s">
        <v>41</v>
      </c>
      <c r="L504" s="27" t="s">
        <v>36</v>
      </c>
      <c r="M504" t="str">
        <f>VLOOKUP(Incidents[[#This Row],[Ticket ID]],[1]Incidents!$A$2:$D$792,4,FALSE)</f>
        <v>2 - High</v>
      </c>
      <c r="N504">
        <f>VLOOKUP(Incidents[[#This Row],[Priority]],'SLA Config'!$B$3:$C$6,2,FALSE)</f>
        <v>5</v>
      </c>
      <c r="O504" t="str">
        <f ca="1">IF(Incidents[[#This Row],[Age (days)]]&gt;Incidents[[#This Row],[SLA Threshold]],"NO","Yes")</f>
        <v>NO</v>
      </c>
    </row>
    <row r="505" spans="1:15" x14ac:dyDescent="0.25">
      <c r="A505" s="2" t="s">
        <v>1096</v>
      </c>
      <c r="B505" s="1">
        <v>45543</v>
      </c>
      <c r="C505" s="8">
        <v>45551</v>
      </c>
      <c r="D505" t="s">
        <v>29</v>
      </c>
      <c r="E505" t="s">
        <v>46</v>
      </c>
      <c r="F505" s="49">
        <f t="shared" ca="1" si="7"/>
        <v>6</v>
      </c>
      <c r="G505" t="s">
        <v>31</v>
      </c>
      <c r="H505" t="s">
        <v>716</v>
      </c>
      <c r="I505" t="s">
        <v>730</v>
      </c>
      <c r="J505" s="20" t="s">
        <v>136</v>
      </c>
      <c r="K505" t="s">
        <v>717</v>
      </c>
      <c r="L505" t="s">
        <v>36</v>
      </c>
      <c r="M505" t="str">
        <f>VLOOKUP(Incidents[[#This Row],[Ticket ID]],[1]Incidents!$A$2:$D$792,4,FALSE)</f>
        <v>4 - Low</v>
      </c>
      <c r="N505">
        <f>VLOOKUP(Incidents[[#This Row],[Priority]],'SLA Config'!$B$3:$C$6,2,FALSE)</f>
        <v>25</v>
      </c>
      <c r="O505" t="str">
        <f ca="1">IF(Incidents[[#This Row],[Age (days)]]&gt;Incidents[[#This Row],[SLA Threshold]],"NO","Yes")</f>
        <v>Yes</v>
      </c>
    </row>
    <row r="506" spans="1:15" x14ac:dyDescent="0.25">
      <c r="A506" s="2" t="s">
        <v>1097</v>
      </c>
      <c r="B506" s="1">
        <v>45548</v>
      </c>
      <c r="C506" s="8">
        <v>45556</v>
      </c>
      <c r="D506" t="s">
        <v>29</v>
      </c>
      <c r="E506" t="s">
        <v>38</v>
      </c>
      <c r="F506" s="49">
        <f t="shared" ca="1" si="7"/>
        <v>6</v>
      </c>
      <c r="G506" t="s">
        <v>31</v>
      </c>
      <c r="H506" t="s">
        <v>799</v>
      </c>
      <c r="I506" t="s">
        <v>730</v>
      </c>
      <c r="J506" s="20" t="s">
        <v>136</v>
      </c>
      <c r="K506" t="s">
        <v>717</v>
      </c>
      <c r="L506" t="s">
        <v>36</v>
      </c>
      <c r="M506" t="str">
        <f>VLOOKUP(Incidents[[#This Row],[Ticket ID]],[1]Incidents!$A$2:$D$792,4,FALSE)</f>
        <v>4 - Low</v>
      </c>
      <c r="N506">
        <f>VLOOKUP(Incidents[[#This Row],[Priority]],'SLA Config'!$B$3:$C$6,2,FALSE)</f>
        <v>25</v>
      </c>
      <c r="O506" t="str">
        <f ca="1">IF(Incidents[[#This Row],[Age (days)]]&gt;Incidents[[#This Row],[SLA Threshold]],"NO","Yes")</f>
        <v>Yes</v>
      </c>
    </row>
    <row r="507" spans="1:15" x14ac:dyDescent="0.25">
      <c r="A507" s="2" t="s">
        <v>1098</v>
      </c>
      <c r="B507" s="1">
        <v>45556</v>
      </c>
      <c r="C507" s="8">
        <v>45565</v>
      </c>
      <c r="D507" t="s">
        <v>29</v>
      </c>
      <c r="E507" t="s">
        <v>30</v>
      </c>
      <c r="F507" s="49">
        <f t="shared" ca="1" si="7"/>
        <v>6</v>
      </c>
      <c r="G507" t="s">
        <v>31</v>
      </c>
      <c r="H507" t="s">
        <v>1099</v>
      </c>
      <c r="I507" t="s">
        <v>730</v>
      </c>
      <c r="J507" s="20" t="s">
        <v>136</v>
      </c>
      <c r="K507" t="s">
        <v>717</v>
      </c>
      <c r="L507" t="s">
        <v>36</v>
      </c>
      <c r="M507" t="str">
        <f>VLOOKUP(Incidents[[#This Row],[Ticket ID]],[1]Incidents!$A$2:$D$792,4,FALSE)</f>
        <v>4 - Low</v>
      </c>
      <c r="N507">
        <f>VLOOKUP(Incidents[[#This Row],[Priority]],'SLA Config'!$B$3:$C$6,2,FALSE)</f>
        <v>25</v>
      </c>
      <c r="O507" t="str">
        <f ca="1">IF(Incidents[[#This Row],[Age (days)]]&gt;Incidents[[#This Row],[SLA Threshold]],"NO","Yes")</f>
        <v>Yes</v>
      </c>
    </row>
    <row r="508" spans="1:15" x14ac:dyDescent="0.25">
      <c r="A508" s="2" t="s">
        <v>1100</v>
      </c>
      <c r="B508" s="1">
        <v>45566</v>
      </c>
      <c r="C508" s="8">
        <v>45573</v>
      </c>
      <c r="D508" t="s">
        <v>29</v>
      </c>
      <c r="E508" t="s">
        <v>38</v>
      </c>
      <c r="F508" s="49">
        <f t="shared" ca="1" si="7"/>
        <v>6</v>
      </c>
      <c r="G508" t="s">
        <v>31</v>
      </c>
      <c r="H508" t="s">
        <v>1101</v>
      </c>
      <c r="I508" t="s">
        <v>730</v>
      </c>
      <c r="J508" s="20" t="s">
        <v>136</v>
      </c>
      <c r="K508" t="s">
        <v>44</v>
      </c>
      <c r="L508" t="s">
        <v>36</v>
      </c>
      <c r="M508" t="str">
        <f>VLOOKUP(Incidents[[#This Row],[Ticket ID]],[1]Incidents!$A$2:$D$792,4,FALSE)</f>
        <v>4 - Low</v>
      </c>
      <c r="N508">
        <f>VLOOKUP(Incidents[[#This Row],[Priority]],'SLA Config'!$B$3:$C$6,2,FALSE)</f>
        <v>25</v>
      </c>
      <c r="O508" t="str">
        <f ca="1">IF(Incidents[[#This Row],[Age (days)]]&gt;Incidents[[#This Row],[SLA Threshold]],"NO","Yes")</f>
        <v>Yes</v>
      </c>
    </row>
    <row r="509" spans="1:15" x14ac:dyDescent="0.25">
      <c r="A509" s="2" t="s">
        <v>1102</v>
      </c>
      <c r="B509" s="1">
        <v>45566</v>
      </c>
      <c r="C509" s="8">
        <v>45573</v>
      </c>
      <c r="D509" t="s">
        <v>29</v>
      </c>
      <c r="E509" t="s">
        <v>38</v>
      </c>
      <c r="F509" s="49">
        <f t="shared" ca="1" si="7"/>
        <v>6</v>
      </c>
      <c r="G509" t="s">
        <v>31</v>
      </c>
      <c r="H509" t="s">
        <v>1103</v>
      </c>
      <c r="I509" t="s">
        <v>730</v>
      </c>
      <c r="J509" s="20" t="s">
        <v>136</v>
      </c>
      <c r="K509" t="s">
        <v>44</v>
      </c>
      <c r="L509" t="s">
        <v>36</v>
      </c>
      <c r="M509" t="str">
        <f>VLOOKUP(Incidents[[#This Row],[Ticket ID]],[1]Incidents!$A$2:$D$792,4,FALSE)</f>
        <v>4 - Low</v>
      </c>
      <c r="N509">
        <f>VLOOKUP(Incidents[[#This Row],[Priority]],'SLA Config'!$B$3:$C$6,2,FALSE)</f>
        <v>25</v>
      </c>
      <c r="O509" t="str">
        <f ca="1">IF(Incidents[[#This Row],[Age (days)]]&gt;Incidents[[#This Row],[SLA Threshold]],"NO","Yes")</f>
        <v>Yes</v>
      </c>
    </row>
    <row r="510" spans="1:15" x14ac:dyDescent="0.25">
      <c r="A510" s="19" t="s">
        <v>1104</v>
      </c>
      <c r="B510" s="8">
        <v>45567</v>
      </c>
      <c r="C510" s="8">
        <v>45573</v>
      </c>
      <c r="D510" t="s">
        <v>29</v>
      </c>
      <c r="E510" s="17" t="s">
        <v>38</v>
      </c>
      <c r="F510" s="49">
        <f t="shared" ca="1" si="7"/>
        <v>5</v>
      </c>
      <c r="G510" s="16" t="s">
        <v>31</v>
      </c>
      <c r="H510" s="11" t="s">
        <v>1105</v>
      </c>
      <c r="I510" t="s">
        <v>730</v>
      </c>
      <c r="J510" s="20" t="s">
        <v>136</v>
      </c>
      <c r="K510" s="17" t="s">
        <v>717</v>
      </c>
      <c r="L510" t="s">
        <v>36</v>
      </c>
      <c r="M510" t="str">
        <f>VLOOKUP(Incidents[[#This Row],[Ticket ID]],[1]Incidents!$A$2:$D$792,4,FALSE)</f>
        <v>4 - Low</v>
      </c>
      <c r="N510">
        <f>VLOOKUP(Incidents[[#This Row],[Priority]],'SLA Config'!$B$3:$C$6,2,FALSE)</f>
        <v>25</v>
      </c>
      <c r="O510" t="str">
        <f ca="1">IF(Incidents[[#This Row],[Age (days)]]&gt;Incidents[[#This Row],[SLA Threshold]],"NO","Yes")</f>
        <v>Yes</v>
      </c>
    </row>
    <row r="511" spans="1:15" x14ac:dyDescent="0.25">
      <c r="A511" s="28" t="s">
        <v>1106</v>
      </c>
      <c r="B511" s="29">
        <v>45607</v>
      </c>
      <c r="C511" s="29">
        <v>45614</v>
      </c>
      <c r="D511" s="28" t="s">
        <v>29</v>
      </c>
      <c r="E511" s="28" t="s">
        <v>46</v>
      </c>
      <c r="F511" s="49">
        <f t="shared" ca="1" si="7"/>
        <v>6</v>
      </c>
      <c r="G511" s="28" t="s">
        <v>31</v>
      </c>
      <c r="H511" s="28" t="s">
        <v>1107</v>
      </c>
      <c r="I511" t="s">
        <v>730</v>
      </c>
      <c r="J511" s="20"/>
      <c r="K511" s="28" t="s">
        <v>35</v>
      </c>
      <c r="L511" t="s">
        <v>36</v>
      </c>
      <c r="M511" t="str">
        <f>VLOOKUP(Incidents[[#This Row],[Ticket ID]],[1]Incidents!$A$2:$D$792,4,FALSE)</f>
        <v>2 - High</v>
      </c>
      <c r="N511">
        <f>VLOOKUP(Incidents[[#This Row],[Priority]],'SLA Config'!$B$3:$C$6,2,FALSE)</f>
        <v>5</v>
      </c>
      <c r="O511" t="str">
        <f ca="1">IF(Incidents[[#This Row],[Age (days)]]&gt;Incidents[[#This Row],[SLA Threshold]],"NO","Yes")</f>
        <v>NO</v>
      </c>
    </row>
    <row r="512" spans="1:15" x14ac:dyDescent="0.25">
      <c r="A512" s="28" t="s">
        <v>1108</v>
      </c>
      <c r="B512" s="29">
        <v>45616</v>
      </c>
      <c r="C512" s="29">
        <v>45623</v>
      </c>
      <c r="D512" s="28" t="s">
        <v>29</v>
      </c>
      <c r="E512" s="28" t="s">
        <v>46</v>
      </c>
      <c r="F512" s="49">
        <f t="shared" ca="1" si="7"/>
        <v>6</v>
      </c>
      <c r="G512" s="28" t="s">
        <v>31</v>
      </c>
      <c r="H512" s="28" t="s">
        <v>896</v>
      </c>
      <c r="I512" t="s">
        <v>730</v>
      </c>
      <c r="J512" s="20"/>
      <c r="K512" s="28" t="s">
        <v>717</v>
      </c>
      <c r="L512" t="s">
        <v>36</v>
      </c>
      <c r="M512" t="str">
        <f>VLOOKUP(Incidents[[#This Row],[Ticket ID]],[1]Incidents!$A$2:$D$792,4,FALSE)</f>
        <v>4 - Low</v>
      </c>
      <c r="N512">
        <f>VLOOKUP(Incidents[[#This Row],[Priority]],'SLA Config'!$B$3:$C$6,2,FALSE)</f>
        <v>25</v>
      </c>
      <c r="O512" t="str">
        <f ca="1">IF(Incidents[[#This Row],[Age (days)]]&gt;Incidents[[#This Row],[SLA Threshold]],"NO","Yes")</f>
        <v>Yes</v>
      </c>
    </row>
    <row r="513" spans="1:15" x14ac:dyDescent="0.25">
      <c r="A513" s="28" t="s">
        <v>1109</v>
      </c>
      <c r="B513" s="29">
        <v>45616</v>
      </c>
      <c r="C513" s="29">
        <v>45623</v>
      </c>
      <c r="D513" s="28" t="s">
        <v>29</v>
      </c>
      <c r="E513" s="28" t="s">
        <v>46</v>
      </c>
      <c r="F513" s="49">
        <f t="shared" ca="1" si="7"/>
        <v>6</v>
      </c>
      <c r="G513" s="28" t="s">
        <v>31</v>
      </c>
      <c r="H513" s="28" t="s">
        <v>1110</v>
      </c>
      <c r="I513" t="s">
        <v>730</v>
      </c>
      <c r="J513" s="20"/>
      <c r="K513" s="28" t="s">
        <v>717</v>
      </c>
      <c r="L513" t="s">
        <v>36</v>
      </c>
      <c r="M513" t="str">
        <f>VLOOKUP(Incidents[[#This Row],[Ticket ID]],[1]Incidents!$A$2:$D$792,4,FALSE)</f>
        <v>4 - Low</v>
      </c>
      <c r="N513">
        <f>VLOOKUP(Incidents[[#This Row],[Priority]],'SLA Config'!$B$3:$C$6,2,FALSE)</f>
        <v>25</v>
      </c>
      <c r="O513" t="str">
        <f ca="1">IF(Incidents[[#This Row],[Age (days)]]&gt;Incidents[[#This Row],[SLA Threshold]],"NO","Yes")</f>
        <v>Yes</v>
      </c>
    </row>
    <row r="514" spans="1:15" x14ac:dyDescent="0.25">
      <c r="A514" s="28" t="s">
        <v>1111</v>
      </c>
      <c r="B514" s="29">
        <v>45618</v>
      </c>
      <c r="C514" s="29">
        <v>45626</v>
      </c>
      <c r="D514" s="28" t="s">
        <v>29</v>
      </c>
      <c r="E514" s="28" t="s">
        <v>46</v>
      </c>
      <c r="F514" s="49">
        <f t="shared" ref="F514:F577" ca="1" si="8">IF(ISBLANK(C514), NETWORKDAYS(B514,TODAY()), NETWORKDAYS(B514,C514))</f>
        <v>6</v>
      </c>
      <c r="G514" s="28" t="s">
        <v>31</v>
      </c>
      <c r="H514" s="28" t="s">
        <v>799</v>
      </c>
      <c r="I514" t="s">
        <v>730</v>
      </c>
      <c r="J514" s="20"/>
      <c r="K514" s="28" t="s">
        <v>717</v>
      </c>
      <c r="L514" t="s">
        <v>36</v>
      </c>
      <c r="M514" t="str">
        <f>VLOOKUP(Incidents[[#This Row],[Ticket ID]],[1]Incidents!$A$2:$D$792,4,FALSE)</f>
        <v>4 - Low</v>
      </c>
      <c r="N514">
        <f>VLOOKUP(Incidents[[#This Row],[Priority]],'SLA Config'!$B$3:$C$6,2,FALSE)</f>
        <v>25</v>
      </c>
      <c r="O514" t="str">
        <f ca="1">IF(Incidents[[#This Row],[Age (days)]]&gt;Incidents[[#This Row],[SLA Threshold]],"NO","Yes")</f>
        <v>Yes</v>
      </c>
    </row>
    <row r="515" spans="1:15" x14ac:dyDescent="0.25">
      <c r="A515" s="28" t="s">
        <v>1112</v>
      </c>
      <c r="B515" s="29">
        <v>45622</v>
      </c>
      <c r="C515" s="29">
        <v>45629</v>
      </c>
      <c r="D515" s="28" t="s">
        <v>29</v>
      </c>
      <c r="E515" s="28" t="s">
        <v>46</v>
      </c>
      <c r="F515" s="49">
        <f t="shared" ca="1" si="8"/>
        <v>6</v>
      </c>
      <c r="G515" s="28" t="s">
        <v>31</v>
      </c>
      <c r="H515" s="28" t="s">
        <v>799</v>
      </c>
      <c r="I515" t="s">
        <v>730</v>
      </c>
      <c r="J515" s="20"/>
      <c r="K515" s="28" t="s">
        <v>717</v>
      </c>
      <c r="L515" t="s">
        <v>36</v>
      </c>
      <c r="M515" t="str">
        <f>VLOOKUP(Incidents[[#This Row],[Ticket ID]],[1]Incidents!$A$2:$D$792,4,FALSE)</f>
        <v>4 - Low</v>
      </c>
      <c r="N515">
        <f>VLOOKUP(Incidents[[#This Row],[Priority]],'SLA Config'!$B$3:$C$6,2,FALSE)</f>
        <v>25</v>
      </c>
      <c r="O515" t="str">
        <f ca="1">IF(Incidents[[#This Row],[Age (days)]]&gt;Incidents[[#This Row],[SLA Threshold]],"NO","Yes")</f>
        <v>Yes</v>
      </c>
    </row>
    <row r="516" spans="1:15" x14ac:dyDescent="0.25">
      <c r="A516" s="28" t="s">
        <v>1113</v>
      </c>
      <c r="B516" s="29">
        <v>45679</v>
      </c>
      <c r="C516" s="29">
        <v>45686</v>
      </c>
      <c r="D516" s="28" t="s">
        <v>29</v>
      </c>
      <c r="E516" s="28" t="s">
        <v>30</v>
      </c>
      <c r="F516" s="49">
        <f t="shared" ca="1" si="8"/>
        <v>6</v>
      </c>
      <c r="G516" s="28" t="s">
        <v>486</v>
      </c>
      <c r="H516" s="28" t="s">
        <v>1114</v>
      </c>
      <c r="I516" t="s">
        <v>730</v>
      </c>
      <c r="J516" s="20"/>
      <c r="K516" s="28" t="s">
        <v>90</v>
      </c>
      <c r="L516" t="s">
        <v>36</v>
      </c>
      <c r="M516" t="str">
        <f>VLOOKUP(Incidents[[#This Row],[Ticket ID]],[1]Incidents!$A$2:$D$792,4,FALSE)</f>
        <v>2 - High</v>
      </c>
      <c r="N516">
        <f>VLOOKUP(Incidents[[#This Row],[Priority]],'SLA Config'!$B$3:$C$6,2,FALSE)</f>
        <v>5</v>
      </c>
      <c r="O516" t="str">
        <f ca="1">IF(Incidents[[#This Row],[Age (days)]]&gt;Incidents[[#This Row],[SLA Threshold]],"NO","Yes")</f>
        <v>NO</v>
      </c>
    </row>
    <row r="517" spans="1:15" x14ac:dyDescent="0.25">
      <c r="A517" s="28" t="s">
        <v>1115</v>
      </c>
      <c r="B517" s="29">
        <v>45688</v>
      </c>
      <c r="C517" s="29">
        <v>45697</v>
      </c>
      <c r="D517" s="28" t="s">
        <v>29</v>
      </c>
      <c r="E517" s="28" t="s">
        <v>38</v>
      </c>
      <c r="F517" s="49">
        <f t="shared" ca="1" si="8"/>
        <v>6</v>
      </c>
      <c r="G517" s="28" t="s">
        <v>31</v>
      </c>
      <c r="H517" s="28" t="s">
        <v>799</v>
      </c>
      <c r="I517" t="s">
        <v>730</v>
      </c>
      <c r="J517" s="20"/>
      <c r="K517" s="28" t="s">
        <v>717</v>
      </c>
      <c r="L517" t="s">
        <v>36</v>
      </c>
      <c r="M517" t="str">
        <f>VLOOKUP(Incidents[[#This Row],[Ticket ID]],[1]Incidents!$A$2:$D$792,4,FALSE)</f>
        <v>4 - Low</v>
      </c>
      <c r="N517">
        <f>VLOOKUP(Incidents[[#This Row],[Priority]],'SLA Config'!$B$3:$C$6,2,FALSE)</f>
        <v>25</v>
      </c>
      <c r="O517" t="str">
        <f ca="1">IF(Incidents[[#This Row],[Age (days)]]&gt;Incidents[[#This Row],[SLA Threshold]],"NO","Yes")</f>
        <v>Yes</v>
      </c>
    </row>
    <row r="518" spans="1:15" x14ac:dyDescent="0.25">
      <c r="A518" s="28" t="s">
        <v>1116</v>
      </c>
      <c r="B518" s="29">
        <v>45688</v>
      </c>
      <c r="C518" s="29">
        <v>45697</v>
      </c>
      <c r="D518" s="28" t="s">
        <v>29</v>
      </c>
      <c r="E518" s="28" t="s">
        <v>38</v>
      </c>
      <c r="F518" s="49">
        <f t="shared" ca="1" si="8"/>
        <v>6</v>
      </c>
      <c r="G518" s="28" t="s">
        <v>801</v>
      </c>
      <c r="H518" s="28" t="s">
        <v>958</v>
      </c>
      <c r="I518" t="s">
        <v>730</v>
      </c>
      <c r="J518" s="20"/>
      <c r="K518" s="28" t="s">
        <v>717</v>
      </c>
      <c r="L518" t="s">
        <v>36</v>
      </c>
      <c r="M518" t="str">
        <f>VLOOKUP(Incidents[[#This Row],[Ticket ID]],[1]Incidents!$A$2:$D$792,4,FALSE)</f>
        <v>4 - Low</v>
      </c>
      <c r="N518">
        <f>VLOOKUP(Incidents[[#This Row],[Priority]],'SLA Config'!$B$3:$C$6,2,FALSE)</f>
        <v>25</v>
      </c>
      <c r="O518" t="str">
        <f ca="1">IF(Incidents[[#This Row],[Age (days)]]&gt;Incidents[[#This Row],[SLA Threshold]],"NO","Yes")</f>
        <v>Yes</v>
      </c>
    </row>
    <row r="519" spans="1:15" x14ac:dyDescent="0.25">
      <c r="A519" s="28" t="s">
        <v>1117</v>
      </c>
      <c r="B519" s="29">
        <v>45692</v>
      </c>
      <c r="C519" s="29">
        <v>45699</v>
      </c>
      <c r="D519" s="28" t="s">
        <v>29</v>
      </c>
      <c r="E519" s="28" t="s">
        <v>30</v>
      </c>
      <c r="F519" s="49">
        <f t="shared" ca="1" si="8"/>
        <v>6</v>
      </c>
      <c r="G519" s="28" t="s">
        <v>31</v>
      </c>
      <c r="H519" s="28" t="s">
        <v>799</v>
      </c>
      <c r="I519" t="s">
        <v>730</v>
      </c>
      <c r="J519" s="20"/>
      <c r="K519" s="28" t="s">
        <v>717</v>
      </c>
      <c r="L519" t="s">
        <v>36</v>
      </c>
      <c r="M519" t="str">
        <f>VLOOKUP(Incidents[[#This Row],[Ticket ID]],[1]Incidents!$A$2:$D$792,4,FALSE)</f>
        <v>4 - Low</v>
      </c>
      <c r="N519">
        <f>VLOOKUP(Incidents[[#This Row],[Priority]],'SLA Config'!$B$3:$C$6,2,FALSE)</f>
        <v>25</v>
      </c>
      <c r="O519" t="str">
        <f ca="1">IF(Incidents[[#This Row],[Age (days)]]&gt;Incidents[[#This Row],[SLA Threshold]],"NO","Yes")</f>
        <v>Yes</v>
      </c>
    </row>
    <row r="520" spans="1:15" x14ac:dyDescent="0.25">
      <c r="A520" t="s">
        <v>1118</v>
      </c>
      <c r="B520" s="1">
        <v>44798</v>
      </c>
      <c r="C520" s="1">
        <v>44804</v>
      </c>
      <c r="D520" t="s">
        <v>29</v>
      </c>
      <c r="E520" t="s">
        <v>54</v>
      </c>
      <c r="F520" s="49">
        <f t="shared" ca="1" si="8"/>
        <v>5</v>
      </c>
      <c r="G520" s="16" t="s">
        <v>31</v>
      </c>
      <c r="H520" s="11" t="s">
        <v>1119</v>
      </c>
      <c r="I520" t="s">
        <v>730</v>
      </c>
      <c r="J520" s="20" t="s">
        <v>136</v>
      </c>
      <c r="K520" t="s">
        <v>44</v>
      </c>
      <c r="L520" t="s">
        <v>36</v>
      </c>
      <c r="M520" t="str">
        <f>VLOOKUP(Incidents[[#This Row],[Ticket ID]],[1]Incidents!$A$2:$D$792,4,FALSE)</f>
        <v>4 - Low</v>
      </c>
      <c r="N520">
        <f>VLOOKUP(Incidents[[#This Row],[Priority]],'SLA Config'!$B$3:$C$6,2,FALSE)</f>
        <v>25</v>
      </c>
      <c r="O520" t="str">
        <f ca="1">IF(Incidents[[#This Row],[Age (days)]]&gt;Incidents[[#This Row],[SLA Threshold]],"NO","Yes")</f>
        <v>Yes</v>
      </c>
    </row>
    <row r="521" spans="1:15" x14ac:dyDescent="0.25">
      <c r="A521" t="s">
        <v>1120</v>
      </c>
      <c r="B521" s="1">
        <v>44805</v>
      </c>
      <c r="C521" s="1">
        <v>44811</v>
      </c>
      <c r="D521" t="s">
        <v>29</v>
      </c>
      <c r="E521" t="s">
        <v>54</v>
      </c>
      <c r="F521" s="49">
        <f t="shared" ca="1" si="8"/>
        <v>5</v>
      </c>
      <c r="G521" s="16" t="s">
        <v>31</v>
      </c>
      <c r="H521" s="11" t="s">
        <v>1121</v>
      </c>
      <c r="I521" t="s">
        <v>730</v>
      </c>
      <c r="J521" s="20" t="s">
        <v>136</v>
      </c>
      <c r="K521" t="s">
        <v>44</v>
      </c>
      <c r="L521" t="s">
        <v>36</v>
      </c>
      <c r="M521" t="str">
        <f>VLOOKUP(Incidents[[#This Row],[Ticket ID]],[1]Incidents!$A$2:$D$792,4,FALSE)</f>
        <v>3 - Medium</v>
      </c>
      <c r="N521">
        <f>VLOOKUP(Incidents[[#This Row],[Priority]],'SLA Config'!$B$3:$C$6,2,FALSE)</f>
        <v>15</v>
      </c>
      <c r="O521" t="str">
        <f ca="1">IF(Incidents[[#This Row],[Age (days)]]&gt;Incidents[[#This Row],[SLA Threshold]],"NO","Yes")</f>
        <v>Yes</v>
      </c>
    </row>
    <row r="522" spans="1:15" x14ac:dyDescent="0.25">
      <c r="A522" t="s">
        <v>1122</v>
      </c>
      <c r="B522" s="1">
        <v>44813</v>
      </c>
      <c r="C522" s="1">
        <v>44819</v>
      </c>
      <c r="D522" t="s">
        <v>29</v>
      </c>
      <c r="E522" t="s">
        <v>54</v>
      </c>
      <c r="F522" s="49">
        <f t="shared" ca="1" si="8"/>
        <v>5</v>
      </c>
      <c r="G522" s="16" t="s">
        <v>31</v>
      </c>
      <c r="H522" s="11" t="s">
        <v>1123</v>
      </c>
      <c r="I522" t="s">
        <v>730</v>
      </c>
      <c r="J522" s="20" t="s">
        <v>136</v>
      </c>
      <c r="K522" t="s">
        <v>44</v>
      </c>
      <c r="L522" t="s">
        <v>36</v>
      </c>
      <c r="M522" t="str">
        <f>VLOOKUP(Incidents[[#This Row],[Ticket ID]],[1]Incidents!$A$2:$D$792,4,FALSE)</f>
        <v>3 - Medium</v>
      </c>
      <c r="N522">
        <f>VLOOKUP(Incidents[[#This Row],[Priority]],'SLA Config'!$B$3:$C$6,2,FALSE)</f>
        <v>15</v>
      </c>
      <c r="O522" t="str">
        <f ca="1">IF(Incidents[[#This Row],[Age (days)]]&gt;Incidents[[#This Row],[SLA Threshold]],"NO","Yes")</f>
        <v>Yes</v>
      </c>
    </row>
    <row r="523" spans="1:15" x14ac:dyDescent="0.25">
      <c r="A523" t="s">
        <v>1124</v>
      </c>
      <c r="B523" s="1">
        <v>44814</v>
      </c>
      <c r="C523" s="1">
        <v>44822</v>
      </c>
      <c r="D523" t="s">
        <v>29</v>
      </c>
      <c r="E523" t="s">
        <v>54</v>
      </c>
      <c r="F523" s="49">
        <f t="shared" ca="1" si="8"/>
        <v>5</v>
      </c>
      <c r="G523" s="16" t="s">
        <v>31</v>
      </c>
      <c r="H523" s="11" t="s">
        <v>1125</v>
      </c>
      <c r="I523" t="s">
        <v>730</v>
      </c>
      <c r="J523" t="s">
        <v>136</v>
      </c>
      <c r="K523" t="s">
        <v>44</v>
      </c>
      <c r="L523" t="s">
        <v>36</v>
      </c>
      <c r="M523" t="str">
        <f>VLOOKUP(Incidents[[#This Row],[Ticket ID]],[1]Incidents!$A$2:$D$792,4,FALSE)</f>
        <v>4 - Low</v>
      </c>
      <c r="N523">
        <f>VLOOKUP(Incidents[[#This Row],[Priority]],'SLA Config'!$B$3:$C$6,2,FALSE)</f>
        <v>25</v>
      </c>
      <c r="O523" t="str">
        <f ca="1">IF(Incidents[[#This Row],[Age (days)]]&gt;Incidents[[#This Row],[SLA Threshold]],"NO","Yes")</f>
        <v>Yes</v>
      </c>
    </row>
    <row r="524" spans="1:15" x14ac:dyDescent="0.25">
      <c r="A524" t="s">
        <v>1126</v>
      </c>
      <c r="B524" s="1">
        <v>44817</v>
      </c>
      <c r="C524" s="1">
        <v>44823</v>
      </c>
      <c r="D524" t="s">
        <v>29</v>
      </c>
      <c r="E524" t="s">
        <v>54</v>
      </c>
      <c r="F524" s="49">
        <f t="shared" ca="1" si="8"/>
        <v>5</v>
      </c>
      <c r="G524" s="16" t="s">
        <v>31</v>
      </c>
      <c r="H524" s="11" t="s">
        <v>1127</v>
      </c>
      <c r="I524" t="s">
        <v>730</v>
      </c>
      <c r="J524" s="20" t="s">
        <v>136</v>
      </c>
      <c r="K524" t="s">
        <v>44</v>
      </c>
      <c r="L524" t="s">
        <v>36</v>
      </c>
      <c r="M524" t="str">
        <f>VLOOKUP(Incidents[[#This Row],[Ticket ID]],[1]Incidents!$A$2:$D$792,4,FALSE)</f>
        <v>4 - Low</v>
      </c>
      <c r="N524">
        <f>VLOOKUP(Incidents[[#This Row],[Priority]],'SLA Config'!$B$3:$C$6,2,FALSE)</f>
        <v>25</v>
      </c>
      <c r="O524" t="str">
        <f ca="1">IF(Incidents[[#This Row],[Age (days)]]&gt;Incidents[[#This Row],[SLA Threshold]],"NO","Yes")</f>
        <v>Yes</v>
      </c>
    </row>
    <row r="525" spans="1:15" x14ac:dyDescent="0.25">
      <c r="A525" t="s">
        <v>1128</v>
      </c>
      <c r="B525" s="1">
        <v>44825</v>
      </c>
      <c r="C525" s="1">
        <v>44831</v>
      </c>
      <c r="D525" t="s">
        <v>29</v>
      </c>
      <c r="E525" t="s">
        <v>104</v>
      </c>
      <c r="F525" s="49">
        <f t="shared" ca="1" si="8"/>
        <v>5</v>
      </c>
      <c r="G525" s="16" t="s">
        <v>31</v>
      </c>
      <c r="H525" s="11" t="s">
        <v>1129</v>
      </c>
      <c r="I525" t="s">
        <v>730</v>
      </c>
      <c r="J525" s="20" t="s">
        <v>136</v>
      </c>
      <c r="K525" t="s">
        <v>44</v>
      </c>
      <c r="L525" t="s">
        <v>36</v>
      </c>
      <c r="M525" t="str">
        <f>VLOOKUP(Incidents[[#This Row],[Ticket ID]],[1]Incidents!$A$2:$D$792,4,FALSE)</f>
        <v>4 - Low</v>
      </c>
      <c r="N525">
        <f>VLOOKUP(Incidents[[#This Row],[Priority]],'SLA Config'!$B$3:$C$6,2,FALSE)</f>
        <v>25</v>
      </c>
      <c r="O525" t="str">
        <f ca="1">IF(Incidents[[#This Row],[Age (days)]]&gt;Incidents[[#This Row],[SLA Threshold]],"NO","Yes")</f>
        <v>Yes</v>
      </c>
    </row>
    <row r="526" spans="1:15" x14ac:dyDescent="0.25">
      <c r="A526" t="s">
        <v>1130</v>
      </c>
      <c r="B526" s="1">
        <v>44861</v>
      </c>
      <c r="C526" s="1">
        <v>44867</v>
      </c>
      <c r="D526" t="s">
        <v>29</v>
      </c>
      <c r="E526" t="s">
        <v>54</v>
      </c>
      <c r="F526" s="49">
        <f t="shared" ca="1" si="8"/>
        <v>5</v>
      </c>
      <c r="G526" s="16" t="s">
        <v>31</v>
      </c>
      <c r="H526" s="11" t="s">
        <v>1131</v>
      </c>
      <c r="I526" t="s">
        <v>730</v>
      </c>
      <c r="J526" s="21" t="s">
        <v>136</v>
      </c>
      <c r="K526" t="s">
        <v>44</v>
      </c>
      <c r="L526" t="s">
        <v>36</v>
      </c>
      <c r="M526" t="str">
        <f>VLOOKUP(Incidents[[#This Row],[Ticket ID]],[1]Incidents!$A$2:$D$792,4,FALSE)</f>
        <v>4 - Low</v>
      </c>
      <c r="N526">
        <f>VLOOKUP(Incidents[[#This Row],[Priority]],'SLA Config'!$B$3:$C$6,2,FALSE)</f>
        <v>25</v>
      </c>
      <c r="O526" t="str">
        <f ca="1">IF(Incidents[[#This Row],[Age (days)]]&gt;Incidents[[#This Row],[SLA Threshold]],"NO","Yes")</f>
        <v>Yes</v>
      </c>
    </row>
    <row r="527" spans="1:15" x14ac:dyDescent="0.25">
      <c r="A527" t="s">
        <v>1132</v>
      </c>
      <c r="B527" s="1">
        <v>44894</v>
      </c>
      <c r="C527" s="1">
        <v>44900</v>
      </c>
      <c r="D527" t="s">
        <v>29</v>
      </c>
      <c r="E527" t="s">
        <v>54</v>
      </c>
      <c r="F527" s="49">
        <f t="shared" ca="1" si="8"/>
        <v>5</v>
      </c>
      <c r="G527" s="16" t="s">
        <v>31</v>
      </c>
      <c r="H527" s="11" t="s">
        <v>1133</v>
      </c>
      <c r="I527" t="s">
        <v>730</v>
      </c>
      <c r="J527" s="21" t="s">
        <v>136</v>
      </c>
      <c r="K527" t="s">
        <v>44</v>
      </c>
      <c r="L527" t="s">
        <v>36</v>
      </c>
      <c r="M527" t="str">
        <f>VLOOKUP(Incidents[[#This Row],[Ticket ID]],[1]Incidents!$A$2:$D$792,4,FALSE)</f>
        <v>4 - Low</v>
      </c>
      <c r="N527">
        <f>VLOOKUP(Incidents[[#This Row],[Priority]],'SLA Config'!$B$3:$C$6,2,FALSE)</f>
        <v>25</v>
      </c>
      <c r="O527" t="str">
        <f ca="1">IF(Incidents[[#This Row],[Age (days)]]&gt;Incidents[[#This Row],[SLA Threshold]],"NO","Yes")</f>
        <v>Yes</v>
      </c>
    </row>
    <row r="528" spans="1:15" x14ac:dyDescent="0.25">
      <c r="A528" t="s">
        <v>1134</v>
      </c>
      <c r="B528" s="1">
        <v>44894</v>
      </c>
      <c r="C528" s="1">
        <v>44900</v>
      </c>
      <c r="D528" t="s">
        <v>29</v>
      </c>
      <c r="E528" t="s">
        <v>54</v>
      </c>
      <c r="F528" s="49">
        <f t="shared" ca="1" si="8"/>
        <v>5</v>
      </c>
      <c r="G528" s="16" t="s">
        <v>31</v>
      </c>
      <c r="H528" s="11" t="s">
        <v>1135</v>
      </c>
      <c r="I528" t="s">
        <v>730</v>
      </c>
      <c r="J528" s="20" t="s">
        <v>136</v>
      </c>
      <c r="K528" t="s">
        <v>44</v>
      </c>
      <c r="L528" t="s">
        <v>36</v>
      </c>
      <c r="M528" t="str">
        <f>VLOOKUP(Incidents[[#This Row],[Ticket ID]],[1]Incidents!$A$2:$D$792,4,FALSE)</f>
        <v>4 - Low</v>
      </c>
      <c r="N528">
        <f>VLOOKUP(Incidents[[#This Row],[Priority]],'SLA Config'!$B$3:$C$6,2,FALSE)</f>
        <v>25</v>
      </c>
      <c r="O528" t="str">
        <f ca="1">IF(Incidents[[#This Row],[Age (days)]]&gt;Incidents[[#This Row],[SLA Threshold]],"NO","Yes")</f>
        <v>Yes</v>
      </c>
    </row>
    <row r="529" spans="1:15" x14ac:dyDescent="0.25">
      <c r="A529" s="2" t="s">
        <v>1136</v>
      </c>
      <c r="B529" s="1">
        <v>44901</v>
      </c>
      <c r="C529" s="1">
        <v>44907</v>
      </c>
      <c r="D529" t="s">
        <v>29</v>
      </c>
      <c r="E529" t="s">
        <v>54</v>
      </c>
      <c r="F529" s="49">
        <f t="shared" ca="1" si="8"/>
        <v>5</v>
      </c>
      <c r="G529" s="16" t="s">
        <v>31</v>
      </c>
      <c r="H529" s="11" t="s">
        <v>1137</v>
      </c>
      <c r="I529" t="s">
        <v>730</v>
      </c>
      <c r="J529" s="21" t="s">
        <v>136</v>
      </c>
      <c r="K529" t="s">
        <v>44</v>
      </c>
      <c r="L529" t="s">
        <v>36</v>
      </c>
      <c r="M529" t="str">
        <f>VLOOKUP(Incidents[[#This Row],[Ticket ID]],[1]Incidents!$A$2:$D$792,4,FALSE)</f>
        <v>4 - Low</v>
      </c>
      <c r="N529">
        <f>VLOOKUP(Incidents[[#This Row],[Priority]],'SLA Config'!$B$3:$C$6,2,FALSE)</f>
        <v>25</v>
      </c>
      <c r="O529" t="str">
        <f ca="1">IF(Incidents[[#This Row],[Age (days)]]&gt;Incidents[[#This Row],[SLA Threshold]],"NO","Yes")</f>
        <v>Yes</v>
      </c>
    </row>
    <row r="530" spans="1:15" x14ac:dyDescent="0.25">
      <c r="A530" s="2" t="s">
        <v>1138</v>
      </c>
      <c r="B530" s="1">
        <v>44903</v>
      </c>
      <c r="C530" s="1">
        <v>44909</v>
      </c>
      <c r="D530" t="s">
        <v>29</v>
      </c>
      <c r="E530" t="s">
        <v>54</v>
      </c>
      <c r="F530" s="49">
        <f t="shared" ca="1" si="8"/>
        <v>5</v>
      </c>
      <c r="G530" s="16" t="s">
        <v>31</v>
      </c>
      <c r="H530" s="11" t="s">
        <v>1139</v>
      </c>
      <c r="I530" t="s">
        <v>730</v>
      </c>
      <c r="J530" s="21" t="s">
        <v>136</v>
      </c>
      <c r="K530" t="s">
        <v>44</v>
      </c>
      <c r="L530" t="s">
        <v>36</v>
      </c>
      <c r="M530" t="str">
        <f>VLOOKUP(Incidents[[#This Row],[Ticket ID]],[1]Incidents!$A$2:$D$792,4,FALSE)</f>
        <v>4 - Low</v>
      </c>
      <c r="N530">
        <f>VLOOKUP(Incidents[[#This Row],[Priority]],'SLA Config'!$B$3:$C$6,2,FALSE)</f>
        <v>25</v>
      </c>
      <c r="O530" t="str">
        <f ca="1">IF(Incidents[[#This Row],[Age (days)]]&gt;Incidents[[#This Row],[SLA Threshold]],"NO","Yes")</f>
        <v>Yes</v>
      </c>
    </row>
    <row r="531" spans="1:15" x14ac:dyDescent="0.25">
      <c r="A531" s="2" t="s">
        <v>1140</v>
      </c>
      <c r="B531" s="1">
        <v>44903</v>
      </c>
      <c r="C531" s="1">
        <v>44909</v>
      </c>
      <c r="D531" t="s">
        <v>29</v>
      </c>
      <c r="E531" t="s">
        <v>54</v>
      </c>
      <c r="F531" s="49">
        <f t="shared" ca="1" si="8"/>
        <v>5</v>
      </c>
      <c r="G531" s="16" t="s">
        <v>31</v>
      </c>
      <c r="H531" s="11" t="s">
        <v>1141</v>
      </c>
      <c r="I531" t="s">
        <v>730</v>
      </c>
      <c r="J531" s="20" t="s">
        <v>136</v>
      </c>
      <c r="K531" t="s">
        <v>44</v>
      </c>
      <c r="L531" t="s">
        <v>36</v>
      </c>
      <c r="M531" t="str">
        <f>VLOOKUP(Incidents[[#This Row],[Ticket ID]],[1]Incidents!$A$2:$D$792,4,FALSE)</f>
        <v>4 - Low</v>
      </c>
      <c r="N531">
        <f>VLOOKUP(Incidents[[#This Row],[Priority]],'SLA Config'!$B$3:$C$6,2,FALSE)</f>
        <v>25</v>
      </c>
      <c r="O531" t="str">
        <f ca="1">IF(Incidents[[#This Row],[Age (days)]]&gt;Incidents[[#This Row],[SLA Threshold]],"NO","Yes")</f>
        <v>Yes</v>
      </c>
    </row>
    <row r="532" spans="1:15" x14ac:dyDescent="0.25">
      <c r="A532" s="2" t="s">
        <v>1142</v>
      </c>
      <c r="B532" s="1">
        <v>44907</v>
      </c>
      <c r="C532" s="1">
        <v>44913</v>
      </c>
      <c r="D532" t="s">
        <v>29</v>
      </c>
      <c r="E532" t="s">
        <v>54</v>
      </c>
      <c r="F532" s="49">
        <f t="shared" ca="1" si="8"/>
        <v>5</v>
      </c>
      <c r="G532" s="16" t="s">
        <v>31</v>
      </c>
      <c r="H532" s="11" t="s">
        <v>1143</v>
      </c>
      <c r="I532" t="s">
        <v>730</v>
      </c>
      <c r="J532" s="20" t="s">
        <v>136</v>
      </c>
      <c r="K532" t="s">
        <v>44</v>
      </c>
      <c r="L532" t="s">
        <v>36</v>
      </c>
      <c r="M532" t="str">
        <f>VLOOKUP(Incidents[[#This Row],[Ticket ID]],[1]Incidents!$A$2:$D$792,4,FALSE)</f>
        <v>4 - Low</v>
      </c>
      <c r="N532">
        <f>VLOOKUP(Incidents[[#This Row],[Priority]],'SLA Config'!$B$3:$C$6,2,FALSE)</f>
        <v>25</v>
      </c>
      <c r="O532" t="str">
        <f ca="1">IF(Incidents[[#This Row],[Age (days)]]&gt;Incidents[[#This Row],[SLA Threshold]],"NO","Yes")</f>
        <v>Yes</v>
      </c>
    </row>
    <row r="533" spans="1:15" x14ac:dyDescent="0.25">
      <c r="A533" t="s">
        <v>1144</v>
      </c>
      <c r="B533" s="1">
        <v>44917</v>
      </c>
      <c r="C533" s="1">
        <v>44923</v>
      </c>
      <c r="D533" t="s">
        <v>29</v>
      </c>
      <c r="E533" t="s">
        <v>54</v>
      </c>
      <c r="F533" s="49">
        <f t="shared" ca="1" si="8"/>
        <v>5</v>
      </c>
      <c r="G533" s="16" t="s">
        <v>31</v>
      </c>
      <c r="H533" s="11" t="s">
        <v>1145</v>
      </c>
      <c r="I533" t="s">
        <v>730</v>
      </c>
      <c r="J533" t="s">
        <v>136</v>
      </c>
      <c r="K533" t="s">
        <v>44</v>
      </c>
      <c r="L533" t="s">
        <v>36</v>
      </c>
      <c r="M533" t="str">
        <f>VLOOKUP(Incidents[[#This Row],[Ticket ID]],[1]Incidents!$A$2:$D$792,4,FALSE)</f>
        <v>4 - Low</v>
      </c>
      <c r="N533">
        <f>VLOOKUP(Incidents[[#This Row],[Priority]],'SLA Config'!$B$3:$C$6,2,FALSE)</f>
        <v>25</v>
      </c>
      <c r="O533" t="str">
        <f ca="1">IF(Incidents[[#This Row],[Age (days)]]&gt;Incidents[[#This Row],[SLA Threshold]],"NO","Yes")</f>
        <v>Yes</v>
      </c>
    </row>
    <row r="534" spans="1:15" x14ac:dyDescent="0.25">
      <c r="A534" s="19" t="s">
        <v>1146</v>
      </c>
      <c r="B534" s="1">
        <v>44937</v>
      </c>
      <c r="C534" s="1">
        <v>44943</v>
      </c>
      <c r="D534" t="s">
        <v>29</v>
      </c>
      <c r="E534" t="s">
        <v>38</v>
      </c>
      <c r="F534" s="49">
        <f t="shared" ca="1" si="8"/>
        <v>5</v>
      </c>
      <c r="G534" s="16" t="s">
        <v>31</v>
      </c>
      <c r="H534" s="11" t="s">
        <v>1147</v>
      </c>
      <c r="I534" t="s">
        <v>730</v>
      </c>
      <c r="J534" s="21" t="s">
        <v>136</v>
      </c>
      <c r="K534" t="s">
        <v>41</v>
      </c>
      <c r="L534" t="s">
        <v>36</v>
      </c>
      <c r="M534" t="str">
        <f>VLOOKUP(Incidents[[#This Row],[Ticket ID]],[1]Incidents!$A$2:$D$792,4,FALSE)</f>
        <v>4 - Low</v>
      </c>
      <c r="N534">
        <f>VLOOKUP(Incidents[[#This Row],[Priority]],'SLA Config'!$B$3:$C$6,2,FALSE)</f>
        <v>25</v>
      </c>
      <c r="O534" t="str">
        <f ca="1">IF(Incidents[[#This Row],[Age (days)]]&gt;Incidents[[#This Row],[SLA Threshold]],"NO","Yes")</f>
        <v>Yes</v>
      </c>
    </row>
    <row r="535" spans="1:15" x14ac:dyDescent="0.25">
      <c r="A535" s="19" t="s">
        <v>1148</v>
      </c>
      <c r="B535" s="1">
        <v>44937</v>
      </c>
      <c r="C535" s="1">
        <v>44943</v>
      </c>
      <c r="D535" t="s">
        <v>29</v>
      </c>
      <c r="E535" t="s">
        <v>38</v>
      </c>
      <c r="F535" s="49">
        <f t="shared" ca="1" si="8"/>
        <v>5</v>
      </c>
      <c r="G535" s="16" t="s">
        <v>31</v>
      </c>
      <c r="H535" s="11" t="s">
        <v>1149</v>
      </c>
      <c r="I535" t="s">
        <v>730</v>
      </c>
      <c r="J535" s="20" t="s">
        <v>136</v>
      </c>
      <c r="K535" t="s">
        <v>44</v>
      </c>
      <c r="L535" t="s">
        <v>36</v>
      </c>
      <c r="M535" t="str">
        <f>VLOOKUP(Incidents[[#This Row],[Ticket ID]],[1]Incidents!$A$2:$D$792,4,FALSE)</f>
        <v>4 - Low</v>
      </c>
      <c r="N535">
        <f>VLOOKUP(Incidents[[#This Row],[Priority]],'SLA Config'!$B$3:$C$6,2,FALSE)</f>
        <v>25</v>
      </c>
      <c r="O535" t="str">
        <f ca="1">IF(Incidents[[#This Row],[Age (days)]]&gt;Incidents[[#This Row],[SLA Threshold]],"NO","Yes")</f>
        <v>Yes</v>
      </c>
    </row>
    <row r="536" spans="1:15" x14ac:dyDescent="0.25">
      <c r="A536" s="19" t="s">
        <v>1150</v>
      </c>
      <c r="B536" s="1">
        <v>44949</v>
      </c>
      <c r="C536" s="1">
        <v>44955</v>
      </c>
      <c r="D536" t="s">
        <v>29</v>
      </c>
      <c r="E536" t="s">
        <v>54</v>
      </c>
      <c r="F536" s="49">
        <f t="shared" ca="1" si="8"/>
        <v>5</v>
      </c>
      <c r="G536" s="16" t="s">
        <v>31</v>
      </c>
      <c r="H536" s="11" t="s">
        <v>1151</v>
      </c>
      <c r="I536" t="s">
        <v>730</v>
      </c>
      <c r="J536" s="20" t="s">
        <v>136</v>
      </c>
      <c r="K536" t="s">
        <v>44</v>
      </c>
      <c r="L536" t="s">
        <v>36</v>
      </c>
      <c r="M536" t="str">
        <f>VLOOKUP(Incidents[[#This Row],[Ticket ID]],[1]Incidents!$A$2:$D$792,4,FALSE)</f>
        <v>4 - Low</v>
      </c>
      <c r="N536">
        <f>VLOOKUP(Incidents[[#This Row],[Priority]],'SLA Config'!$B$3:$C$6,2,FALSE)</f>
        <v>25</v>
      </c>
      <c r="O536" t="str">
        <f ca="1">IF(Incidents[[#This Row],[Age (days)]]&gt;Incidents[[#This Row],[SLA Threshold]],"NO","Yes")</f>
        <v>Yes</v>
      </c>
    </row>
    <row r="537" spans="1:15" x14ac:dyDescent="0.25">
      <c r="A537" s="2" t="s">
        <v>1152</v>
      </c>
      <c r="B537" s="1">
        <v>44970</v>
      </c>
      <c r="C537" s="8">
        <v>44976</v>
      </c>
      <c r="D537" t="s">
        <v>29</v>
      </c>
      <c r="E537" s="17" t="s">
        <v>54</v>
      </c>
      <c r="F537" s="49">
        <f t="shared" ca="1" si="8"/>
        <v>5</v>
      </c>
      <c r="G537" s="16" t="s">
        <v>31</v>
      </c>
      <c r="H537" s="11" t="s">
        <v>1153</v>
      </c>
      <c r="I537" t="s">
        <v>730</v>
      </c>
      <c r="J537" s="20" t="s">
        <v>136</v>
      </c>
      <c r="K537" t="s">
        <v>44</v>
      </c>
      <c r="L537" t="s">
        <v>36</v>
      </c>
      <c r="M537" t="str">
        <f>VLOOKUP(Incidents[[#This Row],[Ticket ID]],[1]Incidents!$A$2:$D$792,4,FALSE)</f>
        <v>4 - Low</v>
      </c>
      <c r="N537">
        <f>VLOOKUP(Incidents[[#This Row],[Priority]],'SLA Config'!$B$3:$C$6,2,FALSE)</f>
        <v>25</v>
      </c>
      <c r="O537" t="str">
        <f ca="1">IF(Incidents[[#This Row],[Age (days)]]&gt;Incidents[[#This Row],[SLA Threshold]],"NO","Yes")</f>
        <v>Yes</v>
      </c>
    </row>
    <row r="538" spans="1:15" x14ac:dyDescent="0.25">
      <c r="A538" s="2" t="s">
        <v>1154</v>
      </c>
      <c r="B538" s="1">
        <v>45014</v>
      </c>
      <c r="C538" s="8">
        <v>45020</v>
      </c>
      <c r="D538" t="s">
        <v>29</v>
      </c>
      <c r="E538" s="17" t="s">
        <v>54</v>
      </c>
      <c r="F538" s="49">
        <f t="shared" ca="1" si="8"/>
        <v>5</v>
      </c>
      <c r="G538" s="16" t="s">
        <v>31</v>
      </c>
      <c r="H538" s="11" t="s">
        <v>1155</v>
      </c>
      <c r="I538" t="s">
        <v>730</v>
      </c>
      <c r="J538" s="20" t="s">
        <v>136</v>
      </c>
      <c r="K538" t="s">
        <v>44</v>
      </c>
      <c r="L538" t="s">
        <v>36</v>
      </c>
      <c r="M538" t="str">
        <f>VLOOKUP(Incidents[[#This Row],[Ticket ID]],[1]Incidents!$A$2:$D$792,4,FALSE)</f>
        <v>4 - Low</v>
      </c>
      <c r="N538">
        <f>VLOOKUP(Incidents[[#This Row],[Priority]],'SLA Config'!$B$3:$C$6,2,FALSE)</f>
        <v>25</v>
      </c>
      <c r="O538" t="str">
        <f ca="1">IF(Incidents[[#This Row],[Age (days)]]&gt;Incidents[[#This Row],[SLA Threshold]],"NO","Yes")</f>
        <v>Yes</v>
      </c>
    </row>
    <row r="539" spans="1:15" x14ac:dyDescent="0.25">
      <c r="A539" s="2" t="s">
        <v>1156</v>
      </c>
      <c r="B539" s="1">
        <v>45034</v>
      </c>
      <c r="C539" s="8">
        <v>45040</v>
      </c>
      <c r="D539" t="s">
        <v>29</v>
      </c>
      <c r="E539" t="s">
        <v>54</v>
      </c>
      <c r="F539" s="49">
        <f t="shared" ca="1" si="8"/>
        <v>5</v>
      </c>
      <c r="G539" s="16" t="s">
        <v>31</v>
      </c>
      <c r="H539" s="11" t="s">
        <v>1157</v>
      </c>
      <c r="I539" t="s">
        <v>730</v>
      </c>
      <c r="J539" s="21" t="s">
        <v>136</v>
      </c>
      <c r="K539" t="s">
        <v>44</v>
      </c>
      <c r="L539" t="s">
        <v>36</v>
      </c>
      <c r="M539" t="str">
        <f>VLOOKUP(Incidents[[#This Row],[Ticket ID]],[1]Incidents!$A$2:$D$792,4,FALSE)</f>
        <v>4 - Low</v>
      </c>
      <c r="N539">
        <f>VLOOKUP(Incidents[[#This Row],[Priority]],'SLA Config'!$B$3:$C$6,2,FALSE)</f>
        <v>25</v>
      </c>
      <c r="O539" t="str">
        <f ca="1">IF(Incidents[[#This Row],[Age (days)]]&gt;Incidents[[#This Row],[SLA Threshold]],"NO","Yes")</f>
        <v>Yes</v>
      </c>
    </row>
    <row r="540" spans="1:15" x14ac:dyDescent="0.25">
      <c r="A540" s="2" t="s">
        <v>1158</v>
      </c>
      <c r="B540" s="1">
        <v>45043</v>
      </c>
      <c r="C540" s="8">
        <v>45049</v>
      </c>
      <c r="D540" t="s">
        <v>29</v>
      </c>
      <c r="E540" t="s">
        <v>54</v>
      </c>
      <c r="F540" s="49">
        <f t="shared" ca="1" si="8"/>
        <v>5</v>
      </c>
      <c r="G540" s="16" t="s">
        <v>31</v>
      </c>
      <c r="H540" s="11" t="s">
        <v>1159</v>
      </c>
      <c r="I540" t="s">
        <v>730</v>
      </c>
      <c r="J540" s="20" t="s">
        <v>136</v>
      </c>
      <c r="K540" t="s">
        <v>44</v>
      </c>
      <c r="L540" t="s">
        <v>36</v>
      </c>
      <c r="M540" t="str">
        <f>VLOOKUP(Incidents[[#This Row],[Ticket ID]],[1]Incidents!$A$2:$D$792,4,FALSE)</f>
        <v>4 - Low</v>
      </c>
      <c r="N540">
        <f>VLOOKUP(Incidents[[#This Row],[Priority]],'SLA Config'!$B$3:$C$6,2,FALSE)</f>
        <v>25</v>
      </c>
      <c r="O540" t="str">
        <f ca="1">IF(Incidents[[#This Row],[Age (days)]]&gt;Incidents[[#This Row],[SLA Threshold]],"NO","Yes")</f>
        <v>Yes</v>
      </c>
    </row>
    <row r="541" spans="1:15" x14ac:dyDescent="0.25">
      <c r="A541" s="2" t="s">
        <v>1160</v>
      </c>
      <c r="B541" s="1">
        <v>45043</v>
      </c>
      <c r="C541" s="8">
        <v>45049</v>
      </c>
      <c r="D541" t="s">
        <v>29</v>
      </c>
      <c r="E541" t="s">
        <v>54</v>
      </c>
      <c r="F541" s="49">
        <f t="shared" ca="1" si="8"/>
        <v>5</v>
      </c>
      <c r="G541" s="16" t="s">
        <v>31</v>
      </c>
      <c r="H541" s="11" t="s">
        <v>1161</v>
      </c>
      <c r="I541" t="s">
        <v>730</v>
      </c>
      <c r="J541" s="21" t="s">
        <v>136</v>
      </c>
      <c r="K541" t="s">
        <v>44</v>
      </c>
      <c r="L541" t="s">
        <v>36</v>
      </c>
      <c r="M541" t="str">
        <f>VLOOKUP(Incidents[[#This Row],[Ticket ID]],[1]Incidents!$A$2:$D$792,4,FALSE)</f>
        <v>4 - Low</v>
      </c>
      <c r="N541">
        <f>VLOOKUP(Incidents[[#This Row],[Priority]],'SLA Config'!$B$3:$C$6,2,FALSE)</f>
        <v>25</v>
      </c>
      <c r="O541" t="str">
        <f ca="1">IF(Incidents[[#This Row],[Age (days)]]&gt;Incidents[[#This Row],[SLA Threshold]],"NO","Yes")</f>
        <v>Yes</v>
      </c>
    </row>
    <row r="542" spans="1:15" x14ac:dyDescent="0.25">
      <c r="A542" s="2" t="s">
        <v>1162</v>
      </c>
      <c r="B542" s="1">
        <v>45169</v>
      </c>
      <c r="C542" s="8">
        <v>45175</v>
      </c>
      <c r="D542" t="s">
        <v>29</v>
      </c>
      <c r="E542" t="s">
        <v>104</v>
      </c>
      <c r="F542" s="49">
        <f t="shared" ca="1" si="8"/>
        <v>5</v>
      </c>
      <c r="G542" s="16" t="s">
        <v>31</v>
      </c>
      <c r="H542" s="11" t="s">
        <v>1163</v>
      </c>
      <c r="I542" t="s">
        <v>730</v>
      </c>
      <c r="J542" s="21" t="s">
        <v>136</v>
      </c>
      <c r="K542" t="s">
        <v>44</v>
      </c>
      <c r="L542" t="s">
        <v>36</v>
      </c>
      <c r="M542" t="str">
        <f>VLOOKUP(Incidents[[#This Row],[Ticket ID]],[1]Incidents!$A$2:$D$792,4,FALSE)</f>
        <v>4 - Low</v>
      </c>
      <c r="N542">
        <f>VLOOKUP(Incidents[[#This Row],[Priority]],'SLA Config'!$B$3:$C$6,2,FALSE)</f>
        <v>25</v>
      </c>
      <c r="O542" t="str">
        <f ca="1">IF(Incidents[[#This Row],[Age (days)]]&gt;Incidents[[#This Row],[SLA Threshold]],"NO","Yes")</f>
        <v>Yes</v>
      </c>
    </row>
    <row r="543" spans="1:15" x14ac:dyDescent="0.25">
      <c r="A543" s="2" t="s">
        <v>1164</v>
      </c>
      <c r="B543" s="1">
        <v>45188</v>
      </c>
      <c r="C543" s="8">
        <v>45194</v>
      </c>
      <c r="D543" t="s">
        <v>29</v>
      </c>
      <c r="E543" t="s">
        <v>38</v>
      </c>
      <c r="F543" s="49">
        <f t="shared" ca="1" si="8"/>
        <v>5</v>
      </c>
      <c r="G543" s="16" t="s">
        <v>31</v>
      </c>
      <c r="H543" s="11" t="s">
        <v>1165</v>
      </c>
      <c r="I543" t="s">
        <v>730</v>
      </c>
      <c r="J543" s="21" t="s">
        <v>136</v>
      </c>
      <c r="K543" t="s">
        <v>41</v>
      </c>
      <c r="L543" t="s">
        <v>36</v>
      </c>
      <c r="M543" t="str">
        <f>VLOOKUP(Incidents[[#This Row],[Ticket ID]],[1]Incidents!$A$2:$D$792,4,FALSE)</f>
        <v>4 - Low</v>
      </c>
      <c r="N543">
        <f>VLOOKUP(Incidents[[#This Row],[Priority]],'SLA Config'!$B$3:$C$6,2,FALSE)</f>
        <v>25</v>
      </c>
      <c r="O543" t="str">
        <f ca="1">IF(Incidents[[#This Row],[Age (days)]]&gt;Incidents[[#This Row],[SLA Threshold]],"NO","Yes")</f>
        <v>Yes</v>
      </c>
    </row>
    <row r="544" spans="1:15" x14ac:dyDescent="0.25">
      <c r="A544" s="2" t="s">
        <v>1166</v>
      </c>
      <c r="B544" s="1">
        <v>45195</v>
      </c>
      <c r="C544" s="8">
        <v>45201</v>
      </c>
      <c r="D544" t="s">
        <v>29</v>
      </c>
      <c r="E544" t="s">
        <v>30</v>
      </c>
      <c r="F544" s="49">
        <f t="shared" ca="1" si="8"/>
        <v>5</v>
      </c>
      <c r="G544" s="16" t="s">
        <v>31</v>
      </c>
      <c r="H544" s="11" t="s">
        <v>1167</v>
      </c>
      <c r="I544" t="s">
        <v>730</v>
      </c>
      <c r="J544" s="20" t="s">
        <v>136</v>
      </c>
      <c r="K544" t="s">
        <v>90</v>
      </c>
      <c r="L544" t="s">
        <v>36</v>
      </c>
      <c r="M544" t="str">
        <f>VLOOKUP(Incidents[[#This Row],[Ticket ID]],[1]Incidents!$A$2:$D$792,4,FALSE)</f>
        <v>4 - Low</v>
      </c>
      <c r="N544">
        <f>VLOOKUP(Incidents[[#This Row],[Priority]],'SLA Config'!$B$3:$C$6,2,FALSE)</f>
        <v>25</v>
      </c>
      <c r="O544" t="str">
        <f ca="1">IF(Incidents[[#This Row],[Age (days)]]&gt;Incidents[[#This Row],[SLA Threshold]],"NO","Yes")</f>
        <v>Yes</v>
      </c>
    </row>
    <row r="545" spans="1:15" x14ac:dyDescent="0.25">
      <c r="A545" s="2" t="s">
        <v>1168</v>
      </c>
      <c r="B545" s="1">
        <v>45222</v>
      </c>
      <c r="C545" s="8">
        <v>45228</v>
      </c>
      <c r="D545" t="s">
        <v>29</v>
      </c>
      <c r="E545" t="s">
        <v>30</v>
      </c>
      <c r="F545" s="49">
        <f t="shared" ca="1" si="8"/>
        <v>5</v>
      </c>
      <c r="G545" s="16" t="s">
        <v>31</v>
      </c>
      <c r="H545" s="11" t="s">
        <v>1169</v>
      </c>
      <c r="I545" t="s">
        <v>730</v>
      </c>
      <c r="J545" s="20" t="s">
        <v>136</v>
      </c>
      <c r="K545" t="s">
        <v>90</v>
      </c>
      <c r="L545" t="s">
        <v>36</v>
      </c>
      <c r="M545" t="str">
        <f>VLOOKUP(Incidents[[#This Row],[Ticket ID]],[1]Incidents!$A$2:$D$792,4,FALSE)</f>
        <v>4 - Low</v>
      </c>
      <c r="N545">
        <f>VLOOKUP(Incidents[[#This Row],[Priority]],'SLA Config'!$B$3:$C$6,2,FALSE)</f>
        <v>25</v>
      </c>
      <c r="O545" t="str">
        <f ca="1">IF(Incidents[[#This Row],[Age (days)]]&gt;Incidents[[#This Row],[SLA Threshold]],"NO","Yes")</f>
        <v>Yes</v>
      </c>
    </row>
    <row r="546" spans="1:15" x14ac:dyDescent="0.25">
      <c r="A546" s="2" t="s">
        <v>1170</v>
      </c>
      <c r="B546" s="1">
        <v>45222</v>
      </c>
      <c r="C546" s="8">
        <v>45228</v>
      </c>
      <c r="D546" t="s">
        <v>29</v>
      </c>
      <c r="E546" t="s">
        <v>30</v>
      </c>
      <c r="F546" s="49">
        <f t="shared" ca="1" si="8"/>
        <v>5</v>
      </c>
      <c r="G546" s="16" t="s">
        <v>31</v>
      </c>
      <c r="H546" s="11" t="s">
        <v>1171</v>
      </c>
      <c r="I546" t="s">
        <v>730</v>
      </c>
      <c r="J546" s="21" t="s">
        <v>136</v>
      </c>
      <c r="K546" t="s">
        <v>90</v>
      </c>
      <c r="L546" t="s">
        <v>36</v>
      </c>
      <c r="M546" t="str">
        <f>VLOOKUP(Incidents[[#This Row],[Ticket ID]],[1]Incidents!$A$2:$D$792,4,FALSE)</f>
        <v>4 - Low</v>
      </c>
      <c r="N546">
        <f>VLOOKUP(Incidents[[#This Row],[Priority]],'SLA Config'!$B$3:$C$6,2,FALSE)</f>
        <v>25</v>
      </c>
      <c r="O546" t="str">
        <f ca="1">IF(Incidents[[#This Row],[Age (days)]]&gt;Incidents[[#This Row],[SLA Threshold]],"NO","Yes")</f>
        <v>Yes</v>
      </c>
    </row>
    <row r="547" spans="1:15" x14ac:dyDescent="0.25">
      <c r="A547" s="2" t="s">
        <v>1172</v>
      </c>
      <c r="B547" s="1">
        <v>45222</v>
      </c>
      <c r="C547" s="8">
        <v>45228</v>
      </c>
      <c r="D547" t="s">
        <v>29</v>
      </c>
      <c r="E547" t="s">
        <v>30</v>
      </c>
      <c r="F547" s="49">
        <f t="shared" ca="1" si="8"/>
        <v>5</v>
      </c>
      <c r="G547" s="16" t="s">
        <v>31</v>
      </c>
      <c r="H547" s="11" t="s">
        <v>1173</v>
      </c>
      <c r="I547" t="s">
        <v>730</v>
      </c>
      <c r="J547" s="21" t="s">
        <v>136</v>
      </c>
      <c r="K547" t="s">
        <v>90</v>
      </c>
      <c r="L547" t="s">
        <v>36</v>
      </c>
      <c r="M547" t="str">
        <f>VLOOKUP(Incidents[[#This Row],[Ticket ID]],[1]Incidents!$A$2:$D$792,4,FALSE)</f>
        <v>4 - Low</v>
      </c>
      <c r="N547">
        <f>VLOOKUP(Incidents[[#This Row],[Priority]],'SLA Config'!$B$3:$C$6,2,FALSE)</f>
        <v>25</v>
      </c>
      <c r="O547" t="str">
        <f ca="1">IF(Incidents[[#This Row],[Age (days)]]&gt;Incidents[[#This Row],[SLA Threshold]],"NO","Yes")</f>
        <v>Yes</v>
      </c>
    </row>
    <row r="548" spans="1:15" x14ac:dyDescent="0.25">
      <c r="A548" s="2" t="s">
        <v>1174</v>
      </c>
      <c r="B548" s="1">
        <v>45229</v>
      </c>
      <c r="C548" s="8">
        <v>45234</v>
      </c>
      <c r="D548" t="s">
        <v>29</v>
      </c>
      <c r="E548" t="s">
        <v>30</v>
      </c>
      <c r="F548" s="49">
        <f t="shared" ca="1" si="8"/>
        <v>5</v>
      </c>
      <c r="G548" s="16" t="s">
        <v>31</v>
      </c>
      <c r="H548" s="11" t="s">
        <v>1175</v>
      </c>
      <c r="I548" t="s">
        <v>730</v>
      </c>
      <c r="J548" s="14" t="s">
        <v>136</v>
      </c>
      <c r="K548" t="s">
        <v>90</v>
      </c>
      <c r="L548" t="s">
        <v>36</v>
      </c>
      <c r="M548" t="str">
        <f>VLOOKUP(Incidents[[#This Row],[Ticket ID]],[1]Incidents!$A$2:$D$792,4,FALSE)</f>
        <v>4 - Low</v>
      </c>
      <c r="N548">
        <f>VLOOKUP(Incidents[[#This Row],[Priority]],'SLA Config'!$B$3:$C$6,2,FALSE)</f>
        <v>25</v>
      </c>
      <c r="O548" t="str">
        <f ca="1">IF(Incidents[[#This Row],[Age (days)]]&gt;Incidents[[#This Row],[SLA Threshold]],"NO","Yes")</f>
        <v>Yes</v>
      </c>
    </row>
    <row r="549" spans="1:15" x14ac:dyDescent="0.25">
      <c r="A549" s="17" t="s">
        <v>1176</v>
      </c>
      <c r="B549" s="1">
        <v>45237</v>
      </c>
      <c r="C549" s="8">
        <v>45243</v>
      </c>
      <c r="D549" t="s">
        <v>29</v>
      </c>
      <c r="E549" t="s">
        <v>30</v>
      </c>
      <c r="F549" s="49">
        <f t="shared" ca="1" si="8"/>
        <v>5</v>
      </c>
      <c r="G549" s="16" t="s">
        <v>31</v>
      </c>
      <c r="H549" s="11" t="s">
        <v>1177</v>
      </c>
      <c r="I549" t="s">
        <v>730</v>
      </c>
      <c r="J549" s="14" t="s">
        <v>136</v>
      </c>
      <c r="K549" t="s">
        <v>90</v>
      </c>
      <c r="L549" t="s">
        <v>36</v>
      </c>
      <c r="M549" t="str">
        <f>VLOOKUP(Incidents[[#This Row],[Ticket ID]],[1]Incidents!$A$2:$D$792,4,FALSE)</f>
        <v>4 - Low</v>
      </c>
      <c r="N549">
        <f>VLOOKUP(Incidents[[#This Row],[Priority]],'SLA Config'!$B$3:$C$6,2,FALSE)</f>
        <v>25</v>
      </c>
      <c r="O549" t="str">
        <f ca="1">IF(Incidents[[#This Row],[Age (days)]]&gt;Incidents[[#This Row],[SLA Threshold]],"NO","Yes")</f>
        <v>Yes</v>
      </c>
    </row>
    <row r="550" spans="1:15" x14ac:dyDescent="0.25">
      <c r="A550" s="17" t="s">
        <v>1178</v>
      </c>
      <c r="B550" s="1">
        <v>45238</v>
      </c>
      <c r="C550" s="8">
        <v>45244</v>
      </c>
      <c r="D550" t="s">
        <v>29</v>
      </c>
      <c r="E550" t="s">
        <v>30</v>
      </c>
      <c r="F550" s="49">
        <f t="shared" ca="1" si="8"/>
        <v>5</v>
      </c>
      <c r="G550" s="16" t="s">
        <v>31</v>
      </c>
      <c r="H550" s="11" t="s">
        <v>1179</v>
      </c>
      <c r="I550" t="s">
        <v>730</v>
      </c>
      <c r="J550" s="14" t="s">
        <v>136</v>
      </c>
      <c r="K550" t="s">
        <v>90</v>
      </c>
      <c r="L550" t="s">
        <v>36</v>
      </c>
      <c r="M550" t="str">
        <f>VLOOKUP(Incidents[[#This Row],[Ticket ID]],[1]Incidents!$A$2:$D$792,4,FALSE)</f>
        <v>4 - Low</v>
      </c>
      <c r="N550">
        <f>VLOOKUP(Incidents[[#This Row],[Priority]],'SLA Config'!$B$3:$C$6,2,FALSE)</f>
        <v>25</v>
      </c>
      <c r="O550" t="str">
        <f ca="1">IF(Incidents[[#This Row],[Age (days)]]&gt;Incidents[[#This Row],[SLA Threshold]],"NO","Yes")</f>
        <v>Yes</v>
      </c>
    </row>
    <row r="551" spans="1:15" x14ac:dyDescent="0.25">
      <c r="A551" s="17" t="s">
        <v>1180</v>
      </c>
      <c r="B551" s="1">
        <v>45239</v>
      </c>
      <c r="C551" s="8">
        <v>45245</v>
      </c>
      <c r="D551" t="s">
        <v>29</v>
      </c>
      <c r="E551" t="s">
        <v>30</v>
      </c>
      <c r="F551" s="49">
        <f t="shared" ca="1" si="8"/>
        <v>5</v>
      </c>
      <c r="G551" s="16" t="s">
        <v>31</v>
      </c>
      <c r="H551" s="11" t="s">
        <v>1181</v>
      </c>
      <c r="I551" t="s">
        <v>730</v>
      </c>
      <c r="J551" s="14" t="s">
        <v>136</v>
      </c>
      <c r="K551" t="s">
        <v>90</v>
      </c>
      <c r="L551" t="s">
        <v>36</v>
      </c>
      <c r="M551" t="str">
        <f>VLOOKUP(Incidents[[#This Row],[Ticket ID]],[1]Incidents!$A$2:$D$792,4,FALSE)</f>
        <v>4 - Low</v>
      </c>
      <c r="N551">
        <f>VLOOKUP(Incidents[[#This Row],[Priority]],'SLA Config'!$B$3:$C$6,2,FALSE)</f>
        <v>25</v>
      </c>
      <c r="O551" t="str">
        <f ca="1">IF(Incidents[[#This Row],[Age (days)]]&gt;Incidents[[#This Row],[SLA Threshold]],"NO","Yes")</f>
        <v>Yes</v>
      </c>
    </row>
    <row r="552" spans="1:15" x14ac:dyDescent="0.25">
      <c r="A552" s="17" t="s">
        <v>1182</v>
      </c>
      <c r="B552" s="1">
        <v>45243</v>
      </c>
      <c r="C552" s="8">
        <v>45248</v>
      </c>
      <c r="D552" t="s">
        <v>29</v>
      </c>
      <c r="E552" t="s">
        <v>30</v>
      </c>
      <c r="F552" s="49">
        <f t="shared" ca="1" si="8"/>
        <v>5</v>
      </c>
      <c r="G552" s="16" t="s">
        <v>31</v>
      </c>
      <c r="H552" s="11" t="s">
        <v>1183</v>
      </c>
      <c r="I552" t="s">
        <v>730</v>
      </c>
      <c r="J552" s="14" t="s">
        <v>136</v>
      </c>
      <c r="K552" t="s">
        <v>90</v>
      </c>
      <c r="L552" t="s">
        <v>36</v>
      </c>
      <c r="M552" t="str">
        <f>VLOOKUP(Incidents[[#This Row],[Ticket ID]],[1]Incidents!$A$2:$D$792,4,FALSE)</f>
        <v>4 - Low</v>
      </c>
      <c r="N552">
        <f>VLOOKUP(Incidents[[#This Row],[Priority]],'SLA Config'!$B$3:$C$6,2,FALSE)</f>
        <v>25</v>
      </c>
      <c r="O552" t="str">
        <f ca="1">IF(Incidents[[#This Row],[Age (days)]]&gt;Incidents[[#This Row],[SLA Threshold]],"NO","Yes")</f>
        <v>Yes</v>
      </c>
    </row>
    <row r="553" spans="1:15" x14ac:dyDescent="0.25">
      <c r="A553" s="17" t="s">
        <v>1184</v>
      </c>
      <c r="B553" s="1">
        <v>45246</v>
      </c>
      <c r="C553" s="8">
        <v>45252</v>
      </c>
      <c r="D553" t="s">
        <v>29</v>
      </c>
      <c r="E553" t="s">
        <v>30</v>
      </c>
      <c r="F553" s="49">
        <f t="shared" ca="1" si="8"/>
        <v>5</v>
      </c>
      <c r="G553" s="16" t="s">
        <v>31</v>
      </c>
      <c r="H553" s="11" t="s">
        <v>1185</v>
      </c>
      <c r="I553" t="s">
        <v>730</v>
      </c>
      <c r="J553" s="14" t="s">
        <v>136</v>
      </c>
      <c r="K553" t="s">
        <v>90</v>
      </c>
      <c r="L553" t="s">
        <v>36</v>
      </c>
      <c r="M553" t="str">
        <f>VLOOKUP(Incidents[[#This Row],[Ticket ID]],[1]Incidents!$A$2:$D$792,4,FALSE)</f>
        <v>4 - Low</v>
      </c>
      <c r="N553">
        <f>VLOOKUP(Incidents[[#This Row],[Priority]],'SLA Config'!$B$3:$C$6,2,FALSE)</f>
        <v>25</v>
      </c>
      <c r="O553" t="str">
        <f ca="1">IF(Incidents[[#This Row],[Age (days)]]&gt;Incidents[[#This Row],[SLA Threshold]],"NO","Yes")</f>
        <v>Yes</v>
      </c>
    </row>
    <row r="554" spans="1:15" x14ac:dyDescent="0.25">
      <c r="A554" s="17" t="s">
        <v>1186</v>
      </c>
      <c r="B554" s="1">
        <v>45246</v>
      </c>
      <c r="C554" s="8">
        <v>45252</v>
      </c>
      <c r="D554" t="s">
        <v>29</v>
      </c>
      <c r="E554" t="s">
        <v>30</v>
      </c>
      <c r="F554" s="49">
        <f t="shared" ca="1" si="8"/>
        <v>5</v>
      </c>
      <c r="G554" s="16" t="s">
        <v>31</v>
      </c>
      <c r="H554" s="11" t="s">
        <v>1187</v>
      </c>
      <c r="I554" t="s">
        <v>730</v>
      </c>
      <c r="J554" s="14" t="s">
        <v>136</v>
      </c>
      <c r="K554" t="s">
        <v>90</v>
      </c>
      <c r="L554" t="s">
        <v>36</v>
      </c>
      <c r="M554" t="str">
        <f>VLOOKUP(Incidents[[#This Row],[Ticket ID]],[1]Incidents!$A$2:$D$792,4,FALSE)</f>
        <v>4 - Low</v>
      </c>
      <c r="N554">
        <f>VLOOKUP(Incidents[[#This Row],[Priority]],'SLA Config'!$B$3:$C$6,2,FALSE)</f>
        <v>25</v>
      </c>
      <c r="O554" t="str">
        <f ca="1">IF(Incidents[[#This Row],[Age (days)]]&gt;Incidents[[#This Row],[SLA Threshold]],"NO","Yes")</f>
        <v>Yes</v>
      </c>
    </row>
    <row r="555" spans="1:15" x14ac:dyDescent="0.25">
      <c r="A555" s="17" t="s">
        <v>1188</v>
      </c>
      <c r="B555" s="1">
        <v>45257</v>
      </c>
      <c r="C555" s="8">
        <v>45263</v>
      </c>
      <c r="D555" t="s">
        <v>29</v>
      </c>
      <c r="E555" s="17" t="s">
        <v>30</v>
      </c>
      <c r="F555" s="49">
        <f t="shared" ca="1" si="8"/>
        <v>5</v>
      </c>
      <c r="G555" s="16" t="s">
        <v>31</v>
      </c>
      <c r="H555" s="11" t="s">
        <v>1189</v>
      </c>
      <c r="I555" t="s">
        <v>730</v>
      </c>
      <c r="J555" s="14" t="s">
        <v>136</v>
      </c>
      <c r="K555" t="s">
        <v>90</v>
      </c>
      <c r="L555" t="s">
        <v>36</v>
      </c>
      <c r="M555" t="str">
        <f>VLOOKUP(Incidents[[#This Row],[Ticket ID]],[1]Incidents!$A$2:$D$792,4,FALSE)</f>
        <v>4 - Low</v>
      </c>
      <c r="N555">
        <f>VLOOKUP(Incidents[[#This Row],[Priority]],'SLA Config'!$B$3:$C$6,2,FALSE)</f>
        <v>25</v>
      </c>
      <c r="O555" t="str">
        <f ca="1">IF(Incidents[[#This Row],[Age (days)]]&gt;Incidents[[#This Row],[SLA Threshold]],"NO","Yes")</f>
        <v>Yes</v>
      </c>
    </row>
    <row r="556" spans="1:15" x14ac:dyDescent="0.25">
      <c r="A556" s="17" t="s">
        <v>1190</v>
      </c>
      <c r="B556" s="1">
        <v>45258</v>
      </c>
      <c r="C556" s="8">
        <v>45264</v>
      </c>
      <c r="D556" t="s">
        <v>29</v>
      </c>
      <c r="E556" t="s">
        <v>30</v>
      </c>
      <c r="F556" s="49">
        <f t="shared" ca="1" si="8"/>
        <v>5</v>
      </c>
      <c r="G556" s="16" t="s">
        <v>31</v>
      </c>
      <c r="H556" s="11" t="s">
        <v>1191</v>
      </c>
      <c r="I556" t="s">
        <v>730</v>
      </c>
      <c r="J556" s="14" t="s">
        <v>136</v>
      </c>
      <c r="K556" t="s">
        <v>90</v>
      </c>
      <c r="L556" t="s">
        <v>36</v>
      </c>
      <c r="M556" t="str">
        <f>VLOOKUP(Incidents[[#This Row],[Ticket ID]],[1]Incidents!$A$2:$D$792,4,FALSE)</f>
        <v>4 - Low</v>
      </c>
      <c r="N556">
        <f>VLOOKUP(Incidents[[#This Row],[Priority]],'SLA Config'!$B$3:$C$6,2,FALSE)</f>
        <v>25</v>
      </c>
      <c r="O556" t="str">
        <f ca="1">IF(Incidents[[#This Row],[Age (days)]]&gt;Incidents[[#This Row],[SLA Threshold]],"NO","Yes")</f>
        <v>Yes</v>
      </c>
    </row>
    <row r="557" spans="1:15" x14ac:dyDescent="0.25">
      <c r="A557" s="17" t="s">
        <v>1192</v>
      </c>
      <c r="B557" s="1">
        <v>45264</v>
      </c>
      <c r="C557" s="8">
        <v>45270</v>
      </c>
      <c r="D557" t="s">
        <v>29</v>
      </c>
      <c r="E557" s="17" t="s">
        <v>30</v>
      </c>
      <c r="F557" s="49">
        <f t="shared" ca="1" si="8"/>
        <v>5</v>
      </c>
      <c r="G557" s="16" t="s">
        <v>31</v>
      </c>
      <c r="H557" s="11" t="s">
        <v>1193</v>
      </c>
      <c r="I557" t="s">
        <v>730</v>
      </c>
      <c r="J557" s="14" t="s">
        <v>136</v>
      </c>
      <c r="K557" t="s">
        <v>90</v>
      </c>
      <c r="L557" t="s">
        <v>36</v>
      </c>
      <c r="M557" t="str">
        <f>VLOOKUP(Incidents[[#This Row],[Ticket ID]],[1]Incidents!$A$2:$D$792,4,FALSE)</f>
        <v>4 - Low</v>
      </c>
      <c r="N557">
        <f>VLOOKUP(Incidents[[#This Row],[Priority]],'SLA Config'!$B$3:$C$6,2,FALSE)</f>
        <v>25</v>
      </c>
      <c r="O557" t="str">
        <f ca="1">IF(Incidents[[#This Row],[Age (days)]]&gt;Incidents[[#This Row],[SLA Threshold]],"NO","Yes")</f>
        <v>Yes</v>
      </c>
    </row>
    <row r="558" spans="1:15" x14ac:dyDescent="0.25">
      <c r="A558" s="2" t="s">
        <v>1194</v>
      </c>
      <c r="B558" s="1">
        <v>45288</v>
      </c>
      <c r="C558" s="8">
        <v>45294</v>
      </c>
      <c r="D558" t="s">
        <v>29</v>
      </c>
      <c r="E558" s="17" t="s">
        <v>30</v>
      </c>
      <c r="F558" s="49">
        <f t="shared" ca="1" si="8"/>
        <v>5</v>
      </c>
      <c r="G558" s="16" t="s">
        <v>31</v>
      </c>
      <c r="H558" s="11" t="s">
        <v>1195</v>
      </c>
      <c r="I558" t="s">
        <v>730</v>
      </c>
      <c r="J558" s="14" t="s">
        <v>136</v>
      </c>
      <c r="K558" t="s">
        <v>90</v>
      </c>
      <c r="L558" t="s">
        <v>36</v>
      </c>
      <c r="M558" t="str">
        <f>VLOOKUP(Incidents[[#This Row],[Ticket ID]],[1]Incidents!$A$2:$D$792,4,FALSE)</f>
        <v>4 - Low</v>
      </c>
      <c r="N558">
        <f>VLOOKUP(Incidents[[#This Row],[Priority]],'SLA Config'!$B$3:$C$6,2,FALSE)</f>
        <v>25</v>
      </c>
      <c r="O558" t="str">
        <f ca="1">IF(Incidents[[#This Row],[Age (days)]]&gt;Incidents[[#This Row],[SLA Threshold]],"NO","Yes")</f>
        <v>Yes</v>
      </c>
    </row>
    <row r="559" spans="1:15" x14ac:dyDescent="0.25">
      <c r="A559" s="2" t="s">
        <v>1196</v>
      </c>
      <c r="B559" s="1">
        <v>45288</v>
      </c>
      <c r="C559" s="8">
        <v>45294</v>
      </c>
      <c r="D559" t="s">
        <v>29</v>
      </c>
      <c r="E559" s="17" t="s">
        <v>30</v>
      </c>
      <c r="F559" s="49">
        <f t="shared" ca="1" si="8"/>
        <v>5</v>
      </c>
      <c r="G559" s="16" t="s">
        <v>31</v>
      </c>
      <c r="H559" s="11" t="s">
        <v>1197</v>
      </c>
      <c r="I559" t="s">
        <v>730</v>
      </c>
      <c r="J559" s="14" t="s">
        <v>136</v>
      </c>
      <c r="K559" t="s">
        <v>90</v>
      </c>
      <c r="L559" t="s">
        <v>36</v>
      </c>
      <c r="M559" t="str">
        <f>VLOOKUP(Incidents[[#This Row],[Ticket ID]],[1]Incidents!$A$2:$D$792,4,FALSE)</f>
        <v>4 - Low</v>
      </c>
      <c r="N559">
        <f>VLOOKUP(Incidents[[#This Row],[Priority]],'SLA Config'!$B$3:$C$6,2,FALSE)</f>
        <v>25</v>
      </c>
      <c r="O559" t="str">
        <f ca="1">IF(Incidents[[#This Row],[Age (days)]]&gt;Incidents[[#This Row],[SLA Threshold]],"NO","Yes")</f>
        <v>Yes</v>
      </c>
    </row>
    <row r="560" spans="1:15" x14ac:dyDescent="0.25">
      <c r="A560" s="19" t="s">
        <v>1198</v>
      </c>
      <c r="B560" s="1">
        <v>45299</v>
      </c>
      <c r="C560" s="8">
        <v>45304</v>
      </c>
      <c r="D560" t="s">
        <v>29</v>
      </c>
      <c r="E560" s="17" t="s">
        <v>30</v>
      </c>
      <c r="F560" s="49">
        <f t="shared" ca="1" si="8"/>
        <v>5</v>
      </c>
      <c r="G560" s="16" t="s">
        <v>31</v>
      </c>
      <c r="H560" s="11" t="s">
        <v>1199</v>
      </c>
      <c r="I560" t="s">
        <v>730</v>
      </c>
      <c r="J560" s="14" t="s">
        <v>136</v>
      </c>
      <c r="K560" t="s">
        <v>44</v>
      </c>
      <c r="L560" t="s">
        <v>36</v>
      </c>
      <c r="M560" t="str">
        <f>VLOOKUP(Incidents[[#This Row],[Ticket ID]],[1]Incidents!$A$2:$D$792,4,FALSE)</f>
        <v>4 - Low</v>
      </c>
      <c r="N560">
        <f>VLOOKUP(Incidents[[#This Row],[Priority]],'SLA Config'!$B$3:$C$6,2,FALSE)</f>
        <v>25</v>
      </c>
      <c r="O560" t="str">
        <f ca="1">IF(Incidents[[#This Row],[Age (days)]]&gt;Incidents[[#This Row],[SLA Threshold]],"NO","Yes")</f>
        <v>Yes</v>
      </c>
    </row>
    <row r="561" spans="1:15" x14ac:dyDescent="0.25">
      <c r="A561" s="19" t="s">
        <v>1200</v>
      </c>
      <c r="B561" s="1">
        <v>45299</v>
      </c>
      <c r="C561" s="8">
        <v>45304</v>
      </c>
      <c r="D561" t="s">
        <v>29</v>
      </c>
      <c r="E561" s="17" t="s">
        <v>30</v>
      </c>
      <c r="F561" s="49">
        <f t="shared" ca="1" si="8"/>
        <v>5</v>
      </c>
      <c r="G561" s="16" t="s">
        <v>31</v>
      </c>
      <c r="H561" s="11" t="s">
        <v>1201</v>
      </c>
      <c r="I561" t="s">
        <v>730</v>
      </c>
      <c r="J561" s="14" t="s">
        <v>136</v>
      </c>
      <c r="K561" t="s">
        <v>44</v>
      </c>
      <c r="L561" t="s">
        <v>36</v>
      </c>
      <c r="M561" t="str">
        <f>VLOOKUP(Incidents[[#This Row],[Ticket ID]],[1]Incidents!$A$2:$D$792,4,FALSE)</f>
        <v>4 - Low</v>
      </c>
      <c r="N561">
        <f>VLOOKUP(Incidents[[#This Row],[Priority]],'SLA Config'!$B$3:$C$6,2,FALSE)</f>
        <v>25</v>
      </c>
      <c r="O561" t="str">
        <f ca="1">IF(Incidents[[#This Row],[Age (days)]]&gt;Incidents[[#This Row],[SLA Threshold]],"NO","Yes")</f>
        <v>Yes</v>
      </c>
    </row>
    <row r="562" spans="1:15" x14ac:dyDescent="0.25">
      <c r="A562" s="19" t="s">
        <v>1202</v>
      </c>
      <c r="B562" s="1">
        <v>45321</v>
      </c>
      <c r="C562" s="8">
        <v>45327</v>
      </c>
      <c r="D562" t="s">
        <v>29</v>
      </c>
      <c r="E562" t="s">
        <v>30</v>
      </c>
      <c r="F562" s="49">
        <f t="shared" ca="1" si="8"/>
        <v>5</v>
      </c>
      <c r="G562" s="16" t="s">
        <v>31</v>
      </c>
      <c r="H562" s="11" t="s">
        <v>1203</v>
      </c>
      <c r="I562" t="s">
        <v>730</v>
      </c>
      <c r="J562" s="14" t="s">
        <v>136</v>
      </c>
      <c r="K562" t="s">
        <v>90</v>
      </c>
      <c r="L562" t="s">
        <v>36</v>
      </c>
      <c r="M562" t="str">
        <f>VLOOKUP(Incidents[[#This Row],[Ticket ID]],[1]Incidents!$A$2:$D$792,4,FALSE)</f>
        <v>4 - Low</v>
      </c>
      <c r="N562">
        <f>VLOOKUP(Incidents[[#This Row],[Priority]],'SLA Config'!$B$3:$C$6,2,FALSE)</f>
        <v>25</v>
      </c>
      <c r="O562" t="str">
        <f ca="1">IF(Incidents[[#This Row],[Age (days)]]&gt;Incidents[[#This Row],[SLA Threshold]],"NO","Yes")</f>
        <v>Yes</v>
      </c>
    </row>
    <row r="563" spans="1:15" x14ac:dyDescent="0.25">
      <c r="A563" s="19" t="s">
        <v>1204</v>
      </c>
      <c r="B563" s="1">
        <v>45321</v>
      </c>
      <c r="C563" s="8">
        <v>45327</v>
      </c>
      <c r="D563" t="s">
        <v>29</v>
      </c>
      <c r="E563" t="s">
        <v>30</v>
      </c>
      <c r="F563" s="49">
        <f t="shared" ca="1" si="8"/>
        <v>5</v>
      </c>
      <c r="G563" s="16" t="s">
        <v>31</v>
      </c>
      <c r="H563" s="11" t="s">
        <v>1205</v>
      </c>
      <c r="I563" t="s">
        <v>730</v>
      </c>
      <c r="J563" s="14" t="s">
        <v>136</v>
      </c>
      <c r="K563" t="s">
        <v>90</v>
      </c>
      <c r="L563" t="s">
        <v>36</v>
      </c>
      <c r="M563" t="str">
        <f>VLOOKUP(Incidents[[#This Row],[Ticket ID]],[1]Incidents!$A$2:$D$792,4,FALSE)</f>
        <v>4 - Low</v>
      </c>
      <c r="N563">
        <f>VLOOKUP(Incidents[[#This Row],[Priority]],'SLA Config'!$B$3:$C$6,2,FALSE)</f>
        <v>25</v>
      </c>
      <c r="O563" t="str">
        <f ca="1">IF(Incidents[[#This Row],[Age (days)]]&gt;Incidents[[#This Row],[SLA Threshold]],"NO","Yes")</f>
        <v>Yes</v>
      </c>
    </row>
    <row r="564" spans="1:15" x14ac:dyDescent="0.25">
      <c r="A564" s="2" t="s">
        <v>1206</v>
      </c>
      <c r="B564" s="1">
        <v>45330</v>
      </c>
      <c r="C564" s="8">
        <v>45336</v>
      </c>
      <c r="D564" t="s">
        <v>29</v>
      </c>
      <c r="E564" t="s">
        <v>30</v>
      </c>
      <c r="F564" s="49">
        <f t="shared" ca="1" si="8"/>
        <v>5</v>
      </c>
      <c r="G564" s="16" t="s">
        <v>31</v>
      </c>
      <c r="H564" s="11" t="s">
        <v>1207</v>
      </c>
      <c r="I564" t="s">
        <v>730</v>
      </c>
      <c r="J564" s="14" t="s">
        <v>136</v>
      </c>
      <c r="K564" t="s">
        <v>90</v>
      </c>
      <c r="L564" t="s">
        <v>36</v>
      </c>
      <c r="M564" t="str">
        <f>VLOOKUP(Incidents[[#This Row],[Ticket ID]],[1]Incidents!$A$2:$D$792,4,FALSE)</f>
        <v>4 - Low</v>
      </c>
      <c r="N564">
        <f>VLOOKUP(Incidents[[#This Row],[Priority]],'SLA Config'!$B$3:$C$6,2,FALSE)</f>
        <v>25</v>
      </c>
      <c r="O564" t="str">
        <f ca="1">IF(Incidents[[#This Row],[Age (days)]]&gt;Incidents[[#This Row],[SLA Threshold]],"NO","Yes")</f>
        <v>Yes</v>
      </c>
    </row>
    <row r="565" spans="1:15" x14ac:dyDescent="0.25">
      <c r="A565" s="2" t="s">
        <v>1208</v>
      </c>
      <c r="B565" s="1">
        <v>45363</v>
      </c>
      <c r="C565" s="8">
        <v>45369</v>
      </c>
      <c r="D565" t="s">
        <v>29</v>
      </c>
      <c r="E565" s="17" t="s">
        <v>38</v>
      </c>
      <c r="F565" s="49">
        <f t="shared" ca="1" si="8"/>
        <v>5</v>
      </c>
      <c r="G565" s="16" t="s">
        <v>31</v>
      </c>
      <c r="H565" t="s">
        <v>1209</v>
      </c>
      <c r="I565" t="s">
        <v>730</v>
      </c>
      <c r="J565" s="14" t="s">
        <v>136</v>
      </c>
      <c r="K565" t="s">
        <v>44</v>
      </c>
      <c r="L565" t="s">
        <v>36</v>
      </c>
      <c r="M565" t="str">
        <f>VLOOKUP(Incidents[[#This Row],[Ticket ID]],[1]Incidents!$A$2:$D$792,4,FALSE)</f>
        <v>2 - High</v>
      </c>
      <c r="N565">
        <f>VLOOKUP(Incidents[[#This Row],[Priority]],'SLA Config'!$B$3:$C$6,2,FALSE)</f>
        <v>5</v>
      </c>
      <c r="O565" t="str">
        <f ca="1">IF(Incidents[[#This Row],[Age (days)]]&gt;Incidents[[#This Row],[SLA Threshold]],"NO","Yes")</f>
        <v>Yes</v>
      </c>
    </row>
    <row r="566" spans="1:15" x14ac:dyDescent="0.25">
      <c r="A566" s="2" t="s">
        <v>1210</v>
      </c>
      <c r="B566" s="1">
        <v>45369</v>
      </c>
      <c r="C566" s="8">
        <v>45375</v>
      </c>
      <c r="D566" t="s">
        <v>29</v>
      </c>
      <c r="E566" t="s">
        <v>38</v>
      </c>
      <c r="F566" s="49">
        <f t="shared" ca="1" si="8"/>
        <v>5</v>
      </c>
      <c r="G566" s="16" t="s">
        <v>31</v>
      </c>
      <c r="H566" t="s">
        <v>1211</v>
      </c>
      <c r="I566" t="s">
        <v>730</v>
      </c>
      <c r="J566" s="14" t="s">
        <v>136</v>
      </c>
      <c r="K566" t="s">
        <v>41</v>
      </c>
      <c r="L566" t="s">
        <v>36</v>
      </c>
      <c r="M566" t="str">
        <f>VLOOKUP(Incidents[[#This Row],[Ticket ID]],[1]Incidents!$A$2:$D$792,4,FALSE)</f>
        <v>3 - Medium</v>
      </c>
      <c r="N566">
        <f>VLOOKUP(Incidents[[#This Row],[Priority]],'SLA Config'!$B$3:$C$6,2,FALSE)</f>
        <v>15</v>
      </c>
      <c r="O566" t="str">
        <f ca="1">IF(Incidents[[#This Row],[Age (days)]]&gt;Incidents[[#This Row],[SLA Threshold]],"NO","Yes")</f>
        <v>Yes</v>
      </c>
    </row>
    <row r="567" spans="1:15" x14ac:dyDescent="0.25">
      <c r="A567" s="19" t="s">
        <v>1212</v>
      </c>
      <c r="B567" s="8">
        <v>45399</v>
      </c>
      <c r="C567" s="8">
        <v>45405</v>
      </c>
      <c r="D567" t="s">
        <v>29</v>
      </c>
      <c r="E567" t="s">
        <v>38</v>
      </c>
      <c r="F567" s="49">
        <f t="shared" ca="1" si="8"/>
        <v>5</v>
      </c>
      <c r="G567" s="16" t="s">
        <v>31</v>
      </c>
      <c r="H567" s="11" t="s">
        <v>1213</v>
      </c>
      <c r="I567" t="s">
        <v>730</v>
      </c>
      <c r="J567" s="14" t="s">
        <v>136</v>
      </c>
      <c r="K567" t="s">
        <v>44</v>
      </c>
      <c r="L567" t="s">
        <v>36</v>
      </c>
      <c r="M567" t="str">
        <f>VLOOKUP(Incidents[[#This Row],[Ticket ID]],[1]Incidents!$A$2:$D$792,4,FALSE)</f>
        <v>3 - Medium</v>
      </c>
      <c r="N567">
        <f>VLOOKUP(Incidents[[#This Row],[Priority]],'SLA Config'!$B$3:$C$6,2,FALSE)</f>
        <v>15</v>
      </c>
      <c r="O567" t="str">
        <f ca="1">IF(Incidents[[#This Row],[Age (days)]]&gt;Incidents[[#This Row],[SLA Threshold]],"NO","Yes")</f>
        <v>Yes</v>
      </c>
    </row>
    <row r="568" spans="1:15" x14ac:dyDescent="0.25">
      <c r="A568" s="19" t="s">
        <v>1214</v>
      </c>
      <c r="B568" s="8">
        <v>45405</v>
      </c>
      <c r="C568" s="8">
        <v>45411</v>
      </c>
      <c r="D568" t="s">
        <v>29</v>
      </c>
      <c r="E568" t="s">
        <v>30</v>
      </c>
      <c r="F568" s="49">
        <f t="shared" ca="1" si="8"/>
        <v>5</v>
      </c>
      <c r="G568" s="16" t="s">
        <v>31</v>
      </c>
      <c r="H568" s="11" t="s">
        <v>1215</v>
      </c>
      <c r="I568" t="s">
        <v>730</v>
      </c>
      <c r="J568" s="14" t="s">
        <v>136</v>
      </c>
      <c r="K568" t="s">
        <v>90</v>
      </c>
      <c r="L568" t="s">
        <v>36</v>
      </c>
      <c r="M568" t="str">
        <f>VLOOKUP(Incidents[[#This Row],[Ticket ID]],[1]Incidents!$A$2:$D$792,4,FALSE)</f>
        <v>4 - Low</v>
      </c>
      <c r="N568">
        <f>VLOOKUP(Incidents[[#This Row],[Priority]],'SLA Config'!$B$3:$C$6,2,FALSE)</f>
        <v>25</v>
      </c>
      <c r="O568" t="str">
        <f ca="1">IF(Incidents[[#This Row],[Age (days)]]&gt;Incidents[[#This Row],[SLA Threshold]],"NO","Yes")</f>
        <v>Yes</v>
      </c>
    </row>
    <row r="569" spans="1:15" x14ac:dyDescent="0.25">
      <c r="A569" s="19" t="s">
        <v>1216</v>
      </c>
      <c r="B569" s="8">
        <v>45419</v>
      </c>
      <c r="C569" s="8">
        <v>45425</v>
      </c>
      <c r="D569" t="s">
        <v>29</v>
      </c>
      <c r="E569" t="s">
        <v>30</v>
      </c>
      <c r="F569" s="49">
        <f t="shared" ca="1" si="8"/>
        <v>5</v>
      </c>
      <c r="G569" s="16" t="s">
        <v>31</v>
      </c>
      <c r="H569" t="s">
        <v>1217</v>
      </c>
      <c r="I569" t="s">
        <v>730</v>
      </c>
      <c r="J569" s="14" t="s">
        <v>136</v>
      </c>
      <c r="K569" t="s">
        <v>90</v>
      </c>
      <c r="L569" t="s">
        <v>36</v>
      </c>
      <c r="M569" t="str">
        <f>VLOOKUP(Incidents[[#This Row],[Ticket ID]],[1]Incidents!$A$2:$D$792,4,FALSE)</f>
        <v>4 - Low</v>
      </c>
      <c r="N569">
        <f>VLOOKUP(Incidents[[#This Row],[Priority]],'SLA Config'!$B$3:$C$6,2,FALSE)</f>
        <v>25</v>
      </c>
      <c r="O569" t="str">
        <f ca="1">IF(Incidents[[#This Row],[Age (days)]]&gt;Incidents[[#This Row],[SLA Threshold]],"NO","Yes")</f>
        <v>Yes</v>
      </c>
    </row>
    <row r="570" spans="1:15" x14ac:dyDescent="0.25">
      <c r="A570" s="19" t="s">
        <v>1218</v>
      </c>
      <c r="B570" s="8">
        <v>45425</v>
      </c>
      <c r="C570" s="8">
        <v>45430</v>
      </c>
      <c r="D570" t="s">
        <v>29</v>
      </c>
      <c r="E570" t="s">
        <v>30</v>
      </c>
      <c r="F570" s="49">
        <f t="shared" ca="1" si="8"/>
        <v>5</v>
      </c>
      <c r="G570" s="16" t="s">
        <v>31</v>
      </c>
      <c r="H570" t="s">
        <v>1219</v>
      </c>
      <c r="I570" t="s">
        <v>730</v>
      </c>
      <c r="J570" s="14" t="s">
        <v>136</v>
      </c>
      <c r="K570" t="s">
        <v>90</v>
      </c>
      <c r="L570" t="s">
        <v>36</v>
      </c>
      <c r="M570" t="str">
        <f>VLOOKUP(Incidents[[#This Row],[Ticket ID]],[1]Incidents!$A$2:$D$792,4,FALSE)</f>
        <v>4 - Low</v>
      </c>
      <c r="N570">
        <f>VLOOKUP(Incidents[[#This Row],[Priority]],'SLA Config'!$B$3:$C$6,2,FALSE)</f>
        <v>25</v>
      </c>
      <c r="O570" t="str">
        <f ca="1">IF(Incidents[[#This Row],[Age (days)]]&gt;Incidents[[#This Row],[SLA Threshold]],"NO","Yes")</f>
        <v>Yes</v>
      </c>
    </row>
    <row r="571" spans="1:15" x14ac:dyDescent="0.25">
      <c r="A571" s="19" t="s">
        <v>1220</v>
      </c>
      <c r="B571" s="8">
        <v>45425</v>
      </c>
      <c r="C571" s="8">
        <v>45430</v>
      </c>
      <c r="D571" t="s">
        <v>29</v>
      </c>
      <c r="E571" t="s">
        <v>30</v>
      </c>
      <c r="F571" s="49">
        <f t="shared" ca="1" si="8"/>
        <v>5</v>
      </c>
      <c r="G571" s="16" t="s">
        <v>31</v>
      </c>
      <c r="H571" t="s">
        <v>1221</v>
      </c>
      <c r="I571" t="s">
        <v>730</v>
      </c>
      <c r="J571" s="14" t="s">
        <v>136</v>
      </c>
      <c r="K571" t="s">
        <v>90</v>
      </c>
      <c r="L571" t="s">
        <v>36</v>
      </c>
      <c r="M571" t="str">
        <f>VLOOKUP(Incidents[[#This Row],[Ticket ID]],[1]Incidents!$A$2:$D$792,4,FALSE)</f>
        <v>4 - Low</v>
      </c>
      <c r="N571">
        <f>VLOOKUP(Incidents[[#This Row],[Priority]],'SLA Config'!$B$3:$C$6,2,FALSE)</f>
        <v>25</v>
      </c>
      <c r="O571" t="str">
        <f ca="1">IF(Incidents[[#This Row],[Age (days)]]&gt;Incidents[[#This Row],[SLA Threshold]],"NO","Yes")</f>
        <v>Yes</v>
      </c>
    </row>
    <row r="572" spans="1:15" x14ac:dyDescent="0.25">
      <c r="A572" s="2" t="s">
        <v>1222</v>
      </c>
      <c r="B572" s="8">
        <v>45440</v>
      </c>
      <c r="C572" s="8">
        <v>45446</v>
      </c>
      <c r="D572" t="s">
        <v>29</v>
      </c>
      <c r="E572" t="s">
        <v>46</v>
      </c>
      <c r="F572" s="49">
        <f t="shared" ca="1" si="8"/>
        <v>5</v>
      </c>
      <c r="G572" s="16" t="s">
        <v>31</v>
      </c>
      <c r="H572" t="s">
        <v>1223</v>
      </c>
      <c r="I572" t="s">
        <v>730</v>
      </c>
      <c r="J572" s="14" t="s">
        <v>136</v>
      </c>
      <c r="K572" t="s">
        <v>35</v>
      </c>
      <c r="L572" t="s">
        <v>36</v>
      </c>
      <c r="M572" t="str">
        <f>VLOOKUP(Incidents[[#This Row],[Ticket ID]],[1]Incidents!$A$2:$D$792,4,FALSE)</f>
        <v>4 - Low</v>
      </c>
      <c r="N572">
        <f>VLOOKUP(Incidents[[#This Row],[Priority]],'SLA Config'!$B$3:$C$6,2,FALSE)</f>
        <v>25</v>
      </c>
      <c r="O572" t="str">
        <f ca="1">IF(Incidents[[#This Row],[Age (days)]]&gt;Incidents[[#This Row],[SLA Threshold]],"NO","Yes")</f>
        <v>Yes</v>
      </c>
    </row>
    <row r="573" spans="1:15" x14ac:dyDescent="0.25">
      <c r="A573" s="2" t="s">
        <v>1224</v>
      </c>
      <c r="B573" s="8">
        <v>45441</v>
      </c>
      <c r="C573" s="8">
        <v>45447</v>
      </c>
      <c r="D573" t="s">
        <v>29</v>
      </c>
      <c r="E573" t="s">
        <v>46</v>
      </c>
      <c r="F573" s="49">
        <f t="shared" ca="1" si="8"/>
        <v>5</v>
      </c>
      <c r="G573" s="16" t="s">
        <v>31</v>
      </c>
      <c r="H573" t="s">
        <v>1225</v>
      </c>
      <c r="I573" t="s">
        <v>730</v>
      </c>
      <c r="J573" s="14" t="s">
        <v>136</v>
      </c>
      <c r="K573" t="s">
        <v>35</v>
      </c>
      <c r="L573" t="s">
        <v>36</v>
      </c>
      <c r="M573" t="str">
        <f>VLOOKUP(Incidents[[#This Row],[Ticket ID]],[1]Incidents!$A$2:$D$792,4,FALSE)</f>
        <v>4 - Low</v>
      </c>
      <c r="N573">
        <f>VLOOKUP(Incidents[[#This Row],[Priority]],'SLA Config'!$B$3:$C$6,2,FALSE)</f>
        <v>25</v>
      </c>
      <c r="O573" t="str">
        <f ca="1">IF(Incidents[[#This Row],[Age (days)]]&gt;Incidents[[#This Row],[SLA Threshold]],"NO","Yes")</f>
        <v>Yes</v>
      </c>
    </row>
    <row r="574" spans="1:15" x14ac:dyDescent="0.25">
      <c r="A574" s="2" t="s">
        <v>1226</v>
      </c>
      <c r="B574" s="8">
        <v>45441</v>
      </c>
      <c r="C574" s="8">
        <v>45447</v>
      </c>
      <c r="D574" t="s">
        <v>29</v>
      </c>
      <c r="E574" t="s">
        <v>46</v>
      </c>
      <c r="F574" s="49">
        <f t="shared" ca="1" si="8"/>
        <v>5</v>
      </c>
      <c r="G574" s="16" t="s">
        <v>31</v>
      </c>
      <c r="H574" t="s">
        <v>1223</v>
      </c>
      <c r="I574" t="s">
        <v>730</v>
      </c>
      <c r="J574" s="20" t="s">
        <v>136</v>
      </c>
      <c r="K574" t="s">
        <v>35</v>
      </c>
      <c r="L574" t="s">
        <v>36</v>
      </c>
      <c r="M574" t="str">
        <f>VLOOKUP(Incidents[[#This Row],[Ticket ID]],[1]Incidents!$A$2:$D$792,4,FALSE)</f>
        <v>4 - Low</v>
      </c>
      <c r="N574">
        <f>VLOOKUP(Incidents[[#This Row],[Priority]],'SLA Config'!$B$3:$C$6,2,FALSE)</f>
        <v>25</v>
      </c>
      <c r="O574" t="str">
        <f ca="1">IF(Incidents[[#This Row],[Age (days)]]&gt;Incidents[[#This Row],[SLA Threshold]],"NO","Yes")</f>
        <v>Yes</v>
      </c>
    </row>
    <row r="575" spans="1:15" x14ac:dyDescent="0.25">
      <c r="A575" s="19" t="s">
        <v>1227</v>
      </c>
      <c r="B575" s="8">
        <v>45495</v>
      </c>
      <c r="C575" s="8">
        <v>45500</v>
      </c>
      <c r="D575" t="s">
        <v>29</v>
      </c>
      <c r="E575" t="s">
        <v>46</v>
      </c>
      <c r="F575" s="49">
        <f t="shared" ca="1" si="8"/>
        <v>5</v>
      </c>
      <c r="G575" s="16" t="s">
        <v>31</v>
      </c>
      <c r="H575" t="s">
        <v>1228</v>
      </c>
      <c r="I575" t="s">
        <v>730</v>
      </c>
      <c r="J575" s="20" t="s">
        <v>136</v>
      </c>
      <c r="K575" t="s">
        <v>35</v>
      </c>
      <c r="L575" t="s">
        <v>36</v>
      </c>
      <c r="M575" t="str">
        <f>VLOOKUP(Incidents[[#This Row],[Ticket ID]],[1]Incidents!$A$2:$D$792,4,FALSE)</f>
        <v>4 - Low</v>
      </c>
      <c r="N575">
        <f>VLOOKUP(Incidents[[#This Row],[Priority]],'SLA Config'!$B$3:$C$6,2,FALSE)</f>
        <v>25</v>
      </c>
      <c r="O575" t="str">
        <f ca="1">IF(Incidents[[#This Row],[Age (days)]]&gt;Incidents[[#This Row],[SLA Threshold]],"NO","Yes")</f>
        <v>Yes</v>
      </c>
    </row>
    <row r="576" spans="1:15" x14ac:dyDescent="0.25">
      <c r="A576" s="19" t="s">
        <v>1229</v>
      </c>
      <c r="B576" s="8">
        <v>45495</v>
      </c>
      <c r="C576" s="8">
        <v>45501</v>
      </c>
      <c r="D576" t="s">
        <v>29</v>
      </c>
      <c r="E576" t="s">
        <v>46</v>
      </c>
      <c r="F576" s="49">
        <f t="shared" ca="1" si="8"/>
        <v>5</v>
      </c>
      <c r="G576" s="16" t="s">
        <v>31</v>
      </c>
      <c r="H576" t="s">
        <v>1230</v>
      </c>
      <c r="I576" t="s">
        <v>730</v>
      </c>
      <c r="J576" s="20" t="s">
        <v>136</v>
      </c>
      <c r="K576" t="s">
        <v>35</v>
      </c>
      <c r="L576" t="s">
        <v>36</v>
      </c>
      <c r="M576" t="str">
        <f>VLOOKUP(Incidents[[#This Row],[Ticket ID]],[1]Incidents!$A$2:$D$792,4,FALSE)</f>
        <v>4 - Low</v>
      </c>
      <c r="N576">
        <f>VLOOKUP(Incidents[[#This Row],[Priority]],'SLA Config'!$B$3:$C$6,2,FALSE)</f>
        <v>25</v>
      </c>
      <c r="O576" t="str">
        <f ca="1">IF(Incidents[[#This Row],[Age (days)]]&gt;Incidents[[#This Row],[SLA Threshold]],"NO","Yes")</f>
        <v>Yes</v>
      </c>
    </row>
    <row r="577" spans="1:15" x14ac:dyDescent="0.25">
      <c r="A577" s="19" t="s">
        <v>1231</v>
      </c>
      <c r="B577" s="8">
        <v>45495</v>
      </c>
      <c r="C577" s="8">
        <v>45501</v>
      </c>
      <c r="D577" t="s">
        <v>29</v>
      </c>
      <c r="E577" t="s">
        <v>46</v>
      </c>
      <c r="F577" s="49">
        <f t="shared" ca="1" si="8"/>
        <v>5</v>
      </c>
      <c r="G577" s="16" t="s">
        <v>31</v>
      </c>
      <c r="H577" t="s">
        <v>1232</v>
      </c>
      <c r="I577" t="s">
        <v>730</v>
      </c>
      <c r="J577" s="20" t="s">
        <v>136</v>
      </c>
      <c r="K577" t="s">
        <v>35</v>
      </c>
      <c r="L577" t="s">
        <v>36</v>
      </c>
      <c r="M577" t="str">
        <f>VLOOKUP(Incidents[[#This Row],[Ticket ID]],[1]Incidents!$A$2:$D$792,4,FALSE)</f>
        <v>4 - Low</v>
      </c>
      <c r="N577">
        <f>VLOOKUP(Incidents[[#This Row],[Priority]],'SLA Config'!$B$3:$C$6,2,FALSE)</f>
        <v>25</v>
      </c>
      <c r="O577" t="str">
        <f ca="1">IF(Incidents[[#This Row],[Age (days)]]&gt;Incidents[[#This Row],[SLA Threshold]],"NO","Yes")</f>
        <v>Yes</v>
      </c>
    </row>
    <row r="578" spans="1:15" x14ac:dyDescent="0.25">
      <c r="A578" s="19" t="s">
        <v>1233</v>
      </c>
      <c r="B578" s="8">
        <v>45509</v>
      </c>
      <c r="C578" s="8">
        <v>45515</v>
      </c>
      <c r="D578" t="s">
        <v>29</v>
      </c>
      <c r="E578" t="s">
        <v>46</v>
      </c>
      <c r="F578" s="49">
        <f t="shared" ref="F578:F641" ca="1" si="9">IF(ISBLANK(C578), NETWORKDAYS(B578,TODAY()), NETWORKDAYS(B578,C578))</f>
        <v>5</v>
      </c>
      <c r="G578" s="16" t="s">
        <v>31</v>
      </c>
      <c r="H578" t="s">
        <v>1234</v>
      </c>
      <c r="I578" t="s">
        <v>730</v>
      </c>
      <c r="J578" s="20" t="s">
        <v>136</v>
      </c>
      <c r="K578" t="s">
        <v>35</v>
      </c>
      <c r="L578" s="27" t="s">
        <v>36</v>
      </c>
      <c r="M578" t="str">
        <f>VLOOKUP(Incidents[[#This Row],[Ticket ID]],[1]Incidents!$A$2:$D$792,4,FALSE)</f>
        <v>4 - Low</v>
      </c>
      <c r="N578">
        <f>VLOOKUP(Incidents[[#This Row],[Priority]],'SLA Config'!$B$3:$C$6,2,FALSE)</f>
        <v>25</v>
      </c>
      <c r="O578" t="str">
        <f ca="1">IF(Incidents[[#This Row],[Age (days)]]&gt;Incidents[[#This Row],[SLA Threshold]],"NO","Yes")</f>
        <v>Yes</v>
      </c>
    </row>
    <row r="579" spans="1:15" x14ac:dyDescent="0.25">
      <c r="A579" s="19" t="s">
        <v>1235</v>
      </c>
      <c r="B579" s="8">
        <v>45509</v>
      </c>
      <c r="C579" s="8">
        <v>45515</v>
      </c>
      <c r="D579" t="s">
        <v>29</v>
      </c>
      <c r="E579" t="s">
        <v>46</v>
      </c>
      <c r="F579" s="49">
        <f t="shared" ca="1" si="9"/>
        <v>5</v>
      </c>
      <c r="G579" s="16" t="s">
        <v>31</v>
      </c>
      <c r="H579" t="s">
        <v>1236</v>
      </c>
      <c r="I579" t="s">
        <v>730</v>
      </c>
      <c r="J579" s="20" t="s">
        <v>136</v>
      </c>
      <c r="K579" t="s">
        <v>35</v>
      </c>
      <c r="L579" s="27" t="s">
        <v>36</v>
      </c>
      <c r="M579" t="str">
        <f>VLOOKUP(Incidents[[#This Row],[Ticket ID]],[1]Incidents!$A$2:$D$792,4,FALSE)</f>
        <v>4 - Low</v>
      </c>
      <c r="N579">
        <f>VLOOKUP(Incidents[[#This Row],[Priority]],'SLA Config'!$B$3:$C$6,2,FALSE)</f>
        <v>25</v>
      </c>
      <c r="O579" t="str">
        <f ca="1">IF(Incidents[[#This Row],[Age (days)]]&gt;Incidents[[#This Row],[SLA Threshold]],"NO","Yes")</f>
        <v>Yes</v>
      </c>
    </row>
    <row r="580" spans="1:15" x14ac:dyDescent="0.25">
      <c r="A580" s="19" t="s">
        <v>1237</v>
      </c>
      <c r="B580" s="8">
        <v>45517</v>
      </c>
      <c r="C580" s="8">
        <v>45523</v>
      </c>
      <c r="D580" t="s">
        <v>29</v>
      </c>
      <c r="E580" t="s">
        <v>46</v>
      </c>
      <c r="F580" s="49">
        <f t="shared" ca="1" si="9"/>
        <v>5</v>
      </c>
      <c r="G580" s="16" t="s">
        <v>31</v>
      </c>
      <c r="H580" s="11" t="s">
        <v>1238</v>
      </c>
      <c r="I580" t="s">
        <v>730</v>
      </c>
      <c r="J580" s="20" t="s">
        <v>136</v>
      </c>
      <c r="K580" t="s">
        <v>35</v>
      </c>
      <c r="L580" s="27" t="s">
        <v>36</v>
      </c>
      <c r="M580" t="str">
        <f>VLOOKUP(Incidents[[#This Row],[Ticket ID]],[1]Incidents!$A$2:$D$792,4,FALSE)</f>
        <v>4 - Low</v>
      </c>
      <c r="N580">
        <f>VLOOKUP(Incidents[[#This Row],[Priority]],'SLA Config'!$B$3:$C$6,2,FALSE)</f>
        <v>25</v>
      </c>
      <c r="O580" t="str">
        <f ca="1">IF(Incidents[[#This Row],[Age (days)]]&gt;Incidents[[#This Row],[SLA Threshold]],"NO","Yes")</f>
        <v>Yes</v>
      </c>
    </row>
    <row r="581" spans="1:15" x14ac:dyDescent="0.25">
      <c r="A581" s="19" t="s">
        <v>1239</v>
      </c>
      <c r="B581" s="8">
        <v>45528</v>
      </c>
      <c r="C581" s="8">
        <v>45535</v>
      </c>
      <c r="D581" t="s">
        <v>29</v>
      </c>
      <c r="E581" t="s">
        <v>38</v>
      </c>
      <c r="F581" s="49">
        <f t="shared" ca="1" si="9"/>
        <v>5</v>
      </c>
      <c r="G581" s="16" t="s">
        <v>31</v>
      </c>
      <c r="H581" t="s">
        <v>896</v>
      </c>
      <c r="I581" t="s">
        <v>730</v>
      </c>
      <c r="J581" s="20" t="s">
        <v>136</v>
      </c>
      <c r="K581" t="s">
        <v>717</v>
      </c>
      <c r="L581" s="27" t="s">
        <v>36</v>
      </c>
      <c r="M581" t="str">
        <f>VLOOKUP(Incidents[[#This Row],[Ticket ID]],[1]Incidents!$A$2:$D$792,4,FALSE)</f>
        <v>4 - Low</v>
      </c>
      <c r="N581">
        <f>VLOOKUP(Incidents[[#This Row],[Priority]],'SLA Config'!$B$3:$C$6,2,FALSE)</f>
        <v>25</v>
      </c>
      <c r="O581" t="str">
        <f ca="1">IF(Incidents[[#This Row],[Age (days)]]&gt;Incidents[[#This Row],[SLA Threshold]],"NO","Yes")</f>
        <v>Yes</v>
      </c>
    </row>
    <row r="582" spans="1:15" x14ac:dyDescent="0.25">
      <c r="A582" s="19" t="s">
        <v>1240</v>
      </c>
      <c r="B582" s="8">
        <v>45535</v>
      </c>
      <c r="C582" s="8">
        <v>45543</v>
      </c>
      <c r="D582" t="s">
        <v>29</v>
      </c>
      <c r="E582" t="s">
        <v>46</v>
      </c>
      <c r="F582" s="49">
        <f t="shared" ca="1" si="9"/>
        <v>5</v>
      </c>
      <c r="G582" s="16" t="s">
        <v>31</v>
      </c>
      <c r="H582" t="s">
        <v>1105</v>
      </c>
      <c r="I582" t="s">
        <v>730</v>
      </c>
      <c r="J582" s="20" t="s">
        <v>136</v>
      </c>
      <c r="K582" t="s">
        <v>717</v>
      </c>
      <c r="L582" s="27" t="s">
        <v>36</v>
      </c>
      <c r="M582" t="str">
        <f>VLOOKUP(Incidents[[#This Row],[Ticket ID]],[1]Incidents!$A$2:$D$792,4,FALSE)</f>
        <v>4 - Low</v>
      </c>
      <c r="N582">
        <f>VLOOKUP(Incidents[[#This Row],[Priority]],'SLA Config'!$B$3:$C$6,2,FALSE)</f>
        <v>25</v>
      </c>
      <c r="O582" t="str">
        <f ca="1">IF(Incidents[[#This Row],[Age (days)]]&gt;Incidents[[#This Row],[SLA Threshold]],"NO","Yes")</f>
        <v>Yes</v>
      </c>
    </row>
    <row r="583" spans="1:15" x14ac:dyDescent="0.25">
      <c r="A583" s="19" t="s">
        <v>1241</v>
      </c>
      <c r="B583" s="8">
        <v>45535</v>
      </c>
      <c r="C583" s="8">
        <v>45543</v>
      </c>
      <c r="D583" t="s">
        <v>29</v>
      </c>
      <c r="E583" t="s">
        <v>46</v>
      </c>
      <c r="F583" s="49">
        <f t="shared" ca="1" si="9"/>
        <v>5</v>
      </c>
      <c r="G583" s="16" t="s">
        <v>31</v>
      </c>
      <c r="H583" t="s">
        <v>1099</v>
      </c>
      <c r="I583" t="s">
        <v>730</v>
      </c>
      <c r="J583" s="20" t="s">
        <v>136</v>
      </c>
      <c r="K583" t="s">
        <v>717</v>
      </c>
      <c r="L583" s="27" t="s">
        <v>36</v>
      </c>
      <c r="M583" t="str">
        <f>VLOOKUP(Incidents[[#This Row],[Ticket ID]],[1]Incidents!$A$2:$D$792,4,FALSE)</f>
        <v>4 - Low</v>
      </c>
      <c r="N583">
        <f>VLOOKUP(Incidents[[#This Row],[Priority]],'SLA Config'!$B$3:$C$6,2,FALSE)</f>
        <v>25</v>
      </c>
      <c r="O583" t="str">
        <f ca="1">IF(Incidents[[#This Row],[Age (days)]]&gt;Incidents[[#This Row],[SLA Threshold]],"NO","Yes")</f>
        <v>Yes</v>
      </c>
    </row>
    <row r="584" spans="1:15" x14ac:dyDescent="0.25">
      <c r="A584" s="2" t="s">
        <v>1242</v>
      </c>
      <c r="B584" s="1">
        <v>45542</v>
      </c>
      <c r="C584" s="8">
        <v>45549</v>
      </c>
      <c r="D584" t="s">
        <v>29</v>
      </c>
      <c r="E584" t="s">
        <v>324</v>
      </c>
      <c r="F584" s="49">
        <f t="shared" ca="1" si="9"/>
        <v>5</v>
      </c>
      <c r="G584" t="s">
        <v>31</v>
      </c>
      <c r="H584" t="s">
        <v>896</v>
      </c>
      <c r="I584" t="s">
        <v>730</v>
      </c>
      <c r="J584" s="20" t="s">
        <v>136</v>
      </c>
      <c r="K584" t="s">
        <v>717</v>
      </c>
      <c r="L584" t="s">
        <v>36</v>
      </c>
      <c r="M584" t="str">
        <f>VLOOKUP(Incidents[[#This Row],[Ticket ID]],[1]Incidents!$A$2:$D$792,4,FALSE)</f>
        <v>4 - Low</v>
      </c>
      <c r="N584">
        <f>VLOOKUP(Incidents[[#This Row],[Priority]],'SLA Config'!$B$3:$C$6,2,FALSE)</f>
        <v>25</v>
      </c>
      <c r="O584" t="str">
        <f ca="1">IF(Incidents[[#This Row],[Age (days)]]&gt;Incidents[[#This Row],[SLA Threshold]],"NO","Yes")</f>
        <v>Yes</v>
      </c>
    </row>
    <row r="585" spans="1:15" x14ac:dyDescent="0.25">
      <c r="A585" s="2" t="s">
        <v>1243</v>
      </c>
      <c r="B585" s="1">
        <v>45549</v>
      </c>
      <c r="C585" s="8">
        <v>45556</v>
      </c>
      <c r="D585" t="s">
        <v>29</v>
      </c>
      <c r="E585" t="s">
        <v>46</v>
      </c>
      <c r="F585" s="49">
        <f t="shared" ca="1" si="9"/>
        <v>5</v>
      </c>
      <c r="G585" t="s">
        <v>31</v>
      </c>
      <c r="H585" t="s">
        <v>896</v>
      </c>
      <c r="I585" t="s">
        <v>730</v>
      </c>
      <c r="J585" s="20" t="s">
        <v>136</v>
      </c>
      <c r="K585" t="s">
        <v>717</v>
      </c>
      <c r="L585" t="s">
        <v>36</v>
      </c>
      <c r="M585" t="str">
        <f>VLOOKUP(Incidents[[#This Row],[Ticket ID]],[1]Incidents!$A$2:$D$792,4,FALSE)</f>
        <v>4 - Low</v>
      </c>
      <c r="N585">
        <f>VLOOKUP(Incidents[[#This Row],[Priority]],'SLA Config'!$B$3:$C$6,2,FALSE)</f>
        <v>25</v>
      </c>
      <c r="O585" t="str">
        <f ca="1">IF(Incidents[[#This Row],[Age (days)]]&gt;Incidents[[#This Row],[SLA Threshold]],"NO","Yes")</f>
        <v>Yes</v>
      </c>
    </row>
    <row r="586" spans="1:15" x14ac:dyDescent="0.25">
      <c r="A586" s="2" t="s">
        <v>1244</v>
      </c>
      <c r="B586" s="1">
        <v>45549</v>
      </c>
      <c r="C586" s="8">
        <v>45557</v>
      </c>
      <c r="D586" t="s">
        <v>29</v>
      </c>
      <c r="E586" t="s">
        <v>46</v>
      </c>
      <c r="F586" s="49">
        <f t="shared" ca="1" si="9"/>
        <v>5</v>
      </c>
      <c r="G586" t="s">
        <v>31</v>
      </c>
      <c r="H586" t="s">
        <v>799</v>
      </c>
      <c r="I586" t="s">
        <v>730</v>
      </c>
      <c r="J586" s="20" t="s">
        <v>136</v>
      </c>
      <c r="K586" t="s">
        <v>717</v>
      </c>
      <c r="L586" t="s">
        <v>36</v>
      </c>
      <c r="M586" t="str">
        <f>VLOOKUP(Incidents[[#This Row],[Ticket ID]],[1]Incidents!$A$2:$D$792,4,FALSE)</f>
        <v>4 - Low</v>
      </c>
      <c r="N586">
        <f>VLOOKUP(Incidents[[#This Row],[Priority]],'SLA Config'!$B$3:$C$6,2,FALSE)</f>
        <v>25</v>
      </c>
      <c r="O586" t="str">
        <f ca="1">IF(Incidents[[#This Row],[Age (days)]]&gt;Incidents[[#This Row],[SLA Threshold]],"NO","Yes")</f>
        <v>Yes</v>
      </c>
    </row>
    <row r="587" spans="1:15" x14ac:dyDescent="0.25">
      <c r="A587" s="19" t="s">
        <v>1245</v>
      </c>
      <c r="B587" s="8">
        <v>45567</v>
      </c>
      <c r="C587" s="8">
        <v>45573</v>
      </c>
      <c r="D587" t="s">
        <v>29</v>
      </c>
      <c r="E587" s="17" t="s">
        <v>38</v>
      </c>
      <c r="F587" s="49">
        <f t="shared" ca="1" si="9"/>
        <v>5</v>
      </c>
      <c r="G587" s="16" t="s">
        <v>31</v>
      </c>
      <c r="H587" s="11" t="s">
        <v>716</v>
      </c>
      <c r="I587" t="s">
        <v>730</v>
      </c>
      <c r="J587" s="20" t="s">
        <v>136</v>
      </c>
      <c r="K587" s="17" t="s">
        <v>717</v>
      </c>
      <c r="L587" t="s">
        <v>36</v>
      </c>
      <c r="M587" t="str">
        <f>VLOOKUP(Incidents[[#This Row],[Ticket ID]],[1]Incidents!$A$2:$D$792,4,FALSE)</f>
        <v>4 - Low</v>
      </c>
      <c r="N587">
        <f>VLOOKUP(Incidents[[#This Row],[Priority]],'SLA Config'!$B$3:$C$6,2,FALSE)</f>
        <v>25</v>
      </c>
      <c r="O587" t="str">
        <f ca="1">IF(Incidents[[#This Row],[Age (days)]]&gt;Incidents[[#This Row],[SLA Threshold]],"NO","Yes")</f>
        <v>Yes</v>
      </c>
    </row>
    <row r="588" spans="1:15" x14ac:dyDescent="0.25">
      <c r="A588" s="19" t="s">
        <v>1246</v>
      </c>
      <c r="B588" s="8">
        <v>45567</v>
      </c>
      <c r="C588" s="8">
        <v>45573</v>
      </c>
      <c r="D588" t="s">
        <v>29</v>
      </c>
      <c r="E588" s="17" t="s">
        <v>46</v>
      </c>
      <c r="F588" s="49">
        <f t="shared" ca="1" si="9"/>
        <v>5</v>
      </c>
      <c r="G588" s="16" t="s">
        <v>31</v>
      </c>
      <c r="H588" s="11" t="s">
        <v>1099</v>
      </c>
      <c r="I588" t="s">
        <v>730</v>
      </c>
      <c r="J588" s="20" t="s">
        <v>136</v>
      </c>
      <c r="K588" s="17" t="s">
        <v>717</v>
      </c>
      <c r="L588" t="s">
        <v>36</v>
      </c>
      <c r="M588" t="str">
        <f>VLOOKUP(Incidents[[#This Row],[Ticket ID]],[1]Incidents!$A$2:$D$792,4,FALSE)</f>
        <v>4 - Low</v>
      </c>
      <c r="N588">
        <f>VLOOKUP(Incidents[[#This Row],[Priority]],'SLA Config'!$B$3:$C$6,2,FALSE)</f>
        <v>25</v>
      </c>
      <c r="O588" t="str">
        <f ca="1">IF(Incidents[[#This Row],[Age (days)]]&gt;Incidents[[#This Row],[SLA Threshold]],"NO","Yes")</f>
        <v>Yes</v>
      </c>
    </row>
    <row r="589" spans="1:15" x14ac:dyDescent="0.25">
      <c r="A589" s="2" t="s">
        <v>1247</v>
      </c>
      <c r="B589" s="8">
        <v>45579</v>
      </c>
      <c r="C589" s="8">
        <v>45584</v>
      </c>
      <c r="D589" t="s">
        <v>29</v>
      </c>
      <c r="E589" t="s">
        <v>38</v>
      </c>
      <c r="F589" s="49">
        <f t="shared" ca="1" si="9"/>
        <v>5</v>
      </c>
      <c r="G589" s="16" t="s">
        <v>31</v>
      </c>
      <c r="H589" t="s">
        <v>799</v>
      </c>
      <c r="I589" t="s">
        <v>730</v>
      </c>
      <c r="J589" s="20" t="s">
        <v>136</v>
      </c>
      <c r="K589" t="s">
        <v>717</v>
      </c>
      <c r="L589" t="s">
        <v>36</v>
      </c>
      <c r="M589" t="str">
        <f>VLOOKUP(Incidents[[#This Row],[Ticket ID]],[1]Incidents!$A$2:$D$792,4,FALSE)</f>
        <v>4 - Low</v>
      </c>
      <c r="N589">
        <f>VLOOKUP(Incidents[[#This Row],[Priority]],'SLA Config'!$B$3:$C$6,2,FALSE)</f>
        <v>25</v>
      </c>
      <c r="O589" t="str">
        <f ca="1">IF(Incidents[[#This Row],[Age (days)]]&gt;Incidents[[#This Row],[SLA Threshold]],"NO","Yes")</f>
        <v>Yes</v>
      </c>
    </row>
    <row r="590" spans="1:15" x14ac:dyDescent="0.25">
      <c r="A590" s="19" t="s">
        <v>1248</v>
      </c>
      <c r="B590" s="8">
        <v>45589</v>
      </c>
      <c r="C590" s="8">
        <v>45595</v>
      </c>
      <c r="D590" t="s">
        <v>29</v>
      </c>
      <c r="E590" t="s">
        <v>38</v>
      </c>
      <c r="F590" s="49">
        <f t="shared" ca="1" si="9"/>
        <v>5</v>
      </c>
      <c r="G590" s="16" t="s">
        <v>31</v>
      </c>
      <c r="H590" t="s">
        <v>896</v>
      </c>
      <c r="I590" t="s">
        <v>730</v>
      </c>
      <c r="J590" s="20" t="s">
        <v>136</v>
      </c>
      <c r="K590" t="s">
        <v>717</v>
      </c>
      <c r="L590" t="s">
        <v>36</v>
      </c>
      <c r="M590" t="str">
        <f>VLOOKUP(Incidents[[#This Row],[Ticket ID]],[1]Incidents!$A$2:$D$792,4,FALSE)</f>
        <v>4 - Low</v>
      </c>
      <c r="N590">
        <f>VLOOKUP(Incidents[[#This Row],[Priority]],'SLA Config'!$B$3:$C$6,2,FALSE)</f>
        <v>25</v>
      </c>
      <c r="O590" t="str">
        <f ca="1">IF(Incidents[[#This Row],[Age (days)]]&gt;Incidents[[#This Row],[SLA Threshold]],"NO","Yes")</f>
        <v>Yes</v>
      </c>
    </row>
    <row r="591" spans="1:15" x14ac:dyDescent="0.25">
      <c r="A591" s="19" t="s">
        <v>1249</v>
      </c>
      <c r="B591" s="8">
        <v>45591</v>
      </c>
      <c r="C591" s="8">
        <v>45598</v>
      </c>
      <c r="D591" t="s">
        <v>29</v>
      </c>
      <c r="E591" t="s">
        <v>38</v>
      </c>
      <c r="F591" s="49">
        <f t="shared" ca="1" si="9"/>
        <v>5</v>
      </c>
      <c r="G591" s="16" t="s">
        <v>31</v>
      </c>
      <c r="H591" t="s">
        <v>896</v>
      </c>
      <c r="I591" t="s">
        <v>730</v>
      </c>
      <c r="J591" s="20" t="s">
        <v>136</v>
      </c>
      <c r="K591" t="s">
        <v>717</v>
      </c>
      <c r="L591" t="s">
        <v>36</v>
      </c>
      <c r="M591" t="str">
        <f>VLOOKUP(Incidents[[#This Row],[Ticket ID]],[1]Incidents!$A$2:$D$792,4,FALSE)</f>
        <v>4 - Low</v>
      </c>
      <c r="N591">
        <f>VLOOKUP(Incidents[[#This Row],[Priority]],'SLA Config'!$B$3:$C$6,2,FALSE)</f>
        <v>25</v>
      </c>
      <c r="O591" t="str">
        <f ca="1">IF(Incidents[[#This Row],[Age (days)]]&gt;Incidents[[#This Row],[SLA Threshold]],"NO","Yes")</f>
        <v>Yes</v>
      </c>
    </row>
    <row r="592" spans="1:15" x14ac:dyDescent="0.25">
      <c r="A592" s="19" t="s">
        <v>1250</v>
      </c>
      <c r="B592" s="8">
        <v>45591</v>
      </c>
      <c r="C592" s="8">
        <v>45598</v>
      </c>
      <c r="D592" t="s">
        <v>29</v>
      </c>
      <c r="E592" t="s">
        <v>38</v>
      </c>
      <c r="F592" s="49">
        <f t="shared" ca="1" si="9"/>
        <v>5</v>
      </c>
      <c r="G592" s="16" t="s">
        <v>31</v>
      </c>
      <c r="H592" t="s">
        <v>716</v>
      </c>
      <c r="I592" t="s">
        <v>730</v>
      </c>
      <c r="J592" s="20" t="s">
        <v>136</v>
      </c>
      <c r="K592" t="s">
        <v>717</v>
      </c>
      <c r="L592" t="s">
        <v>36</v>
      </c>
      <c r="M592" t="str">
        <f>VLOOKUP(Incidents[[#This Row],[Ticket ID]],[1]Incidents!$A$2:$D$792,4,FALSE)</f>
        <v>4 - Low</v>
      </c>
      <c r="N592">
        <f>VLOOKUP(Incidents[[#This Row],[Priority]],'SLA Config'!$B$3:$C$6,2,FALSE)</f>
        <v>25</v>
      </c>
      <c r="O592" t="str">
        <f ca="1">IF(Incidents[[#This Row],[Age (days)]]&gt;Incidents[[#This Row],[SLA Threshold]],"NO","Yes")</f>
        <v>Yes</v>
      </c>
    </row>
    <row r="593" spans="1:15" x14ac:dyDescent="0.25">
      <c r="A593" s="19" t="s">
        <v>1251</v>
      </c>
      <c r="B593" s="8">
        <v>45593</v>
      </c>
      <c r="C593" s="8">
        <v>45599</v>
      </c>
      <c r="D593" t="s">
        <v>29</v>
      </c>
      <c r="E593" t="s">
        <v>38</v>
      </c>
      <c r="F593" s="49">
        <f t="shared" ca="1" si="9"/>
        <v>5</v>
      </c>
      <c r="G593" s="16" t="s">
        <v>31</v>
      </c>
      <c r="H593" t="s">
        <v>896</v>
      </c>
      <c r="I593" t="s">
        <v>730</v>
      </c>
      <c r="J593" s="20" t="s">
        <v>136</v>
      </c>
      <c r="K593" t="s">
        <v>717</v>
      </c>
      <c r="L593" t="s">
        <v>36</v>
      </c>
      <c r="M593" t="str">
        <f>VLOOKUP(Incidents[[#This Row],[Ticket ID]],[1]Incidents!$A$2:$D$792,4,FALSE)</f>
        <v>4 - Low</v>
      </c>
      <c r="N593">
        <f>VLOOKUP(Incidents[[#This Row],[Priority]],'SLA Config'!$B$3:$C$6,2,FALSE)</f>
        <v>25</v>
      </c>
      <c r="O593" t="str">
        <f ca="1">IF(Incidents[[#This Row],[Age (days)]]&gt;Incidents[[#This Row],[SLA Threshold]],"NO","Yes")</f>
        <v>Yes</v>
      </c>
    </row>
    <row r="594" spans="1:15" x14ac:dyDescent="0.25">
      <c r="A594" s="19" t="s">
        <v>1252</v>
      </c>
      <c r="B594" s="8">
        <v>45594</v>
      </c>
      <c r="C594" s="8">
        <v>45600</v>
      </c>
      <c r="D594" t="s">
        <v>29</v>
      </c>
      <c r="E594" t="s">
        <v>38</v>
      </c>
      <c r="F594" s="49">
        <f t="shared" ca="1" si="9"/>
        <v>5</v>
      </c>
      <c r="G594" s="16" t="s">
        <v>31</v>
      </c>
      <c r="H594" t="s">
        <v>896</v>
      </c>
      <c r="I594" t="s">
        <v>730</v>
      </c>
      <c r="J594" s="20" t="s">
        <v>136</v>
      </c>
      <c r="K594" t="s">
        <v>717</v>
      </c>
      <c r="L594" t="s">
        <v>36</v>
      </c>
      <c r="M594" t="str">
        <f>VLOOKUP(Incidents[[#This Row],[Ticket ID]],[1]Incidents!$A$2:$D$792,4,FALSE)</f>
        <v>4 - Low</v>
      </c>
      <c r="N594">
        <f>VLOOKUP(Incidents[[#This Row],[Priority]],'SLA Config'!$B$3:$C$6,2,FALSE)</f>
        <v>25</v>
      </c>
      <c r="O594" t="str">
        <f ca="1">IF(Incidents[[#This Row],[Age (days)]]&gt;Incidents[[#This Row],[SLA Threshold]],"NO","Yes")</f>
        <v>Yes</v>
      </c>
    </row>
    <row r="595" spans="1:15" x14ac:dyDescent="0.25">
      <c r="A595" s="19" t="s">
        <v>1253</v>
      </c>
      <c r="B595" s="8">
        <v>45595</v>
      </c>
      <c r="C595" s="8">
        <v>45601</v>
      </c>
      <c r="D595" t="s">
        <v>29</v>
      </c>
      <c r="E595" t="s">
        <v>38</v>
      </c>
      <c r="F595" s="49">
        <f t="shared" ca="1" si="9"/>
        <v>5</v>
      </c>
      <c r="G595" s="16" t="s">
        <v>31</v>
      </c>
      <c r="H595" t="s">
        <v>896</v>
      </c>
      <c r="I595" t="s">
        <v>730</v>
      </c>
      <c r="J595" s="20" t="s">
        <v>136</v>
      </c>
      <c r="K595" t="s">
        <v>717</v>
      </c>
      <c r="L595" t="s">
        <v>36</v>
      </c>
      <c r="M595" t="str">
        <f>VLOOKUP(Incidents[[#This Row],[Ticket ID]],[1]Incidents!$A$2:$D$792,4,FALSE)</f>
        <v>4 - Low</v>
      </c>
      <c r="N595">
        <f>VLOOKUP(Incidents[[#This Row],[Priority]],'SLA Config'!$B$3:$C$6,2,FALSE)</f>
        <v>25</v>
      </c>
      <c r="O595" t="str">
        <f ca="1">IF(Incidents[[#This Row],[Age (days)]]&gt;Incidents[[#This Row],[SLA Threshold]],"NO","Yes")</f>
        <v>Yes</v>
      </c>
    </row>
    <row r="596" spans="1:15" x14ac:dyDescent="0.25">
      <c r="A596" s="19" t="s">
        <v>1254</v>
      </c>
      <c r="B596" s="8">
        <v>45596</v>
      </c>
      <c r="C596" s="8">
        <v>45602</v>
      </c>
      <c r="D596" t="s">
        <v>29</v>
      </c>
      <c r="E596" t="s">
        <v>38</v>
      </c>
      <c r="F596" s="49">
        <f t="shared" ca="1" si="9"/>
        <v>5</v>
      </c>
      <c r="G596" s="16" t="s">
        <v>31</v>
      </c>
      <c r="H596" t="s">
        <v>896</v>
      </c>
      <c r="I596" t="s">
        <v>730</v>
      </c>
      <c r="J596" s="20" t="s">
        <v>136</v>
      </c>
      <c r="K596" t="s">
        <v>717</v>
      </c>
      <c r="L596" t="s">
        <v>36</v>
      </c>
      <c r="M596" t="str">
        <f>VLOOKUP(Incidents[[#This Row],[Ticket ID]],[1]Incidents!$A$2:$D$792,4,FALSE)</f>
        <v>4 - Low</v>
      </c>
      <c r="N596">
        <f>VLOOKUP(Incidents[[#This Row],[Priority]],'SLA Config'!$B$3:$C$6,2,FALSE)</f>
        <v>25</v>
      </c>
      <c r="O596" t="str">
        <f ca="1">IF(Incidents[[#This Row],[Age (days)]]&gt;Incidents[[#This Row],[SLA Threshold]],"NO","Yes")</f>
        <v>Yes</v>
      </c>
    </row>
    <row r="597" spans="1:15" x14ac:dyDescent="0.25">
      <c r="A597" s="19" t="s">
        <v>1255</v>
      </c>
      <c r="B597" s="8">
        <v>45588</v>
      </c>
      <c r="C597" s="8">
        <v>45593</v>
      </c>
      <c r="D597" t="s">
        <v>29</v>
      </c>
      <c r="E597" t="s">
        <v>38</v>
      </c>
      <c r="F597" s="49">
        <f t="shared" ca="1" si="9"/>
        <v>4</v>
      </c>
      <c r="G597" s="16" t="s">
        <v>31</v>
      </c>
      <c r="H597" t="s">
        <v>896</v>
      </c>
      <c r="I597" t="s">
        <v>730</v>
      </c>
      <c r="J597" s="20" t="s">
        <v>136</v>
      </c>
      <c r="K597" t="s">
        <v>717</v>
      </c>
      <c r="L597" t="s">
        <v>36</v>
      </c>
      <c r="M597" t="str">
        <f>VLOOKUP(Incidents[[#This Row],[Ticket ID]],[1]Incidents!$A$2:$D$792,4,FALSE)</f>
        <v>4 - Low</v>
      </c>
      <c r="N597">
        <f>VLOOKUP(Incidents[[#This Row],[Priority]],'SLA Config'!$B$3:$C$6,2,FALSE)</f>
        <v>25</v>
      </c>
      <c r="O597" t="str">
        <f ca="1">IF(Incidents[[#This Row],[Age (days)]]&gt;Incidents[[#This Row],[SLA Threshold]],"NO","Yes")</f>
        <v>Yes</v>
      </c>
    </row>
    <row r="598" spans="1:15" x14ac:dyDescent="0.25">
      <c r="A598" s="19" t="s">
        <v>1256</v>
      </c>
      <c r="B598" s="8">
        <v>45590</v>
      </c>
      <c r="C598" s="8">
        <v>45595</v>
      </c>
      <c r="D598" t="s">
        <v>29</v>
      </c>
      <c r="E598" t="s">
        <v>38</v>
      </c>
      <c r="F598" s="49">
        <f t="shared" ca="1" si="9"/>
        <v>4</v>
      </c>
      <c r="G598" s="16" t="s">
        <v>31</v>
      </c>
      <c r="H598" t="s">
        <v>896</v>
      </c>
      <c r="I598" t="s">
        <v>730</v>
      </c>
      <c r="J598" s="20" t="s">
        <v>136</v>
      </c>
      <c r="K598" t="s">
        <v>717</v>
      </c>
      <c r="L598" t="s">
        <v>36</v>
      </c>
      <c r="M598" t="str">
        <f>VLOOKUP(Incidents[[#This Row],[Ticket ID]],[1]Incidents!$A$2:$D$792,4,FALSE)</f>
        <v>4 - Low</v>
      </c>
      <c r="N598">
        <f>VLOOKUP(Incidents[[#This Row],[Priority]],'SLA Config'!$B$3:$C$6,2,FALSE)</f>
        <v>25</v>
      </c>
      <c r="O598" t="str">
        <f ca="1">IF(Incidents[[#This Row],[Age (days)]]&gt;Incidents[[#This Row],[SLA Threshold]],"NO","Yes")</f>
        <v>Yes</v>
      </c>
    </row>
    <row r="599" spans="1:15" x14ac:dyDescent="0.25">
      <c r="A599" s="28" t="s">
        <v>1257</v>
      </c>
      <c r="B599" s="29">
        <v>45609</v>
      </c>
      <c r="C599" s="29">
        <v>45615</v>
      </c>
      <c r="D599" s="28" t="s">
        <v>29</v>
      </c>
      <c r="E599" s="28" t="s">
        <v>46</v>
      </c>
      <c r="F599" s="49">
        <f t="shared" ca="1" si="9"/>
        <v>5</v>
      </c>
      <c r="G599" s="28" t="s">
        <v>31</v>
      </c>
      <c r="H599" s="28" t="s">
        <v>716</v>
      </c>
      <c r="I599" t="s">
        <v>730</v>
      </c>
      <c r="J599" s="20"/>
      <c r="K599" s="28" t="s">
        <v>717</v>
      </c>
      <c r="L599" t="s">
        <v>36</v>
      </c>
      <c r="M599" t="str">
        <f>VLOOKUP(Incidents[[#This Row],[Ticket ID]],[1]Incidents!$A$2:$D$792,4,FALSE)</f>
        <v>4 - Low</v>
      </c>
      <c r="N599">
        <f>VLOOKUP(Incidents[[#This Row],[Priority]],'SLA Config'!$B$3:$C$6,2,FALSE)</f>
        <v>25</v>
      </c>
      <c r="O599" t="str">
        <f ca="1">IF(Incidents[[#This Row],[Age (days)]]&gt;Incidents[[#This Row],[SLA Threshold]],"NO","Yes")</f>
        <v>Yes</v>
      </c>
    </row>
    <row r="600" spans="1:15" x14ac:dyDescent="0.25">
      <c r="A600" s="28" t="s">
        <v>1258</v>
      </c>
      <c r="B600" s="29">
        <v>45621</v>
      </c>
      <c r="C600" s="29">
        <v>45627</v>
      </c>
      <c r="D600" s="28" t="s">
        <v>29</v>
      </c>
      <c r="E600" s="28" t="s">
        <v>46</v>
      </c>
      <c r="F600" s="49">
        <f t="shared" ca="1" si="9"/>
        <v>5</v>
      </c>
      <c r="G600" s="28" t="s">
        <v>31</v>
      </c>
      <c r="H600" s="28" t="s">
        <v>1259</v>
      </c>
      <c r="I600" t="s">
        <v>730</v>
      </c>
      <c r="J600" s="20"/>
      <c r="K600" s="28" t="s">
        <v>44</v>
      </c>
      <c r="L600" t="s">
        <v>427</v>
      </c>
      <c r="M600" t="str">
        <f>VLOOKUP(Incidents[[#This Row],[Ticket ID]],[1]Incidents!$A$2:$D$792,4,FALSE)</f>
        <v>4 - Low</v>
      </c>
      <c r="N600">
        <f>VLOOKUP(Incidents[[#This Row],[Priority]],'SLA Config'!$B$3:$C$6,2,FALSE)</f>
        <v>25</v>
      </c>
      <c r="O600" t="str">
        <f ca="1">IF(Incidents[[#This Row],[Age (days)]]&gt;Incidents[[#This Row],[SLA Threshold]],"NO","Yes")</f>
        <v>Yes</v>
      </c>
    </row>
    <row r="601" spans="1:15" x14ac:dyDescent="0.25">
      <c r="A601" s="28" t="s">
        <v>1260</v>
      </c>
      <c r="B601" s="29">
        <v>45622</v>
      </c>
      <c r="C601" s="29">
        <v>45628</v>
      </c>
      <c r="D601" s="28" t="s">
        <v>29</v>
      </c>
      <c r="E601" s="28" t="s">
        <v>46</v>
      </c>
      <c r="F601" s="49">
        <f t="shared" ca="1" si="9"/>
        <v>5</v>
      </c>
      <c r="G601" s="28" t="s">
        <v>31</v>
      </c>
      <c r="H601" s="28" t="s">
        <v>1261</v>
      </c>
      <c r="I601" t="s">
        <v>730</v>
      </c>
      <c r="J601" s="20"/>
      <c r="K601" s="28" t="s">
        <v>44</v>
      </c>
      <c r="L601" t="s">
        <v>427</v>
      </c>
      <c r="M601" t="str">
        <f>VLOOKUP(Incidents[[#This Row],[Ticket ID]],[1]Incidents!$A$2:$D$792,4,FALSE)</f>
        <v>4 - Low</v>
      </c>
      <c r="N601">
        <f>VLOOKUP(Incidents[[#This Row],[Priority]],'SLA Config'!$B$3:$C$6,2,FALSE)</f>
        <v>25</v>
      </c>
      <c r="O601" t="str">
        <f ca="1">IF(Incidents[[#This Row],[Age (days)]]&gt;Incidents[[#This Row],[SLA Threshold]],"NO","Yes")</f>
        <v>Yes</v>
      </c>
    </row>
    <row r="602" spans="1:15" x14ac:dyDescent="0.25">
      <c r="A602" s="28" t="s">
        <v>1262</v>
      </c>
      <c r="B602" s="29">
        <v>45623</v>
      </c>
      <c r="C602" s="29">
        <v>45629</v>
      </c>
      <c r="D602" s="28" t="s">
        <v>29</v>
      </c>
      <c r="E602" s="28" t="s">
        <v>38</v>
      </c>
      <c r="F602" s="49">
        <f t="shared" ca="1" si="9"/>
        <v>5</v>
      </c>
      <c r="G602" s="28" t="s">
        <v>31</v>
      </c>
      <c r="H602" s="28" t="s">
        <v>799</v>
      </c>
      <c r="I602" t="s">
        <v>730</v>
      </c>
      <c r="J602" s="20"/>
      <c r="K602" s="28" t="s">
        <v>717</v>
      </c>
      <c r="L602" t="s">
        <v>36</v>
      </c>
      <c r="M602" t="str">
        <f>VLOOKUP(Incidents[[#This Row],[Ticket ID]],[1]Incidents!$A$2:$D$792,4,FALSE)</f>
        <v>4 - Low</v>
      </c>
      <c r="N602">
        <f>VLOOKUP(Incidents[[#This Row],[Priority]],'SLA Config'!$B$3:$C$6,2,FALSE)</f>
        <v>25</v>
      </c>
      <c r="O602" t="str">
        <f ca="1">IF(Incidents[[#This Row],[Age (days)]]&gt;Incidents[[#This Row],[SLA Threshold]],"NO","Yes")</f>
        <v>Yes</v>
      </c>
    </row>
    <row r="603" spans="1:15" x14ac:dyDescent="0.25">
      <c r="A603" s="28" t="s">
        <v>1263</v>
      </c>
      <c r="B603" s="29">
        <v>45658</v>
      </c>
      <c r="C603" s="29">
        <v>45664</v>
      </c>
      <c r="D603" s="28" t="s">
        <v>29</v>
      </c>
      <c r="E603" s="28" t="s">
        <v>46</v>
      </c>
      <c r="F603" s="49">
        <f t="shared" ca="1" si="9"/>
        <v>5</v>
      </c>
      <c r="G603" s="28" t="s">
        <v>31</v>
      </c>
      <c r="H603" s="28" t="s">
        <v>896</v>
      </c>
      <c r="I603" t="s">
        <v>730</v>
      </c>
      <c r="J603" s="20"/>
      <c r="K603" s="28" t="s">
        <v>717</v>
      </c>
      <c r="L603" t="s">
        <v>36</v>
      </c>
      <c r="M603" t="str">
        <f>VLOOKUP(Incidents[[#This Row],[Ticket ID]],[1]Incidents!$A$2:$D$792,4,FALSE)</f>
        <v>4 - Low</v>
      </c>
      <c r="N603">
        <f>VLOOKUP(Incidents[[#This Row],[Priority]],'SLA Config'!$B$3:$C$6,2,FALSE)</f>
        <v>25</v>
      </c>
      <c r="O603" t="str">
        <f ca="1">IF(Incidents[[#This Row],[Age (days)]]&gt;Incidents[[#This Row],[SLA Threshold]],"NO","Yes")</f>
        <v>Yes</v>
      </c>
    </row>
    <row r="604" spans="1:15" x14ac:dyDescent="0.25">
      <c r="A604" s="28" t="s">
        <v>1264</v>
      </c>
      <c r="B604" s="29">
        <v>45658</v>
      </c>
      <c r="C604" s="29">
        <v>45664</v>
      </c>
      <c r="D604" s="28" t="s">
        <v>29</v>
      </c>
      <c r="E604" s="28" t="s">
        <v>46</v>
      </c>
      <c r="F604" s="49">
        <f t="shared" ca="1" si="9"/>
        <v>5</v>
      </c>
      <c r="G604" s="28" t="s">
        <v>801</v>
      </c>
      <c r="H604" s="28" t="s">
        <v>1021</v>
      </c>
      <c r="I604" t="s">
        <v>730</v>
      </c>
      <c r="J604" s="20"/>
      <c r="K604" s="28" t="s">
        <v>717</v>
      </c>
      <c r="L604" t="s">
        <v>36</v>
      </c>
      <c r="M604" t="str">
        <f>VLOOKUP(Incidents[[#This Row],[Ticket ID]],[1]Incidents!$A$2:$D$792,4,FALSE)</f>
        <v>4 - Low</v>
      </c>
      <c r="N604">
        <f>VLOOKUP(Incidents[[#This Row],[Priority]],'SLA Config'!$B$3:$C$6,2,FALSE)</f>
        <v>25</v>
      </c>
      <c r="O604" t="str">
        <f ca="1">IF(Incidents[[#This Row],[Age (days)]]&gt;Incidents[[#This Row],[SLA Threshold]],"NO","Yes")</f>
        <v>Yes</v>
      </c>
    </row>
    <row r="605" spans="1:15" x14ac:dyDescent="0.25">
      <c r="A605" s="28" t="s">
        <v>1265</v>
      </c>
      <c r="B605" s="29">
        <v>45679</v>
      </c>
      <c r="C605" s="29">
        <v>45685</v>
      </c>
      <c r="D605" s="28" t="s">
        <v>29</v>
      </c>
      <c r="E605" s="28" t="s">
        <v>46</v>
      </c>
      <c r="F605" s="49">
        <f t="shared" ca="1" si="9"/>
        <v>5</v>
      </c>
      <c r="G605" s="28" t="s">
        <v>31</v>
      </c>
      <c r="H605" s="28" t="s">
        <v>716</v>
      </c>
      <c r="I605" t="s">
        <v>730</v>
      </c>
      <c r="J605" s="21"/>
      <c r="K605" s="28" t="s">
        <v>717</v>
      </c>
      <c r="L605" t="s">
        <v>36</v>
      </c>
      <c r="M605" t="str">
        <f>VLOOKUP(Incidents[[#This Row],[Ticket ID]],[1]Incidents!$A$2:$D$792,4,FALSE)</f>
        <v>2 - High</v>
      </c>
      <c r="N605">
        <f>VLOOKUP(Incidents[[#This Row],[Priority]],'SLA Config'!$B$3:$C$6,2,FALSE)</f>
        <v>5</v>
      </c>
      <c r="O605" t="str">
        <f ca="1">IF(Incidents[[#This Row],[Age (days)]]&gt;Incidents[[#This Row],[SLA Threshold]],"NO","Yes")</f>
        <v>Yes</v>
      </c>
    </row>
    <row r="606" spans="1:15" x14ac:dyDescent="0.25">
      <c r="A606" s="28" t="s">
        <v>1266</v>
      </c>
      <c r="B606" s="29">
        <v>45680</v>
      </c>
      <c r="C606" s="29">
        <v>45686</v>
      </c>
      <c r="D606" s="28" t="s">
        <v>29</v>
      </c>
      <c r="E606" s="28" t="s">
        <v>30</v>
      </c>
      <c r="F606" s="49">
        <f t="shared" ca="1" si="9"/>
        <v>5</v>
      </c>
      <c r="G606" s="28" t="s">
        <v>486</v>
      </c>
      <c r="H606" s="28" t="s">
        <v>1267</v>
      </c>
      <c r="I606" t="s">
        <v>730</v>
      </c>
      <c r="J606" s="14"/>
      <c r="K606" s="28" t="s">
        <v>90</v>
      </c>
      <c r="L606" t="s">
        <v>36</v>
      </c>
      <c r="M606" t="str">
        <f>VLOOKUP(Incidents[[#This Row],[Ticket ID]],[1]Incidents!$A$2:$D$792,4,FALSE)</f>
        <v>2 - High</v>
      </c>
      <c r="N606">
        <f>VLOOKUP(Incidents[[#This Row],[Priority]],'SLA Config'!$B$3:$C$6,2,FALSE)</f>
        <v>5</v>
      </c>
      <c r="O606" t="str">
        <f ca="1">IF(Incidents[[#This Row],[Age (days)]]&gt;Incidents[[#This Row],[SLA Threshold]],"NO","Yes")</f>
        <v>Yes</v>
      </c>
    </row>
    <row r="607" spans="1:15" x14ac:dyDescent="0.25">
      <c r="A607" s="28" t="s">
        <v>1268</v>
      </c>
      <c r="B607" s="29">
        <v>45693</v>
      </c>
      <c r="C607" s="29">
        <v>45699</v>
      </c>
      <c r="D607" s="28" t="s">
        <v>29</v>
      </c>
      <c r="E607" s="28" t="s">
        <v>38</v>
      </c>
      <c r="F607" s="49">
        <f t="shared" ca="1" si="9"/>
        <v>5</v>
      </c>
      <c r="G607" s="28" t="s">
        <v>31</v>
      </c>
      <c r="H607" s="28" t="s">
        <v>799</v>
      </c>
      <c r="I607" t="s">
        <v>730</v>
      </c>
      <c r="J607" s="14"/>
      <c r="K607" s="28" t="s">
        <v>717</v>
      </c>
      <c r="L607" t="s">
        <v>36</v>
      </c>
      <c r="M607" t="str">
        <f>VLOOKUP(Incidents[[#This Row],[Ticket ID]],[1]Incidents!$A$2:$D$792,4,FALSE)</f>
        <v>4 - Low</v>
      </c>
      <c r="N607">
        <f>VLOOKUP(Incidents[[#This Row],[Priority]],'SLA Config'!$B$3:$C$6,2,FALSE)</f>
        <v>25</v>
      </c>
      <c r="O607" t="str">
        <f ca="1">IF(Incidents[[#This Row],[Age (days)]]&gt;Incidents[[#This Row],[SLA Threshold]],"NO","Yes")</f>
        <v>Yes</v>
      </c>
    </row>
    <row r="608" spans="1:15" x14ac:dyDescent="0.25">
      <c r="A608" s="28" t="s">
        <v>1269</v>
      </c>
      <c r="B608" s="29">
        <v>45699</v>
      </c>
      <c r="C608" s="29">
        <v>45705</v>
      </c>
      <c r="D608" s="28" t="s">
        <v>29</v>
      </c>
      <c r="E608" s="28" t="s">
        <v>38</v>
      </c>
      <c r="F608" s="49">
        <f t="shared" ca="1" si="9"/>
        <v>5</v>
      </c>
      <c r="G608" s="28" t="s">
        <v>31</v>
      </c>
      <c r="H608" s="28" t="s">
        <v>896</v>
      </c>
      <c r="I608" t="s">
        <v>730</v>
      </c>
      <c r="J608" s="14"/>
      <c r="K608" s="28" t="s">
        <v>717</v>
      </c>
      <c r="L608" t="s">
        <v>36</v>
      </c>
      <c r="M608" t="str">
        <f>VLOOKUP(Incidents[[#This Row],[Ticket ID]],[1]Incidents!$A$2:$D$792,4,FALSE)</f>
        <v>4 - Low</v>
      </c>
      <c r="N608">
        <f>VLOOKUP(Incidents[[#This Row],[Priority]],'SLA Config'!$B$3:$C$6,2,FALSE)</f>
        <v>25</v>
      </c>
      <c r="O608" t="str">
        <f ca="1">IF(Incidents[[#This Row],[Age (days)]]&gt;Incidents[[#This Row],[SLA Threshold]],"NO","Yes")</f>
        <v>Yes</v>
      </c>
    </row>
    <row r="609" spans="1:15" x14ac:dyDescent="0.25">
      <c r="A609" s="28" t="s">
        <v>1270</v>
      </c>
      <c r="B609" s="29">
        <v>45699</v>
      </c>
      <c r="C609" s="29">
        <v>45705</v>
      </c>
      <c r="D609" s="28" t="s">
        <v>29</v>
      </c>
      <c r="E609" s="28" t="s">
        <v>38</v>
      </c>
      <c r="F609" s="49">
        <f t="shared" ca="1" si="9"/>
        <v>5</v>
      </c>
      <c r="G609" s="28" t="s">
        <v>31</v>
      </c>
      <c r="H609" s="28" t="s">
        <v>1110</v>
      </c>
      <c r="I609" t="s">
        <v>730</v>
      </c>
      <c r="J609" s="14"/>
      <c r="K609" s="28" t="s">
        <v>717</v>
      </c>
      <c r="L609" t="s">
        <v>36</v>
      </c>
      <c r="M609" t="str">
        <f>VLOOKUP(Incidents[[#This Row],[Ticket ID]],[1]Incidents!$A$2:$D$792,4,FALSE)</f>
        <v>4 - Low</v>
      </c>
      <c r="N609">
        <f>VLOOKUP(Incidents[[#This Row],[Priority]],'SLA Config'!$B$3:$C$6,2,FALSE)</f>
        <v>25</v>
      </c>
      <c r="O609" t="str">
        <f ca="1">IF(Incidents[[#This Row],[Age (days)]]&gt;Incidents[[#This Row],[SLA Threshold]],"NO","Yes")</f>
        <v>Yes</v>
      </c>
    </row>
    <row r="610" spans="1:15" ht="15.75" x14ac:dyDescent="0.25">
      <c r="A610" s="2" t="s">
        <v>1271</v>
      </c>
      <c r="B610" s="31">
        <v>45714</v>
      </c>
      <c r="C610" s="8">
        <v>45726</v>
      </c>
      <c r="D610" s="28" t="s">
        <v>29</v>
      </c>
      <c r="E610" t="s">
        <v>46</v>
      </c>
      <c r="F610" s="49">
        <f t="shared" ca="1" si="9"/>
        <v>9</v>
      </c>
      <c r="G610" s="16" t="s">
        <v>801</v>
      </c>
      <c r="H610" s="11" t="s">
        <v>1272</v>
      </c>
      <c r="I610" t="s">
        <v>730</v>
      </c>
      <c r="J610" s="14"/>
      <c r="K610" t="s">
        <v>717</v>
      </c>
      <c r="L610" t="s">
        <v>36</v>
      </c>
      <c r="M610" t="str">
        <f>VLOOKUP(Incidents[[#This Row],[Ticket ID]],[1]Incidents!$A$2:$D$792,4,FALSE)</f>
        <v>4 - Low</v>
      </c>
      <c r="N610">
        <f>VLOOKUP(Incidents[[#This Row],[Priority]],'SLA Config'!$B$3:$C$6,2,FALSE)</f>
        <v>25</v>
      </c>
      <c r="O610" t="str">
        <f ca="1">IF(Incidents[[#This Row],[Age (days)]]&gt;Incidents[[#This Row],[SLA Threshold]],"NO","Yes")</f>
        <v>Yes</v>
      </c>
    </row>
    <row r="611" spans="1:15" ht="30" x14ac:dyDescent="0.25">
      <c r="A611" t="s">
        <v>1273</v>
      </c>
      <c r="B611" s="1">
        <v>44799</v>
      </c>
      <c r="C611" s="1">
        <v>44804</v>
      </c>
      <c r="D611" t="s">
        <v>29</v>
      </c>
      <c r="E611" t="s">
        <v>54</v>
      </c>
      <c r="F611" s="49">
        <f t="shared" ca="1" si="9"/>
        <v>4</v>
      </c>
      <c r="G611" s="16" t="s">
        <v>31</v>
      </c>
      <c r="H611" s="11" t="s">
        <v>1274</v>
      </c>
      <c r="I611" t="s">
        <v>730</v>
      </c>
      <c r="J611" s="14" t="s">
        <v>136</v>
      </c>
      <c r="K611" t="s">
        <v>44</v>
      </c>
      <c r="L611" t="s">
        <v>36</v>
      </c>
      <c r="M611" t="str">
        <f>VLOOKUP(Incidents[[#This Row],[Ticket ID]],[1]Incidents!$A$2:$D$792,4,FALSE)</f>
        <v>4 - Low</v>
      </c>
      <c r="N611">
        <f>VLOOKUP(Incidents[[#This Row],[Priority]],'SLA Config'!$B$3:$C$6,2,FALSE)</f>
        <v>25</v>
      </c>
      <c r="O611" t="str">
        <f ca="1">IF(Incidents[[#This Row],[Age (days)]]&gt;Incidents[[#This Row],[SLA Threshold]],"NO","Yes")</f>
        <v>Yes</v>
      </c>
    </row>
    <row r="612" spans="1:15" x14ac:dyDescent="0.25">
      <c r="A612" t="s">
        <v>1275</v>
      </c>
      <c r="B612" s="1">
        <v>44840</v>
      </c>
      <c r="C612" s="1">
        <v>44845</v>
      </c>
      <c r="D612" t="s">
        <v>29</v>
      </c>
      <c r="E612" t="s">
        <v>54</v>
      </c>
      <c r="F612" s="49">
        <f t="shared" ca="1" si="9"/>
        <v>4</v>
      </c>
      <c r="G612" s="16" t="s">
        <v>31</v>
      </c>
      <c r="H612" s="11" t="s">
        <v>1276</v>
      </c>
      <c r="I612" t="s">
        <v>730</v>
      </c>
      <c r="J612" s="14" t="s">
        <v>136</v>
      </c>
      <c r="K612" t="s">
        <v>44</v>
      </c>
      <c r="L612" t="s">
        <v>36</v>
      </c>
      <c r="M612" t="str">
        <f>VLOOKUP(Incidents[[#This Row],[Ticket ID]],[1]Incidents!$A$2:$D$792,4,FALSE)</f>
        <v>4 - Low</v>
      </c>
      <c r="N612">
        <f>VLOOKUP(Incidents[[#This Row],[Priority]],'SLA Config'!$B$3:$C$6,2,FALSE)</f>
        <v>25</v>
      </c>
      <c r="O612" t="str">
        <f ca="1">IF(Incidents[[#This Row],[Age (days)]]&gt;Incidents[[#This Row],[SLA Threshold]],"NO","Yes")</f>
        <v>Yes</v>
      </c>
    </row>
    <row r="613" spans="1:15" x14ac:dyDescent="0.25">
      <c r="A613" t="s">
        <v>1277</v>
      </c>
      <c r="B613" s="1">
        <v>44876</v>
      </c>
      <c r="C613" s="1">
        <v>44881</v>
      </c>
      <c r="D613" t="s">
        <v>29</v>
      </c>
      <c r="E613" t="s">
        <v>54</v>
      </c>
      <c r="F613" s="49">
        <f t="shared" ca="1" si="9"/>
        <v>4</v>
      </c>
      <c r="G613" s="16" t="s">
        <v>31</v>
      </c>
      <c r="H613" s="11" t="s">
        <v>1278</v>
      </c>
      <c r="I613" t="s">
        <v>730</v>
      </c>
      <c r="J613" s="14" t="s">
        <v>136</v>
      </c>
      <c r="K613" t="s">
        <v>44</v>
      </c>
      <c r="L613" t="s">
        <v>36</v>
      </c>
      <c r="M613" t="str">
        <f>VLOOKUP(Incidents[[#This Row],[Ticket ID]],[1]Incidents!$A$2:$D$792,4,FALSE)</f>
        <v>4 - Low</v>
      </c>
      <c r="N613">
        <f>VLOOKUP(Incidents[[#This Row],[Priority]],'SLA Config'!$B$3:$C$6,2,FALSE)</f>
        <v>25</v>
      </c>
      <c r="O613" t="str">
        <f ca="1">IF(Incidents[[#This Row],[Age (days)]]&gt;Incidents[[#This Row],[SLA Threshold]],"NO","Yes")</f>
        <v>Yes</v>
      </c>
    </row>
    <row r="614" spans="1:15" x14ac:dyDescent="0.25">
      <c r="A614" s="2" t="s">
        <v>1279</v>
      </c>
      <c r="B614" s="1">
        <v>45195</v>
      </c>
      <c r="C614" s="8">
        <v>45200</v>
      </c>
      <c r="D614" t="s">
        <v>29</v>
      </c>
      <c r="E614" t="s">
        <v>30</v>
      </c>
      <c r="F614" s="49">
        <f t="shared" ca="1" si="9"/>
        <v>4</v>
      </c>
      <c r="G614" s="16" t="s">
        <v>31</v>
      </c>
      <c r="H614" s="11" t="s">
        <v>1280</v>
      </c>
      <c r="I614" t="s">
        <v>730</v>
      </c>
      <c r="J614" s="14" t="s">
        <v>136</v>
      </c>
      <c r="K614" t="s">
        <v>90</v>
      </c>
      <c r="L614" t="s">
        <v>36</v>
      </c>
      <c r="M614" t="str">
        <f>VLOOKUP(Incidents[[#This Row],[Ticket ID]],[1]Incidents!$A$2:$D$792,4,FALSE)</f>
        <v>4 - Low</v>
      </c>
      <c r="N614">
        <f>VLOOKUP(Incidents[[#This Row],[Priority]],'SLA Config'!$B$3:$C$6,2,FALSE)</f>
        <v>25</v>
      </c>
      <c r="O614" t="str">
        <f ca="1">IF(Incidents[[#This Row],[Age (days)]]&gt;Incidents[[#This Row],[SLA Threshold]],"NO","Yes")</f>
        <v>Yes</v>
      </c>
    </row>
    <row r="615" spans="1:15" x14ac:dyDescent="0.25">
      <c r="A615" s="2" t="s">
        <v>1281</v>
      </c>
      <c r="B615" s="1">
        <v>45196</v>
      </c>
      <c r="C615" s="8">
        <v>45201</v>
      </c>
      <c r="D615" t="s">
        <v>29</v>
      </c>
      <c r="E615" t="s">
        <v>30</v>
      </c>
      <c r="F615" s="49">
        <f t="shared" ca="1" si="9"/>
        <v>4</v>
      </c>
      <c r="G615" s="16" t="s">
        <v>31</v>
      </c>
      <c r="H615" s="11" t="s">
        <v>1282</v>
      </c>
      <c r="I615" t="s">
        <v>730</v>
      </c>
      <c r="J615" s="14" t="s">
        <v>136</v>
      </c>
      <c r="K615" t="s">
        <v>90</v>
      </c>
      <c r="L615" t="s">
        <v>36</v>
      </c>
      <c r="M615" t="str">
        <f>VLOOKUP(Incidents[[#This Row],[Ticket ID]],[1]Incidents!$A$2:$D$792,4,FALSE)</f>
        <v>4 - Low</v>
      </c>
      <c r="N615">
        <f>VLOOKUP(Incidents[[#This Row],[Priority]],'SLA Config'!$B$3:$C$6,2,FALSE)</f>
        <v>25</v>
      </c>
      <c r="O615" t="str">
        <f ca="1">IF(Incidents[[#This Row],[Age (days)]]&gt;Incidents[[#This Row],[SLA Threshold]],"NO","Yes")</f>
        <v>Yes</v>
      </c>
    </row>
    <row r="616" spans="1:15" x14ac:dyDescent="0.25">
      <c r="A616" s="2" t="s">
        <v>1283</v>
      </c>
      <c r="B616" s="1">
        <v>45217</v>
      </c>
      <c r="C616" s="8">
        <v>45222</v>
      </c>
      <c r="D616" t="s">
        <v>29</v>
      </c>
      <c r="E616" s="17" t="s">
        <v>30</v>
      </c>
      <c r="F616" s="49">
        <f t="shared" ca="1" si="9"/>
        <v>4</v>
      </c>
      <c r="G616" s="16" t="s">
        <v>31</v>
      </c>
      <c r="H616" s="11" t="s">
        <v>1284</v>
      </c>
      <c r="I616" t="s">
        <v>730</v>
      </c>
      <c r="J616" s="14" t="s">
        <v>136</v>
      </c>
      <c r="K616" t="s">
        <v>90</v>
      </c>
      <c r="L616" t="s">
        <v>36</v>
      </c>
      <c r="M616" t="str">
        <f>VLOOKUP(Incidents[[#This Row],[Ticket ID]],[1]Incidents!$A$2:$D$792,4,FALSE)</f>
        <v>4 - Low</v>
      </c>
      <c r="N616">
        <f>VLOOKUP(Incidents[[#This Row],[Priority]],'SLA Config'!$B$3:$C$6,2,FALSE)</f>
        <v>25</v>
      </c>
      <c r="O616" t="str">
        <f ca="1">IF(Incidents[[#This Row],[Age (days)]]&gt;Incidents[[#This Row],[SLA Threshold]],"NO","Yes")</f>
        <v>Yes</v>
      </c>
    </row>
    <row r="617" spans="1:15" x14ac:dyDescent="0.25">
      <c r="A617" s="17" t="s">
        <v>1285</v>
      </c>
      <c r="B617" s="1">
        <v>45258</v>
      </c>
      <c r="C617" s="8">
        <v>45263</v>
      </c>
      <c r="D617" t="s">
        <v>29</v>
      </c>
      <c r="E617" t="s">
        <v>30</v>
      </c>
      <c r="F617" s="49">
        <f t="shared" ca="1" si="9"/>
        <v>4</v>
      </c>
      <c r="G617" s="16" t="s">
        <v>31</v>
      </c>
      <c r="H617" s="11" t="s">
        <v>1286</v>
      </c>
      <c r="I617" t="s">
        <v>730</v>
      </c>
      <c r="J617" s="14" t="s">
        <v>136</v>
      </c>
      <c r="K617" t="s">
        <v>90</v>
      </c>
      <c r="L617" t="s">
        <v>36</v>
      </c>
      <c r="M617" t="str">
        <f>VLOOKUP(Incidents[[#This Row],[Ticket ID]],[1]Incidents!$A$2:$D$792,4,FALSE)</f>
        <v>4 - Low</v>
      </c>
      <c r="N617">
        <f>VLOOKUP(Incidents[[#This Row],[Priority]],'SLA Config'!$B$3:$C$6,2,FALSE)</f>
        <v>25</v>
      </c>
      <c r="O617" t="str">
        <f ca="1">IF(Incidents[[#This Row],[Age (days)]]&gt;Incidents[[#This Row],[SLA Threshold]],"NO","Yes")</f>
        <v>Yes</v>
      </c>
    </row>
    <row r="618" spans="1:15" x14ac:dyDescent="0.25">
      <c r="A618" s="17" t="s">
        <v>1287</v>
      </c>
      <c r="B618" s="1">
        <v>45260</v>
      </c>
      <c r="C618" s="8">
        <v>45265</v>
      </c>
      <c r="D618" t="s">
        <v>29</v>
      </c>
      <c r="E618" t="s">
        <v>30</v>
      </c>
      <c r="F618" s="49">
        <f t="shared" ca="1" si="9"/>
        <v>4</v>
      </c>
      <c r="G618" s="16" t="s">
        <v>31</v>
      </c>
      <c r="H618" s="11" t="s">
        <v>1288</v>
      </c>
      <c r="I618" t="s">
        <v>730</v>
      </c>
      <c r="J618" s="14" t="s">
        <v>136</v>
      </c>
      <c r="K618" t="s">
        <v>90</v>
      </c>
      <c r="L618" t="s">
        <v>36</v>
      </c>
      <c r="M618" t="str">
        <f>VLOOKUP(Incidents[[#This Row],[Ticket ID]],[1]Incidents!$A$2:$D$792,4,FALSE)</f>
        <v>4 - Low</v>
      </c>
      <c r="N618">
        <f>VLOOKUP(Incidents[[#This Row],[Priority]],'SLA Config'!$B$3:$C$6,2,FALSE)</f>
        <v>25</v>
      </c>
      <c r="O618" t="str">
        <f ca="1">IF(Incidents[[#This Row],[Age (days)]]&gt;Incidents[[#This Row],[SLA Threshold]],"NO","Yes")</f>
        <v>Yes</v>
      </c>
    </row>
    <row r="619" spans="1:15" x14ac:dyDescent="0.25">
      <c r="A619" s="17" t="s">
        <v>1289</v>
      </c>
      <c r="B619" s="1">
        <v>45261</v>
      </c>
      <c r="C619" s="8">
        <v>45266</v>
      </c>
      <c r="D619" t="s">
        <v>29</v>
      </c>
      <c r="E619" s="17" t="s">
        <v>30</v>
      </c>
      <c r="F619" s="49">
        <f t="shared" ca="1" si="9"/>
        <v>4</v>
      </c>
      <c r="G619" s="16" t="s">
        <v>31</v>
      </c>
      <c r="H619" s="11" t="s">
        <v>1290</v>
      </c>
      <c r="I619" t="s">
        <v>730</v>
      </c>
      <c r="J619" s="14" t="s">
        <v>136</v>
      </c>
      <c r="K619" t="s">
        <v>90</v>
      </c>
      <c r="L619" t="s">
        <v>36</v>
      </c>
      <c r="M619" t="str">
        <f>VLOOKUP(Incidents[[#This Row],[Ticket ID]],[1]Incidents!$A$2:$D$792,4,FALSE)</f>
        <v>4 - Low</v>
      </c>
      <c r="N619">
        <f>VLOOKUP(Incidents[[#This Row],[Priority]],'SLA Config'!$B$3:$C$6,2,FALSE)</f>
        <v>25</v>
      </c>
      <c r="O619" t="str">
        <f ca="1">IF(Incidents[[#This Row],[Age (days)]]&gt;Incidents[[#This Row],[SLA Threshold]],"NO","Yes")</f>
        <v>Yes</v>
      </c>
    </row>
    <row r="620" spans="1:15" x14ac:dyDescent="0.25">
      <c r="A620" s="2" t="s">
        <v>1291</v>
      </c>
      <c r="B620" s="1">
        <v>45266</v>
      </c>
      <c r="C620" s="8">
        <v>45271</v>
      </c>
      <c r="D620" t="s">
        <v>29</v>
      </c>
      <c r="E620" t="s">
        <v>30</v>
      </c>
      <c r="F620" s="49">
        <f t="shared" ca="1" si="9"/>
        <v>4</v>
      </c>
      <c r="G620" s="16" t="s">
        <v>31</v>
      </c>
      <c r="H620" s="11" t="s">
        <v>1292</v>
      </c>
      <c r="I620" t="s">
        <v>730</v>
      </c>
      <c r="J620" s="14" t="s">
        <v>136</v>
      </c>
      <c r="K620" t="s">
        <v>90</v>
      </c>
      <c r="L620" t="s">
        <v>36</v>
      </c>
      <c r="M620" t="str">
        <f>VLOOKUP(Incidents[[#This Row],[Ticket ID]],[1]Incidents!$A$2:$D$792,4,FALSE)</f>
        <v>4 - Low</v>
      </c>
      <c r="N620">
        <f>VLOOKUP(Incidents[[#This Row],[Priority]],'SLA Config'!$B$3:$C$6,2,FALSE)</f>
        <v>25</v>
      </c>
      <c r="O620" t="str">
        <f ca="1">IF(Incidents[[#This Row],[Age (days)]]&gt;Incidents[[#This Row],[SLA Threshold]],"NO","Yes")</f>
        <v>Yes</v>
      </c>
    </row>
    <row r="621" spans="1:15" ht="30" x14ac:dyDescent="0.25">
      <c r="A621" s="19" t="s">
        <v>1293</v>
      </c>
      <c r="B621" s="1">
        <v>45310</v>
      </c>
      <c r="C621" s="8">
        <v>45315</v>
      </c>
      <c r="D621" t="s">
        <v>29</v>
      </c>
      <c r="E621" t="s">
        <v>38</v>
      </c>
      <c r="F621" s="49">
        <f t="shared" ca="1" si="9"/>
        <v>4</v>
      </c>
      <c r="G621" s="16" t="s">
        <v>31</v>
      </c>
      <c r="H621" s="11" t="s">
        <v>1294</v>
      </c>
      <c r="I621" t="s">
        <v>730</v>
      </c>
      <c r="J621" s="14" t="s">
        <v>136</v>
      </c>
      <c r="K621" t="s">
        <v>41</v>
      </c>
      <c r="L621" t="s">
        <v>36</v>
      </c>
      <c r="M621" t="str">
        <f>VLOOKUP(Incidents[[#This Row],[Ticket ID]],[1]Incidents!$A$2:$D$792,4,FALSE)</f>
        <v>4 - Low</v>
      </c>
      <c r="N621">
        <f>VLOOKUP(Incidents[[#This Row],[Priority]],'SLA Config'!$B$3:$C$6,2,FALSE)</f>
        <v>25</v>
      </c>
      <c r="O621" t="str">
        <f ca="1">IF(Incidents[[#This Row],[Age (days)]]&gt;Incidents[[#This Row],[SLA Threshold]],"NO","Yes")</f>
        <v>Yes</v>
      </c>
    </row>
    <row r="622" spans="1:15" x14ac:dyDescent="0.25">
      <c r="A622" s="2" t="s">
        <v>1295</v>
      </c>
      <c r="B622" s="1">
        <v>45345</v>
      </c>
      <c r="C622" s="8">
        <v>45350</v>
      </c>
      <c r="D622" t="s">
        <v>29</v>
      </c>
      <c r="E622" t="s">
        <v>38</v>
      </c>
      <c r="F622" s="49">
        <f t="shared" ca="1" si="9"/>
        <v>4</v>
      </c>
      <c r="G622" s="16" t="s">
        <v>31</v>
      </c>
      <c r="H622" s="11" t="s">
        <v>1296</v>
      </c>
      <c r="I622" t="s">
        <v>730</v>
      </c>
      <c r="J622" s="14" t="s">
        <v>136</v>
      </c>
      <c r="K622" t="s">
        <v>44</v>
      </c>
      <c r="L622" t="s">
        <v>36</v>
      </c>
      <c r="M622" t="str">
        <f>VLOOKUP(Incidents[[#This Row],[Ticket ID]],[1]Incidents!$A$2:$D$792,4,FALSE)</f>
        <v>3 - Medium</v>
      </c>
      <c r="N622">
        <f>VLOOKUP(Incidents[[#This Row],[Priority]],'SLA Config'!$B$3:$C$6,2,FALSE)</f>
        <v>15</v>
      </c>
      <c r="O622" t="str">
        <f ca="1">IF(Incidents[[#This Row],[Age (days)]]&gt;Incidents[[#This Row],[SLA Threshold]],"NO","Yes")</f>
        <v>Yes</v>
      </c>
    </row>
    <row r="623" spans="1:15" x14ac:dyDescent="0.25">
      <c r="A623" s="2" t="s">
        <v>1297</v>
      </c>
      <c r="B623" s="1">
        <v>45351</v>
      </c>
      <c r="C623" s="8">
        <v>45356</v>
      </c>
      <c r="D623" t="s">
        <v>29</v>
      </c>
      <c r="E623" t="s">
        <v>38</v>
      </c>
      <c r="F623" s="49">
        <f t="shared" ca="1" si="9"/>
        <v>4</v>
      </c>
      <c r="G623" s="16" t="s">
        <v>31</v>
      </c>
      <c r="H623" s="11" t="s">
        <v>1298</v>
      </c>
      <c r="I623" t="s">
        <v>730</v>
      </c>
      <c r="J623" s="14" t="s">
        <v>136</v>
      </c>
      <c r="K623" t="s">
        <v>44</v>
      </c>
      <c r="L623" t="s">
        <v>36</v>
      </c>
      <c r="M623" t="str">
        <f>VLOOKUP(Incidents[[#This Row],[Ticket ID]],[1]Incidents!$A$2:$D$792,4,FALSE)</f>
        <v>3 - Medium</v>
      </c>
      <c r="N623">
        <f>VLOOKUP(Incidents[[#This Row],[Priority]],'SLA Config'!$B$3:$C$6,2,FALSE)</f>
        <v>15</v>
      </c>
      <c r="O623" t="str">
        <f ca="1">IF(Incidents[[#This Row],[Age (days)]]&gt;Incidents[[#This Row],[SLA Threshold]],"NO","Yes")</f>
        <v>Yes</v>
      </c>
    </row>
    <row r="624" spans="1:15" x14ac:dyDescent="0.25">
      <c r="A624" s="19" t="s">
        <v>1299</v>
      </c>
      <c r="B624" s="8">
        <v>45462</v>
      </c>
      <c r="C624" s="8">
        <v>45467</v>
      </c>
      <c r="D624" t="s">
        <v>29</v>
      </c>
      <c r="E624" t="s">
        <v>46</v>
      </c>
      <c r="F624" s="49">
        <f t="shared" ca="1" si="9"/>
        <v>4</v>
      </c>
      <c r="G624" s="16" t="s">
        <v>31</v>
      </c>
      <c r="H624" t="s">
        <v>1300</v>
      </c>
      <c r="I624" t="s">
        <v>730</v>
      </c>
      <c r="J624" s="14" t="s">
        <v>136</v>
      </c>
      <c r="K624" t="s">
        <v>35</v>
      </c>
      <c r="L624" s="27" t="s">
        <v>36</v>
      </c>
      <c r="M624" t="str">
        <f>VLOOKUP(Incidents[[#This Row],[Ticket ID]],[1]Incidents!$A$2:$D$792,4,FALSE)</f>
        <v>4 - Low</v>
      </c>
      <c r="N624">
        <f>VLOOKUP(Incidents[[#This Row],[Priority]],'SLA Config'!$B$3:$C$6,2,FALSE)</f>
        <v>25</v>
      </c>
      <c r="O624" t="str">
        <f ca="1">IF(Incidents[[#This Row],[Age (days)]]&gt;Incidents[[#This Row],[SLA Threshold]],"NO","Yes")</f>
        <v>Yes</v>
      </c>
    </row>
    <row r="625" spans="1:15" x14ac:dyDescent="0.25">
      <c r="A625" s="19" t="s">
        <v>1301</v>
      </c>
      <c r="B625" s="8">
        <v>45496</v>
      </c>
      <c r="C625" s="8">
        <v>45501</v>
      </c>
      <c r="D625" t="s">
        <v>29</v>
      </c>
      <c r="E625" s="17" t="s">
        <v>46</v>
      </c>
      <c r="F625" s="49">
        <f t="shared" ca="1" si="9"/>
        <v>4</v>
      </c>
      <c r="G625" s="16" t="s">
        <v>31</v>
      </c>
      <c r="H625" t="s">
        <v>1302</v>
      </c>
      <c r="I625" t="s">
        <v>730</v>
      </c>
      <c r="J625" s="14" t="s">
        <v>136</v>
      </c>
      <c r="K625" t="s">
        <v>35</v>
      </c>
      <c r="L625" t="s">
        <v>36</v>
      </c>
      <c r="M625" t="str">
        <f>VLOOKUP(Incidents[[#This Row],[Ticket ID]],[1]Incidents!$A$2:$D$792,4,FALSE)</f>
        <v>4 - Low</v>
      </c>
      <c r="N625">
        <f>VLOOKUP(Incidents[[#This Row],[Priority]],'SLA Config'!$B$3:$C$6,2,FALSE)</f>
        <v>25</v>
      </c>
      <c r="O625" t="str">
        <f ca="1">IF(Incidents[[#This Row],[Age (days)]]&gt;Incidents[[#This Row],[SLA Threshold]],"NO","Yes")</f>
        <v>Yes</v>
      </c>
    </row>
    <row r="626" spans="1:15" x14ac:dyDescent="0.25">
      <c r="A626" s="19" t="s">
        <v>1303</v>
      </c>
      <c r="B626" s="8">
        <v>45498</v>
      </c>
      <c r="C626" s="8">
        <v>45503</v>
      </c>
      <c r="D626" t="s">
        <v>29</v>
      </c>
      <c r="E626" t="s">
        <v>46</v>
      </c>
      <c r="F626" s="49">
        <f t="shared" ca="1" si="9"/>
        <v>4</v>
      </c>
      <c r="G626" s="16" t="s">
        <v>31</v>
      </c>
      <c r="H626" t="s">
        <v>1304</v>
      </c>
      <c r="I626" t="s">
        <v>730</v>
      </c>
      <c r="J626" s="14" t="s">
        <v>136</v>
      </c>
      <c r="K626" t="s">
        <v>35</v>
      </c>
      <c r="L626" t="s">
        <v>36</v>
      </c>
      <c r="M626" t="str">
        <f>VLOOKUP(Incidents[[#This Row],[Ticket ID]],[1]Incidents!$A$2:$D$792,4,FALSE)</f>
        <v>4 - Low</v>
      </c>
      <c r="N626">
        <f>VLOOKUP(Incidents[[#This Row],[Priority]],'SLA Config'!$B$3:$C$6,2,FALSE)</f>
        <v>25</v>
      </c>
      <c r="O626" t="str">
        <f ca="1">IF(Incidents[[#This Row],[Age (days)]]&gt;Incidents[[#This Row],[SLA Threshold]],"NO","Yes")</f>
        <v>Yes</v>
      </c>
    </row>
    <row r="627" spans="1:15" x14ac:dyDescent="0.25">
      <c r="A627" s="19" t="s">
        <v>1305</v>
      </c>
      <c r="B627" s="8">
        <v>45527</v>
      </c>
      <c r="C627" s="8">
        <v>45532</v>
      </c>
      <c r="D627" t="s">
        <v>29</v>
      </c>
      <c r="E627" s="17" t="s">
        <v>324</v>
      </c>
      <c r="F627" s="49">
        <f t="shared" ca="1" si="9"/>
        <v>4</v>
      </c>
      <c r="G627" s="16" t="s">
        <v>31</v>
      </c>
      <c r="H627" t="s">
        <v>896</v>
      </c>
      <c r="I627" t="s">
        <v>730</v>
      </c>
      <c r="J627" s="14" t="s">
        <v>136</v>
      </c>
      <c r="K627" t="s">
        <v>717</v>
      </c>
      <c r="L627" s="27" t="s">
        <v>36</v>
      </c>
      <c r="M627" t="str">
        <f>VLOOKUP(Incidents[[#This Row],[Ticket ID]],[1]Incidents!$A$2:$D$792,4,FALSE)</f>
        <v>4 - Low</v>
      </c>
      <c r="N627">
        <f>VLOOKUP(Incidents[[#This Row],[Priority]],'SLA Config'!$B$3:$C$6,2,FALSE)</f>
        <v>25</v>
      </c>
      <c r="O627" t="str">
        <f ca="1">IF(Incidents[[#This Row],[Age (days)]]&gt;Incidents[[#This Row],[SLA Threshold]],"NO","Yes")</f>
        <v>Yes</v>
      </c>
    </row>
    <row r="628" spans="1:15" x14ac:dyDescent="0.25">
      <c r="A628" s="2" t="s">
        <v>1306</v>
      </c>
      <c r="B628" s="1">
        <v>45540</v>
      </c>
      <c r="C628" s="8">
        <v>45545</v>
      </c>
      <c r="D628" t="s">
        <v>29</v>
      </c>
      <c r="E628" t="s">
        <v>324</v>
      </c>
      <c r="F628" s="49">
        <f t="shared" ca="1" si="9"/>
        <v>4</v>
      </c>
      <c r="G628" t="s">
        <v>31</v>
      </c>
      <c r="H628" t="s">
        <v>896</v>
      </c>
      <c r="I628" t="s">
        <v>730</v>
      </c>
      <c r="J628" s="14" t="s">
        <v>136</v>
      </c>
      <c r="K628" t="s">
        <v>717</v>
      </c>
      <c r="L628" t="s">
        <v>36</v>
      </c>
      <c r="M628" t="str">
        <f>VLOOKUP(Incidents[[#This Row],[Ticket ID]],[1]Incidents!$A$2:$D$792,4,FALSE)</f>
        <v>4 - Low</v>
      </c>
      <c r="N628">
        <f>VLOOKUP(Incidents[[#This Row],[Priority]],'SLA Config'!$B$3:$C$6,2,FALSE)</f>
        <v>25</v>
      </c>
      <c r="O628" t="str">
        <f ca="1">IF(Incidents[[#This Row],[Age (days)]]&gt;Incidents[[#This Row],[SLA Threshold]],"NO","Yes")</f>
        <v>Yes</v>
      </c>
    </row>
    <row r="629" spans="1:15" x14ac:dyDescent="0.25">
      <c r="A629" s="2" t="s">
        <v>1307</v>
      </c>
      <c r="B629" s="1">
        <v>45541</v>
      </c>
      <c r="C629" s="8">
        <v>45546</v>
      </c>
      <c r="D629" t="s">
        <v>29</v>
      </c>
      <c r="E629" t="s">
        <v>30</v>
      </c>
      <c r="F629" s="49">
        <f t="shared" ca="1" si="9"/>
        <v>4</v>
      </c>
      <c r="G629" t="s">
        <v>31</v>
      </c>
      <c r="H629" t="s">
        <v>896</v>
      </c>
      <c r="I629" t="s">
        <v>730</v>
      </c>
      <c r="J629" s="14" t="s">
        <v>136</v>
      </c>
      <c r="K629" t="s">
        <v>717</v>
      </c>
      <c r="L629" t="s">
        <v>36</v>
      </c>
      <c r="M629" t="str">
        <f>VLOOKUP(Incidents[[#This Row],[Ticket ID]],[1]Incidents!$A$2:$D$792,4,FALSE)</f>
        <v>4 - Low</v>
      </c>
      <c r="N629">
        <f>VLOOKUP(Incidents[[#This Row],[Priority]],'SLA Config'!$B$3:$C$6,2,FALSE)</f>
        <v>25</v>
      </c>
      <c r="O629" t="str">
        <f ca="1">IF(Incidents[[#This Row],[Age (days)]]&gt;Incidents[[#This Row],[SLA Threshold]],"NO","Yes")</f>
        <v>Yes</v>
      </c>
    </row>
    <row r="630" spans="1:15" x14ac:dyDescent="0.25">
      <c r="A630" s="2" t="s">
        <v>1308</v>
      </c>
      <c r="B630" s="1">
        <v>45545</v>
      </c>
      <c r="C630" s="8">
        <v>45550</v>
      </c>
      <c r="D630" t="s">
        <v>29</v>
      </c>
      <c r="E630" t="s">
        <v>38</v>
      </c>
      <c r="F630" s="49">
        <f t="shared" ca="1" si="9"/>
        <v>4</v>
      </c>
      <c r="G630" t="s">
        <v>31</v>
      </c>
      <c r="H630" t="s">
        <v>896</v>
      </c>
      <c r="I630" t="s">
        <v>730</v>
      </c>
      <c r="J630" s="14" t="s">
        <v>136</v>
      </c>
      <c r="K630" t="s">
        <v>717</v>
      </c>
      <c r="L630" t="s">
        <v>36</v>
      </c>
      <c r="M630" t="str">
        <f>VLOOKUP(Incidents[[#This Row],[Ticket ID]],[1]Incidents!$A$2:$D$792,4,FALSE)</f>
        <v>4 - Low</v>
      </c>
      <c r="N630">
        <f>VLOOKUP(Incidents[[#This Row],[Priority]],'SLA Config'!$B$3:$C$6,2,FALSE)</f>
        <v>25</v>
      </c>
      <c r="O630" t="str">
        <f ca="1">IF(Incidents[[#This Row],[Age (days)]]&gt;Incidents[[#This Row],[SLA Threshold]],"NO","Yes")</f>
        <v>Yes</v>
      </c>
    </row>
    <row r="631" spans="1:15" x14ac:dyDescent="0.25">
      <c r="A631" s="2" t="s">
        <v>1309</v>
      </c>
      <c r="B631" s="1">
        <v>45546</v>
      </c>
      <c r="C631" s="8">
        <v>45551</v>
      </c>
      <c r="D631" t="s">
        <v>29</v>
      </c>
      <c r="E631" t="s">
        <v>324</v>
      </c>
      <c r="F631" s="49">
        <f t="shared" ca="1" si="9"/>
        <v>4</v>
      </c>
      <c r="G631" t="s">
        <v>31</v>
      </c>
      <c r="H631" t="s">
        <v>896</v>
      </c>
      <c r="I631" t="s">
        <v>730</v>
      </c>
      <c r="J631" s="14" t="s">
        <v>136</v>
      </c>
      <c r="K631" t="s">
        <v>717</v>
      </c>
      <c r="L631" t="s">
        <v>36</v>
      </c>
      <c r="M631" t="str">
        <f>VLOOKUP(Incidents[[#This Row],[Ticket ID]],[1]Incidents!$A$2:$D$792,4,FALSE)</f>
        <v>4 - Low</v>
      </c>
      <c r="N631">
        <f>VLOOKUP(Incidents[[#This Row],[Priority]],'SLA Config'!$B$3:$C$6,2,FALSE)</f>
        <v>25</v>
      </c>
      <c r="O631" t="str">
        <f ca="1">IF(Incidents[[#This Row],[Age (days)]]&gt;Incidents[[#This Row],[SLA Threshold]],"NO","Yes")</f>
        <v>Yes</v>
      </c>
    </row>
    <row r="632" spans="1:15" x14ac:dyDescent="0.25">
      <c r="A632" s="2" t="s">
        <v>1310</v>
      </c>
      <c r="B632" s="1">
        <v>45547</v>
      </c>
      <c r="C632" s="8">
        <v>45552</v>
      </c>
      <c r="D632" t="s">
        <v>29</v>
      </c>
      <c r="E632" t="s">
        <v>46</v>
      </c>
      <c r="F632" s="49">
        <f t="shared" ca="1" si="9"/>
        <v>4</v>
      </c>
      <c r="G632" t="s">
        <v>31</v>
      </c>
      <c r="H632" t="s">
        <v>896</v>
      </c>
      <c r="I632" t="s">
        <v>730</v>
      </c>
      <c r="J632" s="14" t="s">
        <v>136</v>
      </c>
      <c r="K632" t="s">
        <v>717</v>
      </c>
      <c r="L632" t="s">
        <v>36</v>
      </c>
      <c r="M632" t="str">
        <f>VLOOKUP(Incidents[[#This Row],[Ticket ID]],[1]Incidents!$A$2:$D$792,4,FALSE)</f>
        <v>4 - Low</v>
      </c>
      <c r="N632">
        <f>VLOOKUP(Incidents[[#This Row],[Priority]],'SLA Config'!$B$3:$C$6,2,FALSE)</f>
        <v>25</v>
      </c>
      <c r="O632" t="str">
        <f ca="1">IF(Incidents[[#This Row],[Age (days)]]&gt;Incidents[[#This Row],[SLA Threshold]],"NO","Yes")</f>
        <v>Yes</v>
      </c>
    </row>
    <row r="633" spans="1:15" x14ac:dyDescent="0.25">
      <c r="A633" s="2" t="s">
        <v>1311</v>
      </c>
      <c r="B633" s="1">
        <v>45548</v>
      </c>
      <c r="C633" s="8">
        <v>45553</v>
      </c>
      <c r="D633" t="s">
        <v>29</v>
      </c>
      <c r="E633" t="s">
        <v>38</v>
      </c>
      <c r="F633" s="49">
        <f t="shared" ca="1" si="9"/>
        <v>4</v>
      </c>
      <c r="G633" t="s">
        <v>31</v>
      </c>
      <c r="H633" t="s">
        <v>896</v>
      </c>
      <c r="I633" t="s">
        <v>730</v>
      </c>
      <c r="J633" s="14" t="s">
        <v>136</v>
      </c>
      <c r="K633" t="s">
        <v>717</v>
      </c>
      <c r="L633" t="s">
        <v>36</v>
      </c>
      <c r="M633" t="str">
        <f>VLOOKUP(Incidents[[#This Row],[Ticket ID]],[1]Incidents!$A$2:$D$792,4,FALSE)</f>
        <v>4 - Low</v>
      </c>
      <c r="N633">
        <f>VLOOKUP(Incidents[[#This Row],[Priority]],'SLA Config'!$B$3:$C$6,2,FALSE)</f>
        <v>25</v>
      </c>
      <c r="O633" t="str">
        <f ca="1">IF(Incidents[[#This Row],[Age (days)]]&gt;Incidents[[#This Row],[SLA Threshold]],"NO","Yes")</f>
        <v>Yes</v>
      </c>
    </row>
    <row r="634" spans="1:15" x14ac:dyDescent="0.25">
      <c r="A634" s="19" t="s">
        <v>1312</v>
      </c>
      <c r="B634" s="8">
        <v>45601</v>
      </c>
      <c r="C634" s="29">
        <v>45606</v>
      </c>
      <c r="D634" s="28" t="s">
        <v>29</v>
      </c>
      <c r="E634" t="s">
        <v>38</v>
      </c>
      <c r="F634" s="49">
        <f t="shared" ca="1" si="9"/>
        <v>4</v>
      </c>
      <c r="G634" s="16" t="s">
        <v>31</v>
      </c>
      <c r="H634" t="s">
        <v>896</v>
      </c>
      <c r="I634" t="s">
        <v>730</v>
      </c>
      <c r="J634" s="14" t="s">
        <v>136</v>
      </c>
      <c r="K634" t="s">
        <v>717</v>
      </c>
      <c r="L634" t="s">
        <v>36</v>
      </c>
      <c r="M634" t="str">
        <f>VLOOKUP(Incidents[[#This Row],[Ticket ID]],[1]Incidents!$A$2:$D$792,4,FALSE)</f>
        <v>4 - Low</v>
      </c>
      <c r="N634">
        <f>VLOOKUP(Incidents[[#This Row],[Priority]],'SLA Config'!$B$3:$C$6,2,FALSE)</f>
        <v>25</v>
      </c>
      <c r="O634" t="str">
        <f ca="1">IF(Incidents[[#This Row],[Age (days)]]&gt;Incidents[[#This Row],[SLA Threshold]],"NO","Yes")</f>
        <v>Yes</v>
      </c>
    </row>
    <row r="635" spans="1:15" ht="15.75" x14ac:dyDescent="0.25">
      <c r="A635" s="2" t="s">
        <v>1313</v>
      </c>
      <c r="B635" s="31">
        <v>45715</v>
      </c>
      <c r="C635" s="8">
        <v>45725</v>
      </c>
      <c r="D635" s="28" t="s">
        <v>29</v>
      </c>
      <c r="E635" t="s">
        <v>1314</v>
      </c>
      <c r="F635" s="49">
        <f t="shared" ca="1" si="9"/>
        <v>7</v>
      </c>
      <c r="G635" s="16" t="s">
        <v>31</v>
      </c>
      <c r="H635" s="11" t="s">
        <v>1315</v>
      </c>
      <c r="I635" t="s">
        <v>730</v>
      </c>
      <c r="J635" s="14"/>
      <c r="K635" t="s">
        <v>1316</v>
      </c>
      <c r="L635" t="s">
        <v>36</v>
      </c>
      <c r="M635" t="str">
        <f>VLOOKUP(Incidents[[#This Row],[Ticket ID]],[1]Incidents!$A$2:$D$792,4,FALSE)</f>
        <v>4 - Low</v>
      </c>
      <c r="N635">
        <f>VLOOKUP(Incidents[[#This Row],[Priority]],'SLA Config'!$B$3:$C$6,2,FALSE)</f>
        <v>25</v>
      </c>
      <c r="O635" t="str">
        <f ca="1">IF(Incidents[[#This Row],[Age (days)]]&gt;Incidents[[#This Row],[SLA Threshold]],"NO","Yes")</f>
        <v>Yes</v>
      </c>
    </row>
    <row r="636" spans="1:15" x14ac:dyDescent="0.25">
      <c r="A636" s="28" t="s">
        <v>1317</v>
      </c>
      <c r="B636" s="29">
        <v>45703</v>
      </c>
      <c r="C636" s="8">
        <v>45721</v>
      </c>
      <c r="D636" s="28" t="s">
        <v>29</v>
      </c>
      <c r="E636" s="28" t="s">
        <v>46</v>
      </c>
      <c r="F636" s="49">
        <f t="shared" ca="1" si="9"/>
        <v>13</v>
      </c>
      <c r="G636" s="28" t="s">
        <v>31</v>
      </c>
      <c r="H636" s="28" t="s">
        <v>716</v>
      </c>
      <c r="I636" t="s">
        <v>730</v>
      </c>
      <c r="J636" s="14"/>
      <c r="K636" s="28" t="s">
        <v>717</v>
      </c>
      <c r="L636" t="s">
        <v>36</v>
      </c>
      <c r="M636" t="str">
        <f>VLOOKUP(Incidents[[#This Row],[Ticket ID]],[1]Incidents!$A$2:$D$792,4,FALSE)</f>
        <v>4 - Low</v>
      </c>
      <c r="N636">
        <f>VLOOKUP(Incidents[[#This Row],[Priority]],'SLA Config'!$B$3:$C$6,2,FALSE)</f>
        <v>25</v>
      </c>
      <c r="O636" t="str">
        <f ca="1">IF(Incidents[[#This Row],[Age (days)]]&gt;Incidents[[#This Row],[SLA Threshold]],"NO","Yes")</f>
        <v>Yes</v>
      </c>
    </row>
    <row r="637" spans="1:15" ht="15.75" x14ac:dyDescent="0.25">
      <c r="A637" s="2" t="s">
        <v>1318</v>
      </c>
      <c r="B637" s="31">
        <v>45714</v>
      </c>
      <c r="C637" s="31">
        <v>45719</v>
      </c>
      <c r="D637" t="s">
        <v>29</v>
      </c>
      <c r="E637" t="s">
        <v>38</v>
      </c>
      <c r="F637" s="49">
        <f t="shared" ca="1" si="9"/>
        <v>4</v>
      </c>
      <c r="G637" s="16" t="s">
        <v>31</v>
      </c>
      <c r="H637" s="11" t="s">
        <v>1099</v>
      </c>
      <c r="I637" t="s">
        <v>730</v>
      </c>
      <c r="J637" s="14"/>
      <c r="K637" t="s">
        <v>717</v>
      </c>
      <c r="L637" t="s">
        <v>36</v>
      </c>
      <c r="M637" t="str">
        <f>VLOOKUP(Incidents[[#This Row],[Ticket ID]],[1]Incidents!$A$2:$D$792,4,FALSE)</f>
        <v>4 - Low</v>
      </c>
      <c r="N637">
        <f>VLOOKUP(Incidents[[#This Row],[Priority]],'SLA Config'!$B$3:$C$6,2,FALSE)</f>
        <v>25</v>
      </c>
      <c r="O637" t="str">
        <f ca="1">IF(Incidents[[#This Row],[Age (days)]]&gt;Incidents[[#This Row],[SLA Threshold]],"NO","Yes")</f>
        <v>Yes</v>
      </c>
    </row>
    <row r="638" spans="1:15" ht="30" x14ac:dyDescent="0.25">
      <c r="A638" s="2" t="s">
        <v>1319</v>
      </c>
      <c r="B638" s="1">
        <v>45152</v>
      </c>
      <c r="C638" s="8">
        <v>45185</v>
      </c>
      <c r="D638" t="s">
        <v>29</v>
      </c>
      <c r="E638" s="17" t="s">
        <v>104</v>
      </c>
      <c r="F638" s="49">
        <f t="shared" ca="1" si="9"/>
        <v>25</v>
      </c>
      <c r="G638" s="16" t="s">
        <v>31</v>
      </c>
      <c r="H638" s="11" t="s">
        <v>1320</v>
      </c>
      <c r="I638" t="s">
        <v>1321</v>
      </c>
      <c r="J638" s="14" t="s">
        <v>1322</v>
      </c>
      <c r="K638" t="s">
        <v>1323</v>
      </c>
      <c r="L638" t="s">
        <v>427</v>
      </c>
      <c r="M638" t="str">
        <f>VLOOKUP(Incidents[[#This Row],[Ticket ID]],[1]Incidents!$A$2:$D$792,4,FALSE)</f>
        <v>4 - Low</v>
      </c>
      <c r="N638">
        <f>VLOOKUP(Incidents[[#This Row],[Priority]],'SLA Config'!$B$3:$C$6,2,FALSE)</f>
        <v>25</v>
      </c>
      <c r="O638" t="str">
        <f ca="1">IF(Incidents[[#This Row],[Age (days)]]&gt;Incidents[[#This Row],[SLA Threshold]],"NO","Yes")</f>
        <v>Yes</v>
      </c>
    </row>
    <row r="639" spans="1:15" x14ac:dyDescent="0.25">
      <c r="A639" t="s">
        <v>1324</v>
      </c>
      <c r="B639" s="1">
        <v>44713</v>
      </c>
      <c r="C639" s="1">
        <v>44718</v>
      </c>
      <c r="D639" t="s">
        <v>29</v>
      </c>
      <c r="E639" t="s">
        <v>38</v>
      </c>
      <c r="F639" s="49">
        <f t="shared" ca="1" si="9"/>
        <v>4</v>
      </c>
      <c r="G639" s="16" t="s">
        <v>31</v>
      </c>
      <c r="H639" s="11" t="s">
        <v>1325</v>
      </c>
      <c r="I639" t="s">
        <v>1321</v>
      </c>
      <c r="J639" s="14" t="s">
        <v>76</v>
      </c>
      <c r="K639" t="s">
        <v>41</v>
      </c>
      <c r="L639" t="s">
        <v>120</v>
      </c>
      <c r="M639" t="str">
        <f>VLOOKUP(Incidents[[#This Row],[Ticket ID]],[1]Incidents!$A$2:$D$792,4,FALSE)</f>
        <v>4 - Low</v>
      </c>
      <c r="N639">
        <f>VLOOKUP(Incidents[[#This Row],[Priority]],'SLA Config'!$B$3:$C$6,2,FALSE)</f>
        <v>25</v>
      </c>
      <c r="O639" t="str">
        <f ca="1">IF(Incidents[[#This Row],[Age (days)]]&gt;Incidents[[#This Row],[SLA Threshold]],"NO","Yes")</f>
        <v>Yes</v>
      </c>
    </row>
    <row r="640" spans="1:15" x14ac:dyDescent="0.25">
      <c r="A640" s="19" t="s">
        <v>1326</v>
      </c>
      <c r="B640" s="1">
        <v>45294</v>
      </c>
      <c r="C640" s="8">
        <v>45335</v>
      </c>
      <c r="D640" t="s">
        <v>29</v>
      </c>
      <c r="E640" t="s">
        <v>324</v>
      </c>
      <c r="F640" s="49">
        <f t="shared" ca="1" si="9"/>
        <v>30</v>
      </c>
      <c r="G640" s="16" t="s">
        <v>51</v>
      </c>
      <c r="H640" s="11" t="s">
        <v>591</v>
      </c>
      <c r="I640" t="s">
        <v>1327</v>
      </c>
      <c r="J640" s="14" t="s">
        <v>1328</v>
      </c>
      <c r="K640" t="s">
        <v>207</v>
      </c>
      <c r="L640" t="s">
        <v>71</v>
      </c>
      <c r="M640" t="str">
        <f>VLOOKUP(Incidents[[#This Row],[Ticket ID]],[1]Incidents!$A$2:$D$792,4,FALSE)</f>
        <v>3 - Medium</v>
      </c>
      <c r="N640">
        <f>VLOOKUP(Incidents[[#This Row],[Priority]],'SLA Config'!$B$3:$C$6,2,FALSE)</f>
        <v>15</v>
      </c>
      <c r="O640" t="str">
        <f ca="1">IF(Incidents[[#This Row],[Age (days)]]&gt;Incidents[[#This Row],[SLA Threshold]],"NO","Yes")</f>
        <v>NO</v>
      </c>
    </row>
    <row r="641" spans="1:15" x14ac:dyDescent="0.25">
      <c r="A641" t="s">
        <v>1329</v>
      </c>
      <c r="B641" s="1">
        <v>44721</v>
      </c>
      <c r="C641" s="1">
        <v>44761</v>
      </c>
      <c r="D641" t="s">
        <v>29</v>
      </c>
      <c r="E641" t="s">
        <v>38</v>
      </c>
      <c r="F641" s="49">
        <f t="shared" ca="1" si="9"/>
        <v>29</v>
      </c>
      <c r="G641" s="16" t="s">
        <v>51</v>
      </c>
      <c r="H641" s="11" t="s">
        <v>1330</v>
      </c>
      <c r="I641" t="s">
        <v>1327</v>
      </c>
      <c r="J641" s="14" t="s">
        <v>34</v>
      </c>
      <c r="K641" t="s">
        <v>41</v>
      </c>
      <c r="L641" t="s">
        <v>36</v>
      </c>
      <c r="M641" t="str">
        <f>VLOOKUP(Incidents[[#This Row],[Ticket ID]],[1]Incidents!$A$2:$D$792,4,FALSE)</f>
        <v>4 - Low</v>
      </c>
      <c r="N641">
        <f>VLOOKUP(Incidents[[#This Row],[Priority]],'SLA Config'!$B$3:$C$6,2,FALSE)</f>
        <v>25</v>
      </c>
      <c r="O641" t="str">
        <f ca="1">IF(Incidents[[#This Row],[Age (days)]]&gt;Incidents[[#This Row],[SLA Threshold]],"NO","Yes")</f>
        <v>NO</v>
      </c>
    </row>
    <row r="642" spans="1:15" x14ac:dyDescent="0.25">
      <c r="A642" t="s">
        <v>1331</v>
      </c>
      <c r="B642" s="1">
        <v>44644</v>
      </c>
      <c r="C642" s="1">
        <v>44667</v>
      </c>
      <c r="D642" t="s">
        <v>29</v>
      </c>
      <c r="E642" t="s">
        <v>38</v>
      </c>
      <c r="F642" s="49">
        <f t="shared" ref="F642:F705" ca="1" si="10">IF(ISBLANK(C642), NETWORKDAYS(B642,TODAY()), NETWORKDAYS(B642,C642))</f>
        <v>17</v>
      </c>
      <c r="G642" s="16" t="s">
        <v>51</v>
      </c>
      <c r="H642" s="11" t="s">
        <v>1332</v>
      </c>
      <c r="I642" t="s">
        <v>1327</v>
      </c>
      <c r="J642" s="14" t="s">
        <v>34</v>
      </c>
      <c r="K642" t="s">
        <v>741</v>
      </c>
      <c r="L642" t="s">
        <v>36</v>
      </c>
      <c r="M642" t="str">
        <f>VLOOKUP(Incidents[[#This Row],[Ticket ID]],[1]Incidents!$A$2:$D$792,4,FALSE)</f>
        <v>4 - Low</v>
      </c>
      <c r="N642">
        <f>VLOOKUP(Incidents[[#This Row],[Priority]],'SLA Config'!$B$3:$C$6,2,FALSE)</f>
        <v>25</v>
      </c>
      <c r="O642" t="str">
        <f ca="1">IF(Incidents[[#This Row],[Age (days)]]&gt;Incidents[[#This Row],[SLA Threshold]],"NO","Yes")</f>
        <v>Yes</v>
      </c>
    </row>
    <row r="643" spans="1:15" x14ac:dyDescent="0.25">
      <c r="A643" s="19" t="s">
        <v>1333</v>
      </c>
      <c r="B643" s="1">
        <v>44938</v>
      </c>
      <c r="C643" s="1">
        <v>44982</v>
      </c>
      <c r="D643" t="s">
        <v>29</v>
      </c>
      <c r="E643" t="s">
        <v>1334</v>
      </c>
      <c r="F643" s="49">
        <f t="shared" ca="1" si="10"/>
        <v>32</v>
      </c>
      <c r="G643" s="16" t="s">
        <v>31</v>
      </c>
      <c r="H643" s="11" t="s">
        <v>1335</v>
      </c>
      <c r="I643" t="s">
        <v>1336</v>
      </c>
      <c r="J643" s="14" t="s">
        <v>40</v>
      </c>
      <c r="K643" t="s">
        <v>1337</v>
      </c>
      <c r="L643" t="s">
        <v>120</v>
      </c>
      <c r="M643" t="str">
        <f>VLOOKUP(Incidents[[#This Row],[Ticket ID]],[1]Incidents!$A$2:$D$792,4,FALSE)</f>
        <v>4 - Low</v>
      </c>
      <c r="N643">
        <f>VLOOKUP(Incidents[[#This Row],[Priority]],'SLA Config'!$B$3:$C$6,2,FALSE)</f>
        <v>25</v>
      </c>
      <c r="O643" t="str">
        <f ca="1">IF(Incidents[[#This Row],[Age (days)]]&gt;Incidents[[#This Row],[SLA Threshold]],"NO","Yes")</f>
        <v>NO</v>
      </c>
    </row>
    <row r="644" spans="1:15" x14ac:dyDescent="0.25">
      <c r="A644" s="19" t="s">
        <v>1338</v>
      </c>
      <c r="B644" s="8">
        <v>45393</v>
      </c>
      <c r="C644" s="8">
        <v>45433</v>
      </c>
      <c r="D644" t="s">
        <v>29</v>
      </c>
      <c r="E644" s="17" t="s">
        <v>104</v>
      </c>
      <c r="F644" s="49">
        <f t="shared" ca="1" si="10"/>
        <v>29</v>
      </c>
      <c r="G644" s="16" t="s">
        <v>31</v>
      </c>
      <c r="H644" s="11" t="s">
        <v>1339</v>
      </c>
      <c r="I644" t="s">
        <v>1336</v>
      </c>
      <c r="J644" s="14" t="s">
        <v>666</v>
      </c>
      <c r="K644" t="s">
        <v>1340</v>
      </c>
      <c r="L644" t="s">
        <v>120</v>
      </c>
      <c r="M644" t="str">
        <f>VLOOKUP(Incidents[[#This Row],[Ticket ID]],[1]Incidents!$A$2:$D$792,4,FALSE)</f>
        <v>4 - Low</v>
      </c>
      <c r="N644">
        <f>VLOOKUP(Incidents[[#This Row],[Priority]],'SLA Config'!$B$3:$C$6,2,FALSE)</f>
        <v>25</v>
      </c>
      <c r="O644" t="str">
        <f ca="1">IF(Incidents[[#This Row],[Age (days)]]&gt;Incidents[[#This Row],[SLA Threshold]],"NO","Yes")</f>
        <v>NO</v>
      </c>
    </row>
    <row r="645" spans="1:15" x14ac:dyDescent="0.25">
      <c r="A645" t="s">
        <v>1341</v>
      </c>
      <c r="B645" s="1">
        <v>44851</v>
      </c>
      <c r="C645" s="1">
        <v>44886</v>
      </c>
      <c r="D645" t="s">
        <v>29</v>
      </c>
      <c r="E645" t="s">
        <v>54</v>
      </c>
      <c r="F645" s="49">
        <f t="shared" ca="1" si="10"/>
        <v>26</v>
      </c>
      <c r="G645" s="16" t="s">
        <v>31</v>
      </c>
      <c r="H645" s="11" t="s">
        <v>1342</v>
      </c>
      <c r="I645" t="s">
        <v>1336</v>
      </c>
      <c r="J645" s="14" t="s">
        <v>40</v>
      </c>
      <c r="K645" t="s">
        <v>1343</v>
      </c>
      <c r="L645" t="s">
        <v>71</v>
      </c>
      <c r="M645" t="str">
        <f>VLOOKUP(Incidents[[#This Row],[Ticket ID]],[1]Incidents!$A$2:$D$792,4,FALSE)</f>
        <v>4 - Low</v>
      </c>
      <c r="N645">
        <f>VLOOKUP(Incidents[[#This Row],[Priority]],'SLA Config'!$B$3:$C$6,2,FALSE)</f>
        <v>25</v>
      </c>
      <c r="O645" t="str">
        <f ca="1">IF(Incidents[[#This Row],[Age (days)]]&gt;Incidents[[#This Row],[SLA Threshold]],"NO","Yes")</f>
        <v>NO</v>
      </c>
    </row>
    <row r="646" spans="1:15" ht="15.75" x14ac:dyDescent="0.25">
      <c r="A646" s="2" t="s">
        <v>1344</v>
      </c>
      <c r="B646" s="31">
        <v>45713</v>
      </c>
      <c r="C646" s="8">
        <v>45734</v>
      </c>
      <c r="D646" s="28" t="s">
        <v>29</v>
      </c>
      <c r="E646" t="s">
        <v>324</v>
      </c>
      <c r="F646" s="49">
        <f t="shared" ca="1" si="10"/>
        <v>16</v>
      </c>
      <c r="G646" s="16" t="s">
        <v>31</v>
      </c>
      <c r="H646" s="11" t="s">
        <v>1345</v>
      </c>
      <c r="I646" t="s">
        <v>1336</v>
      </c>
      <c r="J646" s="14"/>
      <c r="K646" t="s">
        <v>236</v>
      </c>
      <c r="L646" t="s">
        <v>36</v>
      </c>
      <c r="M646" t="str">
        <f>VLOOKUP(Incidents[[#This Row],[Ticket ID]],[1]Incidents!$A$2:$D$792,4,FALSE)</f>
        <v>4 - Low</v>
      </c>
      <c r="N646">
        <f>VLOOKUP(Incidents[[#This Row],[Priority]],'SLA Config'!$B$3:$C$6,2,FALSE)</f>
        <v>25</v>
      </c>
      <c r="O646" t="str">
        <f ca="1">IF(Incidents[[#This Row],[Age (days)]]&gt;Incidents[[#This Row],[SLA Threshold]],"NO","Yes")</f>
        <v>Yes</v>
      </c>
    </row>
    <row r="647" spans="1:15" x14ac:dyDescent="0.25">
      <c r="A647" s="2" t="s">
        <v>1346</v>
      </c>
      <c r="B647" s="1">
        <v>44992</v>
      </c>
      <c r="C647" s="8">
        <v>45010</v>
      </c>
      <c r="D647" t="s">
        <v>29</v>
      </c>
      <c r="E647" s="17" t="s">
        <v>324</v>
      </c>
      <c r="F647" s="49">
        <f t="shared" ca="1" si="10"/>
        <v>14</v>
      </c>
      <c r="G647" s="16" t="s">
        <v>31</v>
      </c>
      <c r="H647" s="11" t="s">
        <v>1347</v>
      </c>
      <c r="I647" t="s">
        <v>1336</v>
      </c>
      <c r="J647" s="14" t="s">
        <v>1348</v>
      </c>
      <c r="K647" t="s">
        <v>684</v>
      </c>
      <c r="L647" t="s">
        <v>71</v>
      </c>
      <c r="M647" t="str">
        <f>VLOOKUP(Incidents[[#This Row],[Ticket ID]],[1]Incidents!$A$2:$D$792,4,FALSE)</f>
        <v>4 - Low</v>
      </c>
      <c r="N647">
        <f>VLOOKUP(Incidents[[#This Row],[Priority]],'SLA Config'!$B$3:$C$6,2,FALSE)</f>
        <v>25</v>
      </c>
      <c r="O647" t="str">
        <f ca="1">IF(Incidents[[#This Row],[Age (days)]]&gt;Incidents[[#This Row],[SLA Threshold]],"NO","Yes")</f>
        <v>Yes</v>
      </c>
    </row>
    <row r="648" spans="1:15" x14ac:dyDescent="0.25">
      <c r="A648" t="s">
        <v>1349</v>
      </c>
      <c r="B648" s="1">
        <v>44876</v>
      </c>
      <c r="C648" s="1">
        <v>44891</v>
      </c>
      <c r="D648" t="s">
        <v>29</v>
      </c>
      <c r="E648" t="s">
        <v>324</v>
      </c>
      <c r="F648" s="49">
        <f t="shared" ca="1" si="10"/>
        <v>11</v>
      </c>
      <c r="G648" s="16" t="s">
        <v>51</v>
      </c>
      <c r="H648" s="11" t="s">
        <v>1350</v>
      </c>
      <c r="I648" t="s">
        <v>1336</v>
      </c>
      <c r="J648" s="14" t="s">
        <v>304</v>
      </c>
      <c r="K648" t="s">
        <v>1351</v>
      </c>
      <c r="L648" t="s">
        <v>427</v>
      </c>
      <c r="M648" t="str">
        <f>VLOOKUP(Incidents[[#This Row],[Ticket ID]],[1]Incidents!$A$2:$D$792,4,FALSE)</f>
        <v>4 - Low</v>
      </c>
      <c r="N648">
        <f>VLOOKUP(Incidents[[#This Row],[Priority]],'SLA Config'!$B$3:$C$6,2,FALSE)</f>
        <v>25</v>
      </c>
      <c r="O648" t="str">
        <f ca="1">IF(Incidents[[#This Row],[Age (days)]]&gt;Incidents[[#This Row],[SLA Threshold]],"NO","Yes")</f>
        <v>Yes</v>
      </c>
    </row>
    <row r="649" spans="1:15" x14ac:dyDescent="0.25">
      <c r="A649" s="2" t="s">
        <v>1352</v>
      </c>
      <c r="B649" s="1">
        <v>44971</v>
      </c>
      <c r="C649" s="8">
        <v>44985</v>
      </c>
      <c r="D649" t="s">
        <v>29</v>
      </c>
      <c r="E649" t="s">
        <v>324</v>
      </c>
      <c r="F649" s="49">
        <f t="shared" ca="1" si="10"/>
        <v>11</v>
      </c>
      <c r="G649" s="16" t="s">
        <v>31</v>
      </c>
      <c r="H649" s="11" t="s">
        <v>1353</v>
      </c>
      <c r="I649" t="s">
        <v>1336</v>
      </c>
      <c r="J649" s="14" t="s">
        <v>1348</v>
      </c>
      <c r="K649" t="s">
        <v>684</v>
      </c>
      <c r="L649" t="s">
        <v>71</v>
      </c>
      <c r="M649" t="str">
        <f>VLOOKUP(Incidents[[#This Row],[Ticket ID]],[1]Incidents!$A$2:$D$792,4,FALSE)</f>
        <v>4 - Low</v>
      </c>
      <c r="N649">
        <f>VLOOKUP(Incidents[[#This Row],[Priority]],'SLA Config'!$B$3:$C$6,2,FALSE)</f>
        <v>25</v>
      </c>
      <c r="O649" t="str">
        <f ca="1">IF(Incidents[[#This Row],[Age (days)]]&gt;Incidents[[#This Row],[SLA Threshold]],"NO","Yes")</f>
        <v>Yes</v>
      </c>
    </row>
    <row r="650" spans="1:15" x14ac:dyDescent="0.25">
      <c r="A650" s="2" t="s">
        <v>1354</v>
      </c>
      <c r="B650" s="1">
        <v>44981</v>
      </c>
      <c r="C650" s="8">
        <v>44997</v>
      </c>
      <c r="D650" t="s">
        <v>29</v>
      </c>
      <c r="E650" s="17" t="s">
        <v>54</v>
      </c>
      <c r="F650" s="49">
        <f t="shared" ca="1" si="10"/>
        <v>11</v>
      </c>
      <c r="G650" s="16" t="s">
        <v>31</v>
      </c>
      <c r="H650" s="11" t="s">
        <v>1355</v>
      </c>
      <c r="I650" t="s">
        <v>1336</v>
      </c>
      <c r="J650" s="14" t="s">
        <v>40</v>
      </c>
      <c r="K650" t="s">
        <v>1356</v>
      </c>
      <c r="L650" t="s">
        <v>120</v>
      </c>
      <c r="M650" t="str">
        <f>VLOOKUP(Incidents[[#This Row],[Ticket ID]],[1]Incidents!$A$2:$D$792,4,FALSE)</f>
        <v>4 - Low</v>
      </c>
      <c r="N650">
        <f>VLOOKUP(Incidents[[#This Row],[Priority]],'SLA Config'!$B$3:$C$6,2,FALSE)</f>
        <v>25</v>
      </c>
      <c r="O650" t="str">
        <f ca="1">IF(Incidents[[#This Row],[Age (days)]]&gt;Incidents[[#This Row],[SLA Threshold]],"NO","Yes")</f>
        <v>Yes</v>
      </c>
    </row>
    <row r="651" spans="1:15" x14ac:dyDescent="0.25">
      <c r="A651" s="2" t="s">
        <v>1357</v>
      </c>
      <c r="B651" s="1">
        <v>45089</v>
      </c>
      <c r="C651" s="8">
        <v>45103</v>
      </c>
      <c r="D651" t="s">
        <v>29</v>
      </c>
      <c r="E651" t="s">
        <v>324</v>
      </c>
      <c r="F651" s="49">
        <f t="shared" ca="1" si="10"/>
        <v>11</v>
      </c>
      <c r="G651" s="16" t="s">
        <v>51</v>
      </c>
      <c r="H651" s="11" t="s">
        <v>1358</v>
      </c>
      <c r="I651" t="s">
        <v>1336</v>
      </c>
      <c r="J651" s="14" t="s">
        <v>40</v>
      </c>
      <c r="K651" t="s">
        <v>1359</v>
      </c>
      <c r="L651" t="s">
        <v>427</v>
      </c>
      <c r="M651" t="str">
        <f>VLOOKUP(Incidents[[#This Row],[Ticket ID]],[1]Incidents!$A$2:$D$792,4,FALSE)</f>
        <v>4 - Low</v>
      </c>
      <c r="N651">
        <f>VLOOKUP(Incidents[[#This Row],[Priority]],'SLA Config'!$B$3:$C$6,2,FALSE)</f>
        <v>25</v>
      </c>
      <c r="O651" t="str">
        <f ca="1">IF(Incidents[[#This Row],[Age (days)]]&gt;Incidents[[#This Row],[SLA Threshold]],"NO","Yes")</f>
        <v>Yes</v>
      </c>
    </row>
    <row r="652" spans="1:15" x14ac:dyDescent="0.25">
      <c r="A652" s="19" t="s">
        <v>1360</v>
      </c>
      <c r="B652" s="8">
        <v>45454</v>
      </c>
      <c r="C652" s="8">
        <v>45468</v>
      </c>
      <c r="D652" t="s">
        <v>29</v>
      </c>
      <c r="E652" s="17" t="s">
        <v>324</v>
      </c>
      <c r="F652" s="49">
        <f t="shared" ca="1" si="10"/>
        <v>11</v>
      </c>
      <c r="G652" s="16" t="s">
        <v>31</v>
      </c>
      <c r="H652" t="s">
        <v>1361</v>
      </c>
      <c r="I652" t="s">
        <v>1336</v>
      </c>
      <c r="J652" s="14" t="s">
        <v>666</v>
      </c>
      <c r="K652" t="s">
        <v>1362</v>
      </c>
      <c r="L652" s="27" t="s">
        <v>120</v>
      </c>
      <c r="M652" t="str">
        <f>VLOOKUP(Incidents[[#This Row],[Ticket ID]],[1]Incidents!$A$2:$D$792,4,FALSE)</f>
        <v>4 - Low</v>
      </c>
      <c r="N652">
        <f>VLOOKUP(Incidents[[#This Row],[Priority]],'SLA Config'!$B$3:$C$6,2,FALSE)</f>
        <v>25</v>
      </c>
      <c r="O652" t="str">
        <f ca="1">IF(Incidents[[#This Row],[Age (days)]]&gt;Incidents[[#This Row],[SLA Threshold]],"NO","Yes")</f>
        <v>Yes</v>
      </c>
    </row>
    <row r="653" spans="1:15" ht="30" x14ac:dyDescent="0.25">
      <c r="A653" t="s">
        <v>1363</v>
      </c>
      <c r="B653" s="1">
        <v>44714</v>
      </c>
      <c r="C653" s="1">
        <v>44727</v>
      </c>
      <c r="D653" t="s">
        <v>29</v>
      </c>
      <c r="E653" t="s">
        <v>54</v>
      </c>
      <c r="F653" s="49">
        <f t="shared" ca="1" si="10"/>
        <v>10</v>
      </c>
      <c r="G653" s="16" t="s">
        <v>31</v>
      </c>
      <c r="H653" s="11" t="s">
        <v>1364</v>
      </c>
      <c r="I653" t="s">
        <v>1336</v>
      </c>
      <c r="J653" s="14" t="s">
        <v>76</v>
      </c>
      <c r="K653" t="s">
        <v>56</v>
      </c>
      <c r="L653" t="s">
        <v>120</v>
      </c>
      <c r="M653" t="str">
        <f>VLOOKUP(Incidents[[#This Row],[Ticket ID]],[1]Incidents!$A$2:$D$792,4,FALSE)</f>
        <v>4 - Low</v>
      </c>
      <c r="N653">
        <f>VLOOKUP(Incidents[[#This Row],[Priority]],'SLA Config'!$B$3:$C$6,2,FALSE)</f>
        <v>25</v>
      </c>
      <c r="O653" t="str">
        <f ca="1">IF(Incidents[[#This Row],[Age (days)]]&gt;Incidents[[#This Row],[SLA Threshold]],"NO","Yes")</f>
        <v>Yes</v>
      </c>
    </row>
    <row r="654" spans="1:15" x14ac:dyDescent="0.25">
      <c r="A654" s="2" t="s">
        <v>1365</v>
      </c>
      <c r="B654" s="1">
        <v>45370</v>
      </c>
      <c r="C654" s="8">
        <v>45383</v>
      </c>
      <c r="D654" t="s">
        <v>29</v>
      </c>
      <c r="E654" t="s">
        <v>324</v>
      </c>
      <c r="F654" s="49">
        <f t="shared" ca="1" si="10"/>
        <v>10</v>
      </c>
      <c r="G654" s="16" t="s">
        <v>31</v>
      </c>
      <c r="H654" t="s">
        <v>1366</v>
      </c>
      <c r="I654" t="s">
        <v>1336</v>
      </c>
      <c r="J654" s="14" t="s">
        <v>40</v>
      </c>
      <c r="K654" t="s">
        <v>201</v>
      </c>
      <c r="L654" t="s">
        <v>120</v>
      </c>
      <c r="M654" t="str">
        <f>VLOOKUP(Incidents[[#This Row],[Ticket ID]],[1]Incidents!$A$2:$D$792,4,FALSE)</f>
        <v>4 - Low</v>
      </c>
      <c r="N654">
        <f>VLOOKUP(Incidents[[#This Row],[Priority]],'SLA Config'!$B$3:$C$6,2,FALSE)</f>
        <v>25</v>
      </c>
      <c r="O654" t="str">
        <f ca="1">IF(Incidents[[#This Row],[Age (days)]]&gt;Incidents[[#This Row],[SLA Threshold]],"NO","Yes")</f>
        <v>Yes</v>
      </c>
    </row>
    <row r="655" spans="1:15" x14ac:dyDescent="0.25">
      <c r="A655" t="s">
        <v>1367</v>
      </c>
      <c r="B655" s="1">
        <v>44764</v>
      </c>
      <c r="C655" s="1">
        <v>44776</v>
      </c>
      <c r="D655" t="s">
        <v>29</v>
      </c>
      <c r="E655" t="s">
        <v>54</v>
      </c>
      <c r="F655" s="49">
        <f t="shared" ca="1" si="10"/>
        <v>9</v>
      </c>
      <c r="G655" s="16" t="s">
        <v>31</v>
      </c>
      <c r="H655" s="11" t="s">
        <v>1368</v>
      </c>
      <c r="I655" t="s">
        <v>1336</v>
      </c>
      <c r="J655" s="14" t="s">
        <v>136</v>
      </c>
      <c r="K655" t="s">
        <v>267</v>
      </c>
      <c r="L655" t="s">
        <v>71</v>
      </c>
      <c r="M655" t="str">
        <f>VLOOKUP(Incidents[[#This Row],[Ticket ID]],[1]Incidents!$A$2:$D$792,4,FALSE)</f>
        <v>3 - Medium</v>
      </c>
      <c r="N655">
        <f>VLOOKUP(Incidents[[#This Row],[Priority]],'SLA Config'!$B$3:$C$6,2,FALSE)</f>
        <v>15</v>
      </c>
      <c r="O655" t="str">
        <f ca="1">IF(Incidents[[#This Row],[Age (days)]]&gt;Incidents[[#This Row],[SLA Threshold]],"NO","Yes")</f>
        <v>Yes</v>
      </c>
    </row>
    <row r="656" spans="1:15" x14ac:dyDescent="0.25">
      <c r="A656" t="s">
        <v>1369</v>
      </c>
      <c r="B656" s="1">
        <v>44768</v>
      </c>
      <c r="C656" s="1">
        <v>44779</v>
      </c>
      <c r="D656" t="s">
        <v>29</v>
      </c>
      <c r="E656" t="s">
        <v>38</v>
      </c>
      <c r="F656" s="49">
        <f t="shared" ca="1" si="10"/>
        <v>9</v>
      </c>
      <c r="G656" s="16" t="s">
        <v>51</v>
      </c>
      <c r="H656" s="11" t="s">
        <v>1358</v>
      </c>
      <c r="I656" t="s">
        <v>1336</v>
      </c>
      <c r="J656" s="14" t="s">
        <v>666</v>
      </c>
      <c r="K656" t="s">
        <v>1359</v>
      </c>
      <c r="L656" t="s">
        <v>71</v>
      </c>
      <c r="M656" t="str">
        <f>VLOOKUP(Incidents[[#This Row],[Ticket ID]],[1]Incidents!$A$2:$D$792,4,FALSE)</f>
        <v>4 - Low</v>
      </c>
      <c r="N656">
        <f>VLOOKUP(Incidents[[#This Row],[Priority]],'SLA Config'!$B$3:$C$6,2,FALSE)</f>
        <v>25</v>
      </c>
      <c r="O656" t="str">
        <f ca="1">IF(Incidents[[#This Row],[Age (days)]]&gt;Incidents[[#This Row],[SLA Threshold]],"NO","Yes")</f>
        <v>Yes</v>
      </c>
    </row>
    <row r="657" spans="1:15" x14ac:dyDescent="0.25">
      <c r="A657" s="19" t="s">
        <v>1370</v>
      </c>
      <c r="B657" s="1">
        <v>45307</v>
      </c>
      <c r="C657" s="8">
        <v>45319</v>
      </c>
      <c r="D657" t="s">
        <v>29</v>
      </c>
      <c r="E657" t="s">
        <v>324</v>
      </c>
      <c r="F657" s="49">
        <f t="shared" ca="1" si="10"/>
        <v>9</v>
      </c>
      <c r="G657" s="16" t="s">
        <v>31</v>
      </c>
      <c r="H657" s="11" t="s">
        <v>1371</v>
      </c>
      <c r="I657" t="s">
        <v>1336</v>
      </c>
      <c r="J657" s="14" t="s">
        <v>666</v>
      </c>
      <c r="K657" t="s">
        <v>207</v>
      </c>
      <c r="L657" t="s">
        <v>71</v>
      </c>
      <c r="M657" t="str">
        <f>VLOOKUP(Incidents[[#This Row],[Ticket ID]],[1]Incidents!$A$2:$D$792,4,FALSE)</f>
        <v>4 - Low</v>
      </c>
      <c r="N657">
        <f>VLOOKUP(Incidents[[#This Row],[Priority]],'SLA Config'!$B$3:$C$6,2,FALSE)</f>
        <v>25</v>
      </c>
      <c r="O657" t="str">
        <f ca="1">IF(Incidents[[#This Row],[Age (days)]]&gt;Incidents[[#This Row],[SLA Threshold]],"NO","Yes")</f>
        <v>Yes</v>
      </c>
    </row>
    <row r="658" spans="1:15" x14ac:dyDescent="0.25">
      <c r="A658" s="19" t="s">
        <v>1372</v>
      </c>
      <c r="B658" s="8">
        <v>45398</v>
      </c>
      <c r="C658" s="8">
        <v>45410</v>
      </c>
      <c r="D658" t="s">
        <v>29</v>
      </c>
      <c r="E658" t="s">
        <v>324</v>
      </c>
      <c r="F658" s="49">
        <f t="shared" ca="1" si="10"/>
        <v>9</v>
      </c>
      <c r="G658" s="16" t="s">
        <v>31</v>
      </c>
      <c r="H658" s="11" t="s">
        <v>1373</v>
      </c>
      <c r="I658" t="s">
        <v>1336</v>
      </c>
      <c r="J658" s="14" t="s">
        <v>666</v>
      </c>
      <c r="K658" t="s">
        <v>507</v>
      </c>
      <c r="L658" t="s">
        <v>71</v>
      </c>
      <c r="M658" t="str">
        <f>VLOOKUP(Incidents[[#This Row],[Ticket ID]],[1]Incidents!$A$2:$D$792,4,FALSE)</f>
        <v>4 - Low</v>
      </c>
      <c r="N658">
        <f>VLOOKUP(Incidents[[#This Row],[Priority]],'SLA Config'!$B$3:$C$6,2,FALSE)</f>
        <v>25</v>
      </c>
      <c r="O658" t="str">
        <f ca="1">IF(Incidents[[#This Row],[Age (days)]]&gt;Incidents[[#This Row],[SLA Threshold]],"NO","Yes")</f>
        <v>Yes</v>
      </c>
    </row>
    <row r="659" spans="1:15" x14ac:dyDescent="0.25">
      <c r="A659" s="28" t="s">
        <v>1374</v>
      </c>
      <c r="B659" s="29">
        <v>45629</v>
      </c>
      <c r="C659" s="29">
        <v>45641</v>
      </c>
      <c r="D659" s="28" t="s">
        <v>29</v>
      </c>
      <c r="E659" s="28" t="s">
        <v>324</v>
      </c>
      <c r="F659" s="49">
        <f t="shared" ca="1" si="10"/>
        <v>9</v>
      </c>
      <c r="G659" s="28" t="s">
        <v>31</v>
      </c>
      <c r="H659" s="28" t="s">
        <v>1375</v>
      </c>
      <c r="I659" t="s">
        <v>1336</v>
      </c>
      <c r="J659" s="14"/>
      <c r="K659" s="28" t="s">
        <v>398</v>
      </c>
      <c r="L659" t="s">
        <v>71</v>
      </c>
      <c r="M659" t="str">
        <f>VLOOKUP(Incidents[[#This Row],[Ticket ID]],[1]Incidents!$A$2:$D$792,4,FALSE)</f>
        <v>4 - Low</v>
      </c>
      <c r="N659">
        <f>VLOOKUP(Incidents[[#This Row],[Priority]],'SLA Config'!$B$3:$C$6,2,FALSE)</f>
        <v>25</v>
      </c>
      <c r="O659" t="str">
        <f ca="1">IF(Incidents[[#This Row],[Age (days)]]&gt;Incidents[[#This Row],[SLA Threshold]],"NO","Yes")</f>
        <v>Yes</v>
      </c>
    </row>
    <row r="660" spans="1:15" x14ac:dyDescent="0.25">
      <c r="A660" s="28" t="s">
        <v>1376</v>
      </c>
      <c r="B660" s="29">
        <v>45644</v>
      </c>
      <c r="C660" s="29">
        <v>45654</v>
      </c>
      <c r="D660" s="28" t="s">
        <v>29</v>
      </c>
      <c r="E660" s="28" t="s">
        <v>324</v>
      </c>
      <c r="F660" s="49">
        <f t="shared" ca="1" si="10"/>
        <v>8</v>
      </c>
      <c r="G660" s="28" t="s">
        <v>1377</v>
      </c>
      <c r="H660" s="28" t="s">
        <v>1378</v>
      </c>
      <c r="I660" t="s">
        <v>1336</v>
      </c>
      <c r="J660" s="14"/>
      <c r="K660" s="28" t="s">
        <v>1379</v>
      </c>
      <c r="M660" t="str">
        <f>VLOOKUP(Incidents[[#This Row],[Ticket ID]],[1]Incidents!$A$2:$D$792,4,FALSE)</f>
        <v>2 - High</v>
      </c>
      <c r="N660">
        <f>VLOOKUP(Incidents[[#This Row],[Priority]],'SLA Config'!$B$3:$C$6,2,FALSE)</f>
        <v>5</v>
      </c>
      <c r="O660" t="str">
        <f ca="1">IF(Incidents[[#This Row],[Age (days)]]&gt;Incidents[[#This Row],[SLA Threshold]],"NO","Yes")</f>
        <v>NO</v>
      </c>
    </row>
    <row r="661" spans="1:15" x14ac:dyDescent="0.25">
      <c r="A661" t="s">
        <v>1380</v>
      </c>
      <c r="B661" s="1">
        <v>44698</v>
      </c>
      <c r="C661" s="1">
        <v>44706</v>
      </c>
      <c r="D661" t="s">
        <v>29</v>
      </c>
      <c r="E661" t="s">
        <v>38</v>
      </c>
      <c r="F661" s="49">
        <f t="shared" ca="1" si="10"/>
        <v>7</v>
      </c>
      <c r="G661" s="16" t="s">
        <v>31</v>
      </c>
      <c r="H661" s="11" t="s">
        <v>1381</v>
      </c>
      <c r="I661" t="s">
        <v>1336</v>
      </c>
      <c r="J661" s="14" t="s">
        <v>40</v>
      </c>
      <c r="K661" t="s">
        <v>201</v>
      </c>
      <c r="L661" t="s">
        <v>120</v>
      </c>
      <c r="M661" t="str">
        <f>VLOOKUP(Incidents[[#This Row],[Ticket ID]],[1]Incidents!$A$2:$D$792,4,FALSE)</f>
        <v>4 - Low</v>
      </c>
      <c r="N661">
        <f>VLOOKUP(Incidents[[#This Row],[Priority]],'SLA Config'!$B$3:$C$6,2,FALSE)</f>
        <v>25</v>
      </c>
      <c r="O661" t="str">
        <f ca="1">IF(Incidents[[#This Row],[Age (days)]]&gt;Incidents[[#This Row],[SLA Threshold]],"NO","Yes")</f>
        <v>Yes</v>
      </c>
    </row>
    <row r="662" spans="1:15" ht="30" x14ac:dyDescent="0.25">
      <c r="A662" t="s">
        <v>1382</v>
      </c>
      <c r="B662" s="1">
        <v>44742</v>
      </c>
      <c r="C662" s="1">
        <v>44751</v>
      </c>
      <c r="D662" t="s">
        <v>29</v>
      </c>
      <c r="E662" t="s">
        <v>54</v>
      </c>
      <c r="F662" s="49">
        <f t="shared" ca="1" si="10"/>
        <v>7</v>
      </c>
      <c r="G662" s="16" t="s">
        <v>31</v>
      </c>
      <c r="H662" s="11" t="s">
        <v>1383</v>
      </c>
      <c r="I662" t="s">
        <v>1336</v>
      </c>
      <c r="J662" s="14" t="s">
        <v>76</v>
      </c>
      <c r="K662" t="s">
        <v>56</v>
      </c>
      <c r="L662" t="s">
        <v>427</v>
      </c>
      <c r="M662" t="str">
        <f>VLOOKUP(Incidents[[#This Row],[Ticket ID]],[1]Incidents!$A$2:$D$792,4,FALSE)</f>
        <v>4 - Low</v>
      </c>
      <c r="N662">
        <f>VLOOKUP(Incidents[[#This Row],[Priority]],'SLA Config'!$B$3:$C$6,2,FALSE)</f>
        <v>25</v>
      </c>
      <c r="O662" t="str">
        <f ca="1">IF(Incidents[[#This Row],[Age (days)]]&gt;Incidents[[#This Row],[SLA Threshold]],"NO","Yes")</f>
        <v>Yes</v>
      </c>
    </row>
    <row r="663" spans="1:15" x14ac:dyDescent="0.25">
      <c r="A663" s="17" t="s">
        <v>1384</v>
      </c>
      <c r="B663" s="1">
        <v>45250</v>
      </c>
      <c r="C663" s="8">
        <v>45258</v>
      </c>
      <c r="D663" t="s">
        <v>29</v>
      </c>
      <c r="E663" s="17" t="s">
        <v>38</v>
      </c>
      <c r="F663" s="49">
        <f t="shared" ca="1" si="10"/>
        <v>7</v>
      </c>
      <c r="G663" s="16" t="s">
        <v>31</v>
      </c>
      <c r="H663" s="11" t="s">
        <v>1385</v>
      </c>
      <c r="I663" t="s">
        <v>1336</v>
      </c>
      <c r="J663" s="14" t="s">
        <v>40</v>
      </c>
      <c r="K663" t="s">
        <v>621</v>
      </c>
      <c r="L663" t="s">
        <v>71</v>
      </c>
      <c r="M663" t="str">
        <f>VLOOKUP(Incidents[[#This Row],[Ticket ID]],[1]Incidents!$A$2:$D$792,4,FALSE)</f>
        <v>4 - Low</v>
      </c>
      <c r="N663">
        <f>VLOOKUP(Incidents[[#This Row],[Priority]],'SLA Config'!$B$3:$C$6,2,FALSE)</f>
        <v>25</v>
      </c>
      <c r="O663" t="str">
        <f ca="1">IF(Incidents[[#This Row],[Age (days)]]&gt;Incidents[[#This Row],[SLA Threshold]],"NO","Yes")</f>
        <v>Yes</v>
      </c>
    </row>
    <row r="664" spans="1:15" x14ac:dyDescent="0.25">
      <c r="A664" s="2" t="s">
        <v>1386</v>
      </c>
      <c r="B664" s="1">
        <v>45327</v>
      </c>
      <c r="C664" s="8">
        <v>45335</v>
      </c>
      <c r="D664" t="s">
        <v>29</v>
      </c>
      <c r="E664" t="s">
        <v>324</v>
      </c>
      <c r="F664" s="49">
        <f t="shared" ca="1" si="10"/>
        <v>7</v>
      </c>
      <c r="G664" s="16" t="s">
        <v>31</v>
      </c>
      <c r="H664" s="11" t="s">
        <v>1387</v>
      </c>
      <c r="I664" t="s">
        <v>1336</v>
      </c>
      <c r="J664" s="14" t="s">
        <v>666</v>
      </c>
      <c r="K664" t="s">
        <v>1388</v>
      </c>
      <c r="L664" t="s">
        <v>71</v>
      </c>
      <c r="M664" t="str">
        <f>VLOOKUP(Incidents[[#This Row],[Ticket ID]],[1]Incidents!$A$2:$D$792,4,FALSE)</f>
        <v>4 - Low</v>
      </c>
      <c r="N664">
        <f>VLOOKUP(Incidents[[#This Row],[Priority]],'SLA Config'!$B$3:$C$6,2,FALSE)</f>
        <v>25</v>
      </c>
      <c r="O664" t="str">
        <f ca="1">IF(Incidents[[#This Row],[Age (days)]]&gt;Incidents[[#This Row],[SLA Threshold]],"NO","Yes")</f>
        <v>Yes</v>
      </c>
    </row>
    <row r="665" spans="1:15" x14ac:dyDescent="0.25">
      <c r="A665" s="28" t="s">
        <v>1389</v>
      </c>
      <c r="B665" s="29">
        <v>45645</v>
      </c>
      <c r="C665" s="29">
        <v>45654</v>
      </c>
      <c r="D665" s="28" t="s">
        <v>29</v>
      </c>
      <c r="E665" s="28" t="s">
        <v>324</v>
      </c>
      <c r="F665" s="49">
        <f t="shared" ca="1" si="10"/>
        <v>7</v>
      </c>
      <c r="G665" s="28" t="s">
        <v>1377</v>
      </c>
      <c r="H665" s="28" t="s">
        <v>1390</v>
      </c>
      <c r="I665" t="s">
        <v>1336</v>
      </c>
      <c r="J665" s="14"/>
      <c r="K665" s="28" t="s">
        <v>1391</v>
      </c>
      <c r="M665" t="str">
        <f>VLOOKUP(Incidents[[#This Row],[Ticket ID]],[1]Incidents!$A$2:$D$792,4,FALSE)</f>
        <v>2 - High</v>
      </c>
      <c r="N665">
        <f>VLOOKUP(Incidents[[#This Row],[Priority]],'SLA Config'!$B$3:$C$6,2,FALSE)</f>
        <v>5</v>
      </c>
      <c r="O665" t="str">
        <f ca="1">IF(Incidents[[#This Row],[Age (days)]]&gt;Incidents[[#This Row],[SLA Threshold]],"NO","Yes")</f>
        <v>NO</v>
      </c>
    </row>
    <row r="666" spans="1:15" x14ac:dyDescent="0.25">
      <c r="A666" t="s">
        <v>1392</v>
      </c>
      <c r="B666" s="1">
        <v>44673</v>
      </c>
      <c r="C666" s="1">
        <v>44682</v>
      </c>
      <c r="D666" t="s">
        <v>29</v>
      </c>
      <c r="E666" t="s">
        <v>104</v>
      </c>
      <c r="F666" s="49">
        <f t="shared" ca="1" si="10"/>
        <v>6</v>
      </c>
      <c r="G666" s="16" t="s">
        <v>31</v>
      </c>
      <c r="H666" s="11" t="s">
        <v>1393</v>
      </c>
      <c r="I666" t="s">
        <v>1336</v>
      </c>
      <c r="J666" s="14" t="s">
        <v>1394</v>
      </c>
      <c r="K666" t="s">
        <v>1395</v>
      </c>
      <c r="L666" t="s">
        <v>71</v>
      </c>
      <c r="M666" t="str">
        <f>VLOOKUP(Incidents[[#This Row],[Ticket ID]],[1]Incidents!$A$2:$D$792,4,FALSE)</f>
        <v>4 - Low</v>
      </c>
      <c r="N666">
        <f>VLOOKUP(Incidents[[#This Row],[Priority]],'SLA Config'!$B$3:$C$6,2,FALSE)</f>
        <v>25</v>
      </c>
      <c r="O666" t="str">
        <f ca="1">IF(Incidents[[#This Row],[Age (days)]]&gt;Incidents[[#This Row],[SLA Threshold]],"NO","Yes")</f>
        <v>Yes</v>
      </c>
    </row>
    <row r="667" spans="1:15" x14ac:dyDescent="0.25">
      <c r="A667" t="s">
        <v>1396</v>
      </c>
      <c r="B667" s="1">
        <v>44846</v>
      </c>
      <c r="C667" s="1">
        <v>44853</v>
      </c>
      <c r="D667" t="s">
        <v>29</v>
      </c>
      <c r="E667" t="s">
        <v>54</v>
      </c>
      <c r="F667" s="49">
        <f t="shared" ca="1" si="10"/>
        <v>6</v>
      </c>
      <c r="G667" s="16" t="s">
        <v>51</v>
      </c>
      <c r="H667" s="11" t="s">
        <v>1397</v>
      </c>
      <c r="I667" t="s">
        <v>1336</v>
      </c>
      <c r="J667" s="14" t="s">
        <v>304</v>
      </c>
      <c r="K667" t="s">
        <v>1351</v>
      </c>
      <c r="L667" t="s">
        <v>71</v>
      </c>
      <c r="M667" t="str">
        <f>VLOOKUP(Incidents[[#This Row],[Ticket ID]],[1]Incidents!$A$2:$D$792,4,FALSE)</f>
        <v>4 - Low</v>
      </c>
      <c r="N667">
        <f>VLOOKUP(Incidents[[#This Row],[Priority]],'SLA Config'!$B$3:$C$6,2,FALSE)</f>
        <v>25</v>
      </c>
      <c r="O667" t="str">
        <f ca="1">IF(Incidents[[#This Row],[Age (days)]]&gt;Incidents[[#This Row],[SLA Threshold]],"NO","Yes")</f>
        <v>Yes</v>
      </c>
    </row>
    <row r="668" spans="1:15" x14ac:dyDescent="0.25">
      <c r="A668" s="2" t="s">
        <v>1398</v>
      </c>
      <c r="B668" s="1">
        <v>45181</v>
      </c>
      <c r="C668" s="8">
        <v>45188</v>
      </c>
      <c r="D668" t="s">
        <v>29</v>
      </c>
      <c r="E668" s="17" t="s">
        <v>324</v>
      </c>
      <c r="F668" s="49">
        <f t="shared" ca="1" si="10"/>
        <v>6</v>
      </c>
      <c r="G668" s="16" t="s">
        <v>31</v>
      </c>
      <c r="H668" s="11" t="s">
        <v>1399</v>
      </c>
      <c r="I668" t="s">
        <v>1336</v>
      </c>
      <c r="J668" s="14" t="s">
        <v>1394</v>
      </c>
      <c r="K668" t="s">
        <v>1400</v>
      </c>
      <c r="L668" t="s">
        <v>71</v>
      </c>
      <c r="M668" t="str">
        <f>VLOOKUP(Incidents[[#This Row],[Ticket ID]],[1]Incidents!$A$2:$D$792,4,FALSE)</f>
        <v>2 - High</v>
      </c>
      <c r="N668">
        <f>VLOOKUP(Incidents[[#This Row],[Priority]],'SLA Config'!$B$3:$C$6,2,FALSE)</f>
        <v>5</v>
      </c>
      <c r="O668" t="str">
        <f ca="1">IF(Incidents[[#This Row],[Age (days)]]&gt;Incidents[[#This Row],[SLA Threshold]],"NO","Yes")</f>
        <v>NO</v>
      </c>
    </row>
    <row r="669" spans="1:15" x14ac:dyDescent="0.25">
      <c r="A669" s="2" t="s">
        <v>1401</v>
      </c>
      <c r="B669" s="1">
        <v>45329</v>
      </c>
      <c r="C669" s="8">
        <v>45336</v>
      </c>
      <c r="D669" t="s">
        <v>29</v>
      </c>
      <c r="E669" t="s">
        <v>324</v>
      </c>
      <c r="F669" s="49">
        <f t="shared" ca="1" si="10"/>
        <v>6</v>
      </c>
      <c r="G669" s="16" t="s">
        <v>31</v>
      </c>
      <c r="H669" s="11" t="s">
        <v>1402</v>
      </c>
      <c r="I669" t="s">
        <v>1336</v>
      </c>
      <c r="J669" s="14" t="s">
        <v>666</v>
      </c>
      <c r="K669" t="s">
        <v>575</v>
      </c>
      <c r="L669" t="s">
        <v>71</v>
      </c>
      <c r="M669" t="str">
        <f>VLOOKUP(Incidents[[#This Row],[Ticket ID]],[1]Incidents!$A$2:$D$792,4,FALSE)</f>
        <v>4 - Low</v>
      </c>
      <c r="N669">
        <f>VLOOKUP(Incidents[[#This Row],[Priority]],'SLA Config'!$B$3:$C$6,2,FALSE)</f>
        <v>25</v>
      </c>
      <c r="O669" t="str">
        <f ca="1">IF(Incidents[[#This Row],[Age (days)]]&gt;Incidents[[#This Row],[SLA Threshold]],"NO","Yes")</f>
        <v>Yes</v>
      </c>
    </row>
    <row r="670" spans="1:15" ht="30" x14ac:dyDescent="0.25">
      <c r="A670" s="19" t="s">
        <v>1403</v>
      </c>
      <c r="B670" s="8">
        <v>45510</v>
      </c>
      <c r="C670" s="8">
        <v>45517</v>
      </c>
      <c r="D670" t="s">
        <v>29</v>
      </c>
      <c r="E670" s="17" t="s">
        <v>324</v>
      </c>
      <c r="F670" s="49">
        <f t="shared" ca="1" si="10"/>
        <v>6</v>
      </c>
      <c r="G670" s="16" t="s">
        <v>51</v>
      </c>
      <c r="H670" s="11" t="s">
        <v>1404</v>
      </c>
      <c r="I670" t="s">
        <v>1336</v>
      </c>
      <c r="J670" s="14" t="s">
        <v>1405</v>
      </c>
      <c r="K670" s="27" t="s">
        <v>1406</v>
      </c>
      <c r="L670" s="27" t="s">
        <v>71</v>
      </c>
      <c r="M670" t="str">
        <f>VLOOKUP(Incidents[[#This Row],[Ticket ID]],[1]Incidents!$A$2:$D$792,4,FALSE)</f>
        <v>4 - Low</v>
      </c>
      <c r="N670">
        <f>VLOOKUP(Incidents[[#This Row],[Priority]],'SLA Config'!$B$3:$C$6,2,FALSE)</f>
        <v>25</v>
      </c>
      <c r="O670" t="str">
        <f ca="1">IF(Incidents[[#This Row],[Age (days)]]&gt;Incidents[[#This Row],[SLA Threshold]],"NO","Yes")</f>
        <v>Yes</v>
      </c>
    </row>
    <row r="671" spans="1:15" x14ac:dyDescent="0.25">
      <c r="A671" s="28" t="s">
        <v>1407</v>
      </c>
      <c r="B671" s="29">
        <v>45658</v>
      </c>
      <c r="C671" s="29">
        <v>45665</v>
      </c>
      <c r="D671" s="28" t="s">
        <v>29</v>
      </c>
      <c r="E671" s="28" t="s">
        <v>46</v>
      </c>
      <c r="F671" s="49">
        <f t="shared" ca="1" si="10"/>
        <v>6</v>
      </c>
      <c r="G671" s="28" t="s">
        <v>1377</v>
      </c>
      <c r="H671" s="28" t="s">
        <v>1408</v>
      </c>
      <c r="I671" t="s">
        <v>1336</v>
      </c>
      <c r="J671" s="14"/>
      <c r="K671" s="28" t="s">
        <v>1409</v>
      </c>
      <c r="M671" t="str">
        <f>VLOOKUP(Incidents[[#This Row],[Ticket ID]],[1]Incidents!$A$2:$D$792,4,FALSE)</f>
        <v>2 - High</v>
      </c>
      <c r="N671">
        <f>VLOOKUP(Incidents[[#This Row],[Priority]],'SLA Config'!$B$3:$C$6,2,FALSE)</f>
        <v>5</v>
      </c>
      <c r="O671" t="str">
        <f ca="1">IF(Incidents[[#This Row],[Age (days)]]&gt;Incidents[[#This Row],[SLA Threshold]],"NO","Yes")</f>
        <v>NO</v>
      </c>
    </row>
    <row r="672" spans="1:15" x14ac:dyDescent="0.25">
      <c r="A672" s="28" t="s">
        <v>1410</v>
      </c>
      <c r="B672" s="29">
        <v>45674</v>
      </c>
      <c r="C672" s="29">
        <v>45682</v>
      </c>
      <c r="D672" s="28" t="s">
        <v>29</v>
      </c>
      <c r="E672" s="28" t="s">
        <v>324</v>
      </c>
      <c r="F672" s="49">
        <f t="shared" ca="1" si="10"/>
        <v>6</v>
      </c>
      <c r="G672" s="28" t="s">
        <v>1377</v>
      </c>
      <c r="H672" s="28" t="s">
        <v>1411</v>
      </c>
      <c r="I672" t="s">
        <v>1336</v>
      </c>
      <c r="J672" s="14"/>
      <c r="K672" s="28" t="s">
        <v>1412</v>
      </c>
      <c r="M672" t="str">
        <f>VLOOKUP(Incidents[[#This Row],[Ticket ID]],[1]Incidents!$A$2:$D$792,4,FALSE)</f>
        <v>2 - High</v>
      </c>
      <c r="N672">
        <f>VLOOKUP(Incidents[[#This Row],[Priority]],'SLA Config'!$B$3:$C$6,2,FALSE)</f>
        <v>5</v>
      </c>
      <c r="O672" t="str">
        <f ca="1">IF(Incidents[[#This Row],[Age (days)]]&gt;Incidents[[#This Row],[SLA Threshold]],"NO","Yes")</f>
        <v>NO</v>
      </c>
    </row>
    <row r="673" spans="1:15" x14ac:dyDescent="0.25">
      <c r="A673" s="28" t="s">
        <v>1413</v>
      </c>
      <c r="B673" s="29">
        <v>45700</v>
      </c>
      <c r="C673" s="29">
        <v>45707</v>
      </c>
      <c r="D673" s="28" t="s">
        <v>29</v>
      </c>
      <c r="E673" s="28" t="s">
        <v>324</v>
      </c>
      <c r="F673" s="49">
        <f t="shared" ca="1" si="10"/>
        <v>6</v>
      </c>
      <c r="G673" s="28" t="s">
        <v>31</v>
      </c>
      <c r="H673" s="28" t="s">
        <v>1414</v>
      </c>
      <c r="I673" t="s">
        <v>1336</v>
      </c>
      <c r="J673" s="14"/>
      <c r="K673" s="28" t="s">
        <v>295</v>
      </c>
      <c r="M673" t="str">
        <f>VLOOKUP(Incidents[[#This Row],[Ticket ID]],[1]Incidents!$A$2:$D$792,4,FALSE)</f>
        <v>2 - High</v>
      </c>
      <c r="N673">
        <f>VLOOKUP(Incidents[[#This Row],[Priority]],'SLA Config'!$B$3:$C$6,2,FALSE)</f>
        <v>5</v>
      </c>
      <c r="O673" t="str">
        <f ca="1">IF(Incidents[[#This Row],[Age (days)]]&gt;Incidents[[#This Row],[SLA Threshold]],"NO","Yes")</f>
        <v>NO</v>
      </c>
    </row>
    <row r="674" spans="1:15" x14ac:dyDescent="0.25">
      <c r="A674" t="s">
        <v>1415</v>
      </c>
      <c r="B674" s="1">
        <v>44719</v>
      </c>
      <c r="C674" s="1">
        <v>44725</v>
      </c>
      <c r="D674" t="s">
        <v>29</v>
      </c>
      <c r="E674" t="s">
        <v>104</v>
      </c>
      <c r="F674" s="49">
        <f t="shared" ca="1" si="10"/>
        <v>5</v>
      </c>
      <c r="G674" s="16" t="s">
        <v>51</v>
      </c>
      <c r="H674" s="11" t="s">
        <v>1416</v>
      </c>
      <c r="I674" t="s">
        <v>1336</v>
      </c>
      <c r="J674" s="14" t="s">
        <v>666</v>
      </c>
      <c r="K674" t="s">
        <v>119</v>
      </c>
      <c r="L674" t="s">
        <v>120</v>
      </c>
      <c r="M674" t="str">
        <f>VLOOKUP(Incidents[[#This Row],[Ticket ID]],[1]Incidents!$A$2:$D$792,4,FALSE)</f>
        <v>4 - Low</v>
      </c>
      <c r="N674">
        <f>VLOOKUP(Incidents[[#This Row],[Priority]],'SLA Config'!$B$3:$C$6,2,FALSE)</f>
        <v>25</v>
      </c>
      <c r="O674" t="str">
        <f ca="1">IF(Incidents[[#This Row],[Age (days)]]&gt;Incidents[[#This Row],[SLA Threshold]],"NO","Yes")</f>
        <v>Yes</v>
      </c>
    </row>
    <row r="675" spans="1:15" x14ac:dyDescent="0.25">
      <c r="A675" t="s">
        <v>1417</v>
      </c>
      <c r="B675" s="1">
        <v>44719</v>
      </c>
      <c r="C675" s="1">
        <v>44725</v>
      </c>
      <c r="D675" t="s">
        <v>29</v>
      </c>
      <c r="E675" t="s">
        <v>104</v>
      </c>
      <c r="F675" s="49">
        <f t="shared" ca="1" si="10"/>
        <v>5</v>
      </c>
      <c r="G675" s="16" t="s">
        <v>51</v>
      </c>
      <c r="H675" s="11" t="s">
        <v>1418</v>
      </c>
      <c r="I675" t="s">
        <v>1336</v>
      </c>
      <c r="J675" s="14" t="s">
        <v>666</v>
      </c>
      <c r="K675" t="s">
        <v>281</v>
      </c>
      <c r="L675" t="s">
        <v>120</v>
      </c>
      <c r="M675" t="str">
        <f>VLOOKUP(Incidents[[#This Row],[Ticket ID]],[1]Incidents!$A$2:$D$792,4,FALSE)</f>
        <v>4 - Low</v>
      </c>
      <c r="N675">
        <f>VLOOKUP(Incidents[[#This Row],[Priority]],'SLA Config'!$B$3:$C$6,2,FALSE)</f>
        <v>25</v>
      </c>
      <c r="O675" t="str">
        <f ca="1">IF(Incidents[[#This Row],[Age (days)]]&gt;Incidents[[#This Row],[SLA Threshold]],"NO","Yes")</f>
        <v>Yes</v>
      </c>
    </row>
    <row r="676" spans="1:15" x14ac:dyDescent="0.25">
      <c r="A676" t="s">
        <v>1419</v>
      </c>
      <c r="B676" s="1">
        <v>44720</v>
      </c>
      <c r="C676" s="1">
        <v>44726</v>
      </c>
      <c r="D676" t="s">
        <v>29</v>
      </c>
      <c r="E676" t="s">
        <v>38</v>
      </c>
      <c r="F676" s="49">
        <f t="shared" ca="1" si="10"/>
        <v>5</v>
      </c>
      <c r="G676" s="16" t="s">
        <v>51</v>
      </c>
      <c r="H676" s="11" t="s">
        <v>1420</v>
      </c>
      <c r="I676" t="s">
        <v>1336</v>
      </c>
      <c r="J676" s="14" t="s">
        <v>666</v>
      </c>
      <c r="K676" t="s">
        <v>201</v>
      </c>
      <c r="L676" t="s">
        <v>120</v>
      </c>
      <c r="M676" t="str">
        <f>VLOOKUP(Incidents[[#This Row],[Ticket ID]],[1]Incidents!$A$2:$D$792,4,FALSE)</f>
        <v>4 - Low</v>
      </c>
      <c r="N676">
        <f>VLOOKUP(Incidents[[#This Row],[Priority]],'SLA Config'!$B$3:$C$6,2,FALSE)</f>
        <v>25</v>
      </c>
      <c r="O676" t="str">
        <f ca="1">IF(Incidents[[#This Row],[Age (days)]]&gt;Incidents[[#This Row],[SLA Threshold]],"NO","Yes")</f>
        <v>Yes</v>
      </c>
    </row>
    <row r="677" spans="1:15" x14ac:dyDescent="0.25">
      <c r="A677" t="s">
        <v>1421</v>
      </c>
      <c r="B677" s="1">
        <v>44720</v>
      </c>
      <c r="C677" s="1">
        <v>44726</v>
      </c>
      <c r="D677" t="s">
        <v>29</v>
      </c>
      <c r="E677" t="s">
        <v>38</v>
      </c>
      <c r="F677" s="49">
        <f t="shared" ca="1" si="10"/>
        <v>5</v>
      </c>
      <c r="G677" s="16" t="s">
        <v>51</v>
      </c>
      <c r="H677" s="11" t="s">
        <v>1420</v>
      </c>
      <c r="I677" t="s">
        <v>1336</v>
      </c>
      <c r="J677" s="14" t="s">
        <v>666</v>
      </c>
      <c r="K677" t="s">
        <v>218</v>
      </c>
      <c r="L677" t="s">
        <v>120</v>
      </c>
      <c r="M677" t="str">
        <f>VLOOKUP(Incidents[[#This Row],[Ticket ID]],[1]Incidents!$A$2:$D$792,4,FALSE)</f>
        <v>4 - Low</v>
      </c>
      <c r="N677">
        <f>VLOOKUP(Incidents[[#This Row],[Priority]],'SLA Config'!$B$3:$C$6,2,FALSE)</f>
        <v>25</v>
      </c>
      <c r="O677" t="str">
        <f ca="1">IF(Incidents[[#This Row],[Age (days)]]&gt;Incidents[[#This Row],[SLA Threshold]],"NO","Yes")</f>
        <v>Yes</v>
      </c>
    </row>
    <row r="678" spans="1:15" x14ac:dyDescent="0.25">
      <c r="A678" t="s">
        <v>1422</v>
      </c>
      <c r="B678" s="1">
        <v>44810</v>
      </c>
      <c r="C678" s="1">
        <v>44816</v>
      </c>
      <c r="D678" t="s">
        <v>29</v>
      </c>
      <c r="E678" t="s">
        <v>54</v>
      </c>
      <c r="F678" s="49">
        <f t="shared" ca="1" si="10"/>
        <v>5</v>
      </c>
      <c r="G678" s="16" t="s">
        <v>51</v>
      </c>
      <c r="H678" s="11" t="s">
        <v>665</v>
      </c>
      <c r="I678" t="s">
        <v>1336</v>
      </c>
      <c r="J678" s="14" t="s">
        <v>666</v>
      </c>
      <c r="K678" t="s">
        <v>119</v>
      </c>
      <c r="L678" t="s">
        <v>120</v>
      </c>
      <c r="M678" t="str">
        <f>VLOOKUP(Incidents[[#This Row],[Ticket ID]],[1]Incidents!$A$2:$D$792,4,FALSE)</f>
        <v>4 - Low</v>
      </c>
      <c r="N678">
        <f>VLOOKUP(Incidents[[#This Row],[Priority]],'SLA Config'!$B$3:$C$6,2,FALSE)</f>
        <v>25</v>
      </c>
      <c r="O678" t="str">
        <f ca="1">IF(Incidents[[#This Row],[Age (days)]]&gt;Incidents[[#This Row],[SLA Threshold]],"NO","Yes")</f>
        <v>Yes</v>
      </c>
    </row>
    <row r="679" spans="1:15" x14ac:dyDescent="0.25">
      <c r="A679" t="s">
        <v>1423</v>
      </c>
      <c r="B679" s="1">
        <v>44816</v>
      </c>
      <c r="C679" s="1">
        <v>44822</v>
      </c>
      <c r="D679" t="s">
        <v>29</v>
      </c>
      <c r="E679" t="s">
        <v>54</v>
      </c>
      <c r="F679" s="49">
        <f t="shared" ca="1" si="10"/>
        <v>5</v>
      </c>
      <c r="G679" s="16" t="s">
        <v>51</v>
      </c>
      <c r="H679" s="11" t="s">
        <v>665</v>
      </c>
      <c r="I679" t="s">
        <v>1336</v>
      </c>
      <c r="J679" s="14" t="s">
        <v>666</v>
      </c>
      <c r="K679" t="s">
        <v>119</v>
      </c>
      <c r="L679" t="s">
        <v>120</v>
      </c>
      <c r="M679" t="str">
        <f>VLOOKUP(Incidents[[#This Row],[Ticket ID]],[1]Incidents!$A$2:$D$792,4,FALSE)</f>
        <v>4 - Low</v>
      </c>
      <c r="N679">
        <f>VLOOKUP(Incidents[[#This Row],[Priority]],'SLA Config'!$B$3:$C$6,2,FALSE)</f>
        <v>25</v>
      </c>
      <c r="O679" t="str">
        <f ca="1">IF(Incidents[[#This Row],[Age (days)]]&gt;Incidents[[#This Row],[SLA Threshold]],"NO","Yes")</f>
        <v>Yes</v>
      </c>
    </row>
    <row r="680" spans="1:15" x14ac:dyDescent="0.25">
      <c r="A680" t="s">
        <v>1424</v>
      </c>
      <c r="B680" s="1">
        <v>44844</v>
      </c>
      <c r="C680" s="1">
        <v>44849</v>
      </c>
      <c r="D680" t="s">
        <v>29</v>
      </c>
      <c r="E680" t="s">
        <v>54</v>
      </c>
      <c r="F680" s="49">
        <f t="shared" ca="1" si="10"/>
        <v>5</v>
      </c>
      <c r="G680" s="16" t="s">
        <v>51</v>
      </c>
      <c r="H680" s="11" t="s">
        <v>1425</v>
      </c>
      <c r="I680" t="s">
        <v>1336</v>
      </c>
      <c r="J680" s="14" t="s">
        <v>304</v>
      </c>
      <c r="K680" t="s">
        <v>1351</v>
      </c>
      <c r="L680" t="s">
        <v>71</v>
      </c>
      <c r="M680" t="str">
        <f>VLOOKUP(Incidents[[#This Row],[Ticket ID]],[1]Incidents!$A$2:$D$792,4,FALSE)</f>
        <v>4 - Low</v>
      </c>
      <c r="N680">
        <f>VLOOKUP(Incidents[[#This Row],[Priority]],'SLA Config'!$B$3:$C$6,2,FALSE)</f>
        <v>25</v>
      </c>
      <c r="O680" t="str">
        <f ca="1">IF(Incidents[[#This Row],[Age (days)]]&gt;Incidents[[#This Row],[SLA Threshold]],"NO","Yes")</f>
        <v>Yes</v>
      </c>
    </row>
    <row r="681" spans="1:15" x14ac:dyDescent="0.25">
      <c r="A681" s="2" t="s">
        <v>1426</v>
      </c>
      <c r="B681" s="1">
        <v>44900</v>
      </c>
      <c r="C681" s="1">
        <v>44906</v>
      </c>
      <c r="D681" t="s">
        <v>29</v>
      </c>
      <c r="E681" t="s">
        <v>104</v>
      </c>
      <c r="F681" s="49">
        <f t="shared" ca="1" si="10"/>
        <v>5</v>
      </c>
      <c r="G681" s="16" t="s">
        <v>51</v>
      </c>
      <c r="H681" s="11" t="s">
        <v>1427</v>
      </c>
      <c r="I681" t="s">
        <v>1336</v>
      </c>
      <c r="J681" s="14" t="s">
        <v>304</v>
      </c>
      <c r="K681" t="s">
        <v>119</v>
      </c>
      <c r="L681" t="s">
        <v>120</v>
      </c>
      <c r="M681" t="str">
        <f>VLOOKUP(Incidents[[#This Row],[Ticket ID]],[1]Incidents!$A$2:$D$792,4,FALSE)</f>
        <v>2 - High</v>
      </c>
      <c r="N681">
        <f>VLOOKUP(Incidents[[#This Row],[Priority]],'SLA Config'!$B$3:$C$6,2,FALSE)</f>
        <v>5</v>
      </c>
      <c r="O681" t="str">
        <f ca="1">IF(Incidents[[#This Row],[Age (days)]]&gt;Incidents[[#This Row],[SLA Threshold]],"NO","Yes")</f>
        <v>Yes</v>
      </c>
    </row>
    <row r="682" spans="1:15" x14ac:dyDescent="0.25">
      <c r="A682" s="2" t="s">
        <v>1428</v>
      </c>
      <c r="B682" s="1">
        <v>45007</v>
      </c>
      <c r="C682" s="8">
        <v>45013</v>
      </c>
      <c r="D682" t="s">
        <v>29</v>
      </c>
      <c r="E682" s="17" t="s">
        <v>104</v>
      </c>
      <c r="F682" s="49">
        <f t="shared" ca="1" si="10"/>
        <v>5</v>
      </c>
      <c r="G682" s="16" t="s">
        <v>31</v>
      </c>
      <c r="H682" s="11" t="s">
        <v>1429</v>
      </c>
      <c r="I682" t="s">
        <v>1336</v>
      </c>
      <c r="J682" s="14" t="s">
        <v>1394</v>
      </c>
      <c r="K682" t="s">
        <v>1430</v>
      </c>
      <c r="L682" t="s">
        <v>71</v>
      </c>
      <c r="M682" t="str">
        <f>VLOOKUP(Incidents[[#This Row],[Ticket ID]],[1]Incidents!$A$2:$D$792,4,FALSE)</f>
        <v>2 - High</v>
      </c>
      <c r="N682">
        <f>VLOOKUP(Incidents[[#This Row],[Priority]],'SLA Config'!$B$3:$C$6,2,FALSE)</f>
        <v>5</v>
      </c>
      <c r="O682" t="str">
        <f ca="1">IF(Incidents[[#This Row],[Age (days)]]&gt;Incidents[[#This Row],[SLA Threshold]],"NO","Yes")</f>
        <v>Yes</v>
      </c>
    </row>
    <row r="683" spans="1:15" x14ac:dyDescent="0.25">
      <c r="A683" s="19" t="s">
        <v>1431</v>
      </c>
      <c r="B683" s="8">
        <v>45445</v>
      </c>
      <c r="C683" s="8">
        <v>45452</v>
      </c>
      <c r="D683" t="s">
        <v>29</v>
      </c>
      <c r="E683" t="s">
        <v>324</v>
      </c>
      <c r="F683" s="49">
        <f t="shared" ca="1" si="10"/>
        <v>5</v>
      </c>
      <c r="G683" s="16" t="s">
        <v>31</v>
      </c>
      <c r="H683" t="s">
        <v>1432</v>
      </c>
      <c r="I683" t="s">
        <v>1336</v>
      </c>
      <c r="J683" s="14" t="s">
        <v>666</v>
      </c>
      <c r="K683" t="s">
        <v>1433</v>
      </c>
      <c r="L683" t="s">
        <v>71</v>
      </c>
      <c r="M683" t="str">
        <f>VLOOKUP(Incidents[[#This Row],[Ticket ID]],[1]Incidents!$A$2:$D$792,4,FALSE)</f>
        <v>2 - High</v>
      </c>
      <c r="N683">
        <f>VLOOKUP(Incidents[[#This Row],[Priority]],'SLA Config'!$B$3:$C$6,2,FALSE)</f>
        <v>5</v>
      </c>
      <c r="O683" t="str">
        <f ca="1">IF(Incidents[[#This Row],[Age (days)]]&gt;Incidents[[#This Row],[SLA Threshold]],"NO","Yes")</f>
        <v>Yes</v>
      </c>
    </row>
    <row r="684" spans="1:15" x14ac:dyDescent="0.25">
      <c r="A684" s="2" t="s">
        <v>1434</v>
      </c>
      <c r="B684" s="8">
        <v>45583</v>
      </c>
      <c r="C684" s="8">
        <v>45591</v>
      </c>
      <c r="D684" t="s">
        <v>29</v>
      </c>
      <c r="E684" t="s">
        <v>46</v>
      </c>
      <c r="F684" s="49">
        <f t="shared" ca="1" si="10"/>
        <v>6</v>
      </c>
      <c r="G684" s="16" t="s">
        <v>31</v>
      </c>
      <c r="H684" t="s">
        <v>1435</v>
      </c>
      <c r="I684" t="s">
        <v>1336</v>
      </c>
      <c r="J684" s="14" t="s">
        <v>1405</v>
      </c>
      <c r="K684" t="s">
        <v>1436</v>
      </c>
      <c r="L684" t="s">
        <v>71</v>
      </c>
      <c r="M684" t="str">
        <f>VLOOKUP(Incidents[[#This Row],[Ticket ID]],[1]Incidents!$A$2:$D$792,4,FALSE)</f>
        <v>4 - Low</v>
      </c>
      <c r="N684">
        <f>VLOOKUP(Incidents[[#This Row],[Priority]],'SLA Config'!$B$3:$C$6,2,FALSE)</f>
        <v>25</v>
      </c>
      <c r="O684" t="str">
        <f ca="1">IF(Incidents[[#This Row],[Age (days)]]&gt;Incidents[[#This Row],[SLA Threshold]],"NO","Yes")</f>
        <v>Yes</v>
      </c>
    </row>
    <row r="685" spans="1:15" x14ac:dyDescent="0.25">
      <c r="A685" s="19" t="s">
        <v>1437</v>
      </c>
      <c r="B685" s="8">
        <v>45573</v>
      </c>
      <c r="C685" s="8">
        <v>45579</v>
      </c>
      <c r="D685" t="s">
        <v>29</v>
      </c>
      <c r="E685" s="17" t="s">
        <v>46</v>
      </c>
      <c r="F685" s="49">
        <f t="shared" ca="1" si="10"/>
        <v>5</v>
      </c>
      <c r="G685" s="16" t="s">
        <v>31</v>
      </c>
      <c r="H685" s="11" t="s">
        <v>1438</v>
      </c>
      <c r="I685" t="s">
        <v>1336</v>
      </c>
      <c r="J685" s="14" t="s">
        <v>1439</v>
      </c>
      <c r="K685" s="17" t="s">
        <v>1440</v>
      </c>
      <c r="L685" t="s">
        <v>120</v>
      </c>
      <c r="M685" t="str">
        <f>VLOOKUP(Incidents[[#This Row],[Ticket ID]],[1]Incidents!$A$2:$D$792,4,FALSE)</f>
        <v>2 - High</v>
      </c>
      <c r="N685">
        <f>VLOOKUP(Incidents[[#This Row],[Priority]],'SLA Config'!$B$3:$C$6,2,FALSE)</f>
        <v>5</v>
      </c>
      <c r="O685" t="str">
        <f ca="1">IF(Incidents[[#This Row],[Age (days)]]&gt;Incidents[[#This Row],[SLA Threshold]],"NO","Yes")</f>
        <v>Yes</v>
      </c>
    </row>
    <row r="686" spans="1:15" x14ac:dyDescent="0.25">
      <c r="A686" s="2" t="s">
        <v>1441</v>
      </c>
      <c r="B686" s="8">
        <v>45580</v>
      </c>
      <c r="C686" s="8">
        <v>45585</v>
      </c>
      <c r="D686" t="s">
        <v>29</v>
      </c>
      <c r="E686" t="s">
        <v>46</v>
      </c>
      <c r="F686" s="49">
        <f t="shared" ca="1" si="10"/>
        <v>4</v>
      </c>
      <c r="G686" s="16" t="s">
        <v>31</v>
      </c>
      <c r="H686" t="s">
        <v>1442</v>
      </c>
      <c r="I686" t="s">
        <v>1336</v>
      </c>
      <c r="J686" s="14" t="s">
        <v>1405</v>
      </c>
      <c r="K686" t="s">
        <v>215</v>
      </c>
      <c r="L686" t="s">
        <v>120</v>
      </c>
      <c r="M686" t="str">
        <f>VLOOKUP(Incidents[[#This Row],[Ticket ID]],[1]Incidents!$A$2:$D$792,4,FALSE)</f>
        <v>4 - Low</v>
      </c>
      <c r="N686">
        <f>VLOOKUP(Incidents[[#This Row],[Priority]],'SLA Config'!$B$3:$C$6,2,FALSE)</f>
        <v>25</v>
      </c>
      <c r="O686" t="str">
        <f ca="1">IF(Incidents[[#This Row],[Age (days)]]&gt;Incidents[[#This Row],[SLA Threshold]],"NO","Yes")</f>
        <v>Yes</v>
      </c>
    </row>
    <row r="687" spans="1:15" ht="15.75" x14ac:dyDescent="0.25">
      <c r="A687" s="2" t="s">
        <v>1443</v>
      </c>
      <c r="B687" s="31">
        <v>45708</v>
      </c>
      <c r="C687" s="8">
        <v>45724</v>
      </c>
      <c r="D687" s="28" t="s">
        <v>29</v>
      </c>
      <c r="E687" t="s">
        <v>38</v>
      </c>
      <c r="F687" s="49">
        <f t="shared" ca="1" si="10"/>
        <v>12</v>
      </c>
      <c r="G687" s="16" t="s">
        <v>51</v>
      </c>
      <c r="H687" s="11" t="s">
        <v>1444</v>
      </c>
      <c r="I687" t="s">
        <v>1336</v>
      </c>
      <c r="J687" s="14"/>
      <c r="K687" t="s">
        <v>215</v>
      </c>
      <c r="L687" t="s">
        <v>120</v>
      </c>
      <c r="M687" t="str">
        <f>VLOOKUP(Incidents[[#This Row],[Ticket ID]],[1]Incidents!$A$2:$D$792,4,FALSE)</f>
        <v>3 - Medium</v>
      </c>
      <c r="N687">
        <f>VLOOKUP(Incidents[[#This Row],[Priority]],'SLA Config'!$B$3:$C$6,2,FALSE)</f>
        <v>15</v>
      </c>
      <c r="O687" t="str">
        <f ca="1">IF(Incidents[[#This Row],[Age (days)]]&gt;Incidents[[#This Row],[SLA Threshold]],"NO","Yes")</f>
        <v>Yes</v>
      </c>
    </row>
    <row r="688" spans="1:15" x14ac:dyDescent="0.25">
      <c r="A688" s="2" t="s">
        <v>1445</v>
      </c>
      <c r="B688" s="1">
        <v>44985</v>
      </c>
      <c r="C688" s="8">
        <v>45094</v>
      </c>
      <c r="D688" t="s">
        <v>29</v>
      </c>
      <c r="E688" t="s">
        <v>54</v>
      </c>
      <c r="F688" s="49">
        <f t="shared" ca="1" si="10"/>
        <v>79</v>
      </c>
      <c r="G688" s="16" t="s">
        <v>31</v>
      </c>
      <c r="H688" s="11" t="s">
        <v>1446</v>
      </c>
      <c r="I688" t="s">
        <v>1447</v>
      </c>
      <c r="J688" s="14" t="s">
        <v>40</v>
      </c>
      <c r="K688" t="s">
        <v>231</v>
      </c>
      <c r="L688" t="s">
        <v>120</v>
      </c>
      <c r="M688" t="str">
        <f>VLOOKUP(Incidents[[#This Row],[Ticket ID]],[1]Incidents!$A$2:$D$792,4,FALSE)</f>
        <v>3 - Medium</v>
      </c>
      <c r="N688">
        <f>VLOOKUP(Incidents[[#This Row],[Priority]],'SLA Config'!$B$3:$C$6,2,FALSE)</f>
        <v>15</v>
      </c>
      <c r="O688" t="str">
        <f ca="1">IF(Incidents[[#This Row],[Age (days)]]&gt;Incidents[[#This Row],[SLA Threshold]],"NO","Yes")</f>
        <v>NO</v>
      </c>
    </row>
    <row r="689" spans="1:15" x14ac:dyDescent="0.25">
      <c r="A689" t="s">
        <v>1448</v>
      </c>
      <c r="B689" s="1">
        <v>44825</v>
      </c>
      <c r="C689" s="1">
        <v>44916</v>
      </c>
      <c r="D689" t="s">
        <v>29</v>
      </c>
      <c r="E689" t="s">
        <v>324</v>
      </c>
      <c r="F689" s="49">
        <f t="shared" ca="1" si="10"/>
        <v>66</v>
      </c>
      <c r="G689" s="16" t="s">
        <v>51</v>
      </c>
      <c r="H689" s="11" t="s">
        <v>1449</v>
      </c>
      <c r="I689" t="s">
        <v>1447</v>
      </c>
      <c r="J689" s="14" t="s">
        <v>304</v>
      </c>
      <c r="K689" t="s">
        <v>119</v>
      </c>
      <c r="L689" t="s">
        <v>120</v>
      </c>
      <c r="M689" t="str">
        <f>VLOOKUP(Incidents[[#This Row],[Ticket ID]],[1]Incidents!$A$2:$D$792,4,FALSE)</f>
        <v>4 - Low</v>
      </c>
      <c r="N689">
        <f>VLOOKUP(Incidents[[#This Row],[Priority]],'SLA Config'!$B$3:$C$6,2,FALSE)</f>
        <v>25</v>
      </c>
      <c r="O689" t="str">
        <f ca="1">IF(Incidents[[#This Row],[Age (days)]]&gt;Incidents[[#This Row],[SLA Threshold]],"NO","Yes")</f>
        <v>NO</v>
      </c>
    </row>
    <row r="690" spans="1:15" x14ac:dyDescent="0.25">
      <c r="A690" s="17" t="s">
        <v>1450</v>
      </c>
      <c r="B690" s="1">
        <v>45244</v>
      </c>
      <c r="C690" s="8">
        <v>45326</v>
      </c>
      <c r="D690" t="s">
        <v>29</v>
      </c>
      <c r="E690" t="s">
        <v>324</v>
      </c>
      <c r="F690" s="49">
        <f t="shared" ca="1" si="10"/>
        <v>59</v>
      </c>
      <c r="G690" s="16" t="s">
        <v>31</v>
      </c>
      <c r="H690" s="11" t="s">
        <v>1451</v>
      </c>
      <c r="I690" t="s">
        <v>1447</v>
      </c>
      <c r="J690" s="14" t="s">
        <v>40</v>
      </c>
      <c r="K690" t="s">
        <v>231</v>
      </c>
      <c r="L690" t="s">
        <v>120</v>
      </c>
      <c r="M690" t="str">
        <f>VLOOKUP(Incidents[[#This Row],[Ticket ID]],[1]Incidents!$A$2:$D$792,4,FALSE)</f>
        <v>4 - Low</v>
      </c>
      <c r="N690">
        <f>VLOOKUP(Incidents[[#This Row],[Priority]],'SLA Config'!$B$3:$C$6,2,FALSE)</f>
        <v>25</v>
      </c>
      <c r="O690" t="str">
        <f ca="1">IF(Incidents[[#This Row],[Age (days)]]&gt;Incidents[[#This Row],[SLA Threshold]],"NO","Yes")</f>
        <v>NO</v>
      </c>
    </row>
    <row r="691" spans="1:15" x14ac:dyDescent="0.25">
      <c r="A691" s="2" t="s">
        <v>1452</v>
      </c>
      <c r="B691" s="1">
        <v>45177</v>
      </c>
      <c r="C691" s="8">
        <v>45250</v>
      </c>
      <c r="D691" t="s">
        <v>29</v>
      </c>
      <c r="E691" t="s">
        <v>324</v>
      </c>
      <c r="F691" s="49">
        <f t="shared" ca="1" si="10"/>
        <v>52</v>
      </c>
      <c r="G691" s="16" t="s">
        <v>31</v>
      </c>
      <c r="H691" s="11" t="s">
        <v>1453</v>
      </c>
      <c r="I691" t="s">
        <v>1447</v>
      </c>
      <c r="J691" s="14" t="s">
        <v>40</v>
      </c>
      <c r="K691" t="s">
        <v>201</v>
      </c>
      <c r="L691" t="s">
        <v>120</v>
      </c>
      <c r="M691" t="str">
        <f>VLOOKUP(Incidents[[#This Row],[Ticket ID]],[1]Incidents!$A$2:$D$792,4,FALSE)</f>
        <v>4 - Low</v>
      </c>
      <c r="N691">
        <f>VLOOKUP(Incidents[[#This Row],[Priority]],'SLA Config'!$B$3:$C$6,2,FALSE)</f>
        <v>25</v>
      </c>
      <c r="O691" t="str">
        <f ca="1">IF(Incidents[[#This Row],[Age (days)]]&gt;Incidents[[#This Row],[SLA Threshold]],"NO","Yes")</f>
        <v>NO</v>
      </c>
    </row>
    <row r="692" spans="1:15" x14ac:dyDescent="0.25">
      <c r="A692" s="2" t="s">
        <v>1454</v>
      </c>
      <c r="B692" s="1">
        <v>45544</v>
      </c>
      <c r="C692" s="29">
        <v>45614</v>
      </c>
      <c r="D692" t="s">
        <v>29</v>
      </c>
      <c r="E692" t="s">
        <v>324</v>
      </c>
      <c r="F692" s="49">
        <f t="shared" ca="1" si="10"/>
        <v>51</v>
      </c>
      <c r="G692" t="s">
        <v>51</v>
      </c>
      <c r="H692" t="s">
        <v>1455</v>
      </c>
      <c r="I692" t="s">
        <v>1447</v>
      </c>
      <c r="J692" s="14" t="s">
        <v>304</v>
      </c>
      <c r="K692" t="s">
        <v>81</v>
      </c>
      <c r="L692" t="s">
        <v>71</v>
      </c>
      <c r="M692" t="str">
        <f>VLOOKUP(Incidents[[#This Row],[Ticket ID]],[1]Incidents!$A$2:$D$792,4,FALSE)</f>
        <v>4 - Low</v>
      </c>
      <c r="N692">
        <f>VLOOKUP(Incidents[[#This Row],[Priority]],'SLA Config'!$B$3:$C$6,2,FALSE)</f>
        <v>25</v>
      </c>
      <c r="O692" t="str">
        <f ca="1">IF(Incidents[[#This Row],[Age (days)]]&gt;Incidents[[#This Row],[SLA Threshold]],"NO","Yes")</f>
        <v>NO</v>
      </c>
    </row>
    <row r="693" spans="1:15" x14ac:dyDescent="0.25">
      <c r="A693" s="2" t="s">
        <v>1456</v>
      </c>
      <c r="B693" s="1">
        <v>45086</v>
      </c>
      <c r="C693" s="8">
        <v>45147</v>
      </c>
      <c r="D693" t="s">
        <v>29</v>
      </c>
      <c r="E693" t="s">
        <v>273</v>
      </c>
      <c r="F693" s="49">
        <f t="shared" ca="1" si="10"/>
        <v>44</v>
      </c>
      <c r="G693" s="16" t="s">
        <v>31</v>
      </c>
      <c r="H693" s="11" t="s">
        <v>1457</v>
      </c>
      <c r="I693" t="s">
        <v>1447</v>
      </c>
      <c r="J693" s="14" t="s">
        <v>40</v>
      </c>
      <c r="K693" t="s">
        <v>201</v>
      </c>
      <c r="L693" t="s">
        <v>120</v>
      </c>
      <c r="M693" t="str">
        <f>VLOOKUP(Incidents[[#This Row],[Ticket ID]],[1]Incidents!$A$2:$D$792,4,FALSE)</f>
        <v>3 - Medium</v>
      </c>
      <c r="N693">
        <f>VLOOKUP(Incidents[[#This Row],[Priority]],'SLA Config'!$B$3:$C$6,2,FALSE)</f>
        <v>15</v>
      </c>
      <c r="O693" t="str">
        <f ca="1">IF(Incidents[[#This Row],[Age (days)]]&gt;Incidents[[#This Row],[SLA Threshold]],"NO","Yes")</f>
        <v>NO</v>
      </c>
    </row>
    <row r="694" spans="1:15" x14ac:dyDescent="0.25">
      <c r="A694" s="2" t="s">
        <v>1458</v>
      </c>
      <c r="B694" s="1">
        <v>45086</v>
      </c>
      <c r="C694" s="8">
        <v>45146</v>
      </c>
      <c r="D694" t="s">
        <v>29</v>
      </c>
      <c r="E694" t="s">
        <v>324</v>
      </c>
      <c r="F694" s="49">
        <f t="shared" ca="1" si="10"/>
        <v>43</v>
      </c>
      <c r="G694" s="16" t="s">
        <v>31</v>
      </c>
      <c r="H694" s="11" t="s">
        <v>1459</v>
      </c>
      <c r="I694" t="s">
        <v>1447</v>
      </c>
      <c r="J694" s="14" t="s">
        <v>40</v>
      </c>
      <c r="K694" t="s">
        <v>201</v>
      </c>
      <c r="L694" t="s">
        <v>120</v>
      </c>
      <c r="M694" t="str">
        <f>VLOOKUP(Incidents[[#This Row],[Ticket ID]],[1]Incidents!$A$2:$D$792,4,FALSE)</f>
        <v>3 - Medium</v>
      </c>
      <c r="N694">
        <f>VLOOKUP(Incidents[[#This Row],[Priority]],'SLA Config'!$B$3:$C$6,2,FALSE)</f>
        <v>15</v>
      </c>
      <c r="O694" t="str">
        <f ca="1">IF(Incidents[[#This Row],[Age (days)]]&gt;Incidents[[#This Row],[SLA Threshold]],"NO","Yes")</f>
        <v>NO</v>
      </c>
    </row>
    <row r="695" spans="1:15" x14ac:dyDescent="0.25">
      <c r="A695" s="2" t="s">
        <v>1460</v>
      </c>
      <c r="B695" s="1">
        <v>45229</v>
      </c>
      <c r="C695" s="8">
        <v>45286</v>
      </c>
      <c r="D695" t="s">
        <v>29</v>
      </c>
      <c r="E695" t="s">
        <v>324</v>
      </c>
      <c r="F695" s="49">
        <f t="shared" ca="1" si="10"/>
        <v>42</v>
      </c>
      <c r="G695" s="16" t="s">
        <v>51</v>
      </c>
      <c r="H695" s="11" t="s">
        <v>1461</v>
      </c>
      <c r="I695" t="s">
        <v>1447</v>
      </c>
      <c r="J695" s="14" t="s">
        <v>118</v>
      </c>
      <c r="K695" t="s">
        <v>119</v>
      </c>
      <c r="L695" t="s">
        <v>120</v>
      </c>
      <c r="M695" t="str">
        <f>VLOOKUP(Incidents[[#This Row],[Ticket ID]],[1]Incidents!$A$2:$D$792,4,FALSE)</f>
        <v>3 - Medium</v>
      </c>
      <c r="N695">
        <f>VLOOKUP(Incidents[[#This Row],[Priority]],'SLA Config'!$B$3:$C$6,2,FALSE)</f>
        <v>15</v>
      </c>
      <c r="O695" t="str">
        <f ca="1">IF(Incidents[[#This Row],[Age (days)]]&gt;Incidents[[#This Row],[SLA Threshold]],"NO","Yes")</f>
        <v>NO</v>
      </c>
    </row>
    <row r="696" spans="1:15" x14ac:dyDescent="0.25">
      <c r="A696" s="19" t="s">
        <v>1462</v>
      </c>
      <c r="B696" s="8">
        <v>45415</v>
      </c>
      <c r="C696" s="8">
        <v>45468</v>
      </c>
      <c r="D696" t="s">
        <v>29</v>
      </c>
      <c r="E696" t="s">
        <v>38</v>
      </c>
      <c r="F696" s="49">
        <f t="shared" ca="1" si="10"/>
        <v>38</v>
      </c>
      <c r="G696" s="16" t="s">
        <v>31</v>
      </c>
      <c r="H696" t="s">
        <v>1463</v>
      </c>
      <c r="I696" t="s">
        <v>1447</v>
      </c>
      <c r="J696" s="14" t="s">
        <v>40</v>
      </c>
      <c r="K696" t="s">
        <v>215</v>
      </c>
      <c r="L696" t="s">
        <v>120</v>
      </c>
      <c r="M696" t="str">
        <f>VLOOKUP(Incidents[[#This Row],[Ticket ID]],[1]Incidents!$A$2:$D$792,4,FALSE)</f>
        <v>3 - Medium</v>
      </c>
      <c r="N696">
        <f>VLOOKUP(Incidents[[#This Row],[Priority]],'SLA Config'!$B$3:$C$6,2,FALSE)</f>
        <v>15</v>
      </c>
      <c r="O696" t="str">
        <f ca="1">IF(Incidents[[#This Row],[Age (days)]]&gt;Incidents[[#This Row],[SLA Threshold]],"NO","Yes")</f>
        <v>NO</v>
      </c>
    </row>
    <row r="697" spans="1:15" x14ac:dyDescent="0.25">
      <c r="A697" t="s">
        <v>1464</v>
      </c>
      <c r="B697" s="1">
        <v>44743</v>
      </c>
      <c r="C697" s="1">
        <v>44795</v>
      </c>
      <c r="D697" t="s">
        <v>29</v>
      </c>
      <c r="E697" t="s">
        <v>38</v>
      </c>
      <c r="F697" s="49">
        <f t="shared" ca="1" si="10"/>
        <v>37</v>
      </c>
      <c r="G697" s="16" t="s">
        <v>51</v>
      </c>
      <c r="H697" s="11" t="s">
        <v>1465</v>
      </c>
      <c r="I697" t="s">
        <v>1447</v>
      </c>
      <c r="J697" s="14" t="s">
        <v>304</v>
      </c>
      <c r="K697" t="s">
        <v>119</v>
      </c>
      <c r="L697" t="s">
        <v>120</v>
      </c>
      <c r="M697" t="str">
        <f>VLOOKUP(Incidents[[#This Row],[Ticket ID]],[1]Incidents!$A$2:$D$792,4,FALSE)</f>
        <v>4 - Low</v>
      </c>
      <c r="N697">
        <f>VLOOKUP(Incidents[[#This Row],[Priority]],'SLA Config'!$B$3:$C$6,2,FALSE)</f>
        <v>25</v>
      </c>
      <c r="O697" t="str">
        <f ca="1">IF(Incidents[[#This Row],[Age (days)]]&gt;Incidents[[#This Row],[SLA Threshold]],"NO","Yes")</f>
        <v>NO</v>
      </c>
    </row>
    <row r="698" spans="1:15" x14ac:dyDescent="0.25">
      <c r="A698" t="s">
        <v>1466</v>
      </c>
      <c r="B698" s="1">
        <v>44853</v>
      </c>
      <c r="C698" s="1">
        <v>44902</v>
      </c>
      <c r="D698" t="s">
        <v>29</v>
      </c>
      <c r="E698" t="s">
        <v>54</v>
      </c>
      <c r="F698" s="49">
        <f t="shared" ca="1" si="10"/>
        <v>36</v>
      </c>
      <c r="G698" s="16" t="s">
        <v>31</v>
      </c>
      <c r="H698" s="11" t="s">
        <v>1467</v>
      </c>
      <c r="I698" t="s">
        <v>1447</v>
      </c>
      <c r="J698" s="14" t="s">
        <v>40</v>
      </c>
      <c r="K698" t="s">
        <v>201</v>
      </c>
      <c r="L698" t="s">
        <v>120</v>
      </c>
      <c r="M698" t="str">
        <f>VLOOKUP(Incidents[[#This Row],[Ticket ID]],[1]Incidents!$A$2:$D$792,4,FALSE)</f>
        <v>4 - Low</v>
      </c>
      <c r="N698">
        <f>VLOOKUP(Incidents[[#This Row],[Priority]],'SLA Config'!$B$3:$C$6,2,FALSE)</f>
        <v>25</v>
      </c>
      <c r="O698" t="str">
        <f ca="1">IF(Incidents[[#This Row],[Age (days)]]&gt;Incidents[[#This Row],[SLA Threshold]],"NO","Yes")</f>
        <v>NO</v>
      </c>
    </row>
    <row r="699" spans="1:15" x14ac:dyDescent="0.25">
      <c r="A699" s="19" t="s">
        <v>1468</v>
      </c>
      <c r="B699" s="1">
        <v>44956</v>
      </c>
      <c r="C699" s="1">
        <v>45003</v>
      </c>
      <c r="D699" t="s">
        <v>29</v>
      </c>
      <c r="E699" t="s">
        <v>54</v>
      </c>
      <c r="F699" s="49">
        <f t="shared" ca="1" si="10"/>
        <v>35</v>
      </c>
      <c r="G699" s="16" t="s">
        <v>31</v>
      </c>
      <c r="H699" s="11" t="s">
        <v>1469</v>
      </c>
      <c r="I699" t="s">
        <v>1447</v>
      </c>
      <c r="J699" s="14" t="s">
        <v>40</v>
      </c>
      <c r="K699" t="s">
        <v>231</v>
      </c>
      <c r="L699" t="s">
        <v>120</v>
      </c>
      <c r="M699" t="str">
        <f>VLOOKUP(Incidents[[#This Row],[Ticket ID]],[1]Incidents!$A$2:$D$792,4,FALSE)</f>
        <v>4 - Low</v>
      </c>
      <c r="N699">
        <f>VLOOKUP(Incidents[[#This Row],[Priority]],'SLA Config'!$B$3:$C$6,2,FALSE)</f>
        <v>25</v>
      </c>
      <c r="O699" t="str">
        <f ca="1">IF(Incidents[[#This Row],[Age (days)]]&gt;Incidents[[#This Row],[SLA Threshold]],"NO","Yes")</f>
        <v>NO</v>
      </c>
    </row>
    <row r="700" spans="1:15" x14ac:dyDescent="0.25">
      <c r="A700" t="s">
        <v>1470</v>
      </c>
      <c r="B700" s="1">
        <v>44749</v>
      </c>
      <c r="C700" s="1">
        <v>44795</v>
      </c>
      <c r="D700" t="s">
        <v>29</v>
      </c>
      <c r="E700" t="s">
        <v>54</v>
      </c>
      <c r="F700" s="49">
        <f t="shared" ca="1" si="10"/>
        <v>33</v>
      </c>
      <c r="G700" s="16" t="s">
        <v>51</v>
      </c>
      <c r="H700" s="11" t="s">
        <v>1471</v>
      </c>
      <c r="I700" t="s">
        <v>1447</v>
      </c>
      <c r="J700" s="14" t="s">
        <v>304</v>
      </c>
      <c r="K700" t="s">
        <v>281</v>
      </c>
      <c r="L700" t="s">
        <v>120</v>
      </c>
      <c r="M700" t="str">
        <f>VLOOKUP(Incidents[[#This Row],[Ticket ID]],[1]Incidents!$A$2:$D$792,4,FALSE)</f>
        <v>4 - Low</v>
      </c>
      <c r="N700">
        <f>VLOOKUP(Incidents[[#This Row],[Priority]],'SLA Config'!$B$3:$C$6,2,FALSE)</f>
        <v>25</v>
      </c>
      <c r="O700" t="str">
        <f ca="1">IF(Incidents[[#This Row],[Age (days)]]&gt;Incidents[[#This Row],[SLA Threshold]],"NO","Yes")</f>
        <v>NO</v>
      </c>
    </row>
    <row r="701" spans="1:15" x14ac:dyDescent="0.25">
      <c r="A701" s="19" t="s">
        <v>1472</v>
      </c>
      <c r="B701" s="1">
        <v>44958</v>
      </c>
      <c r="C701" s="8">
        <v>45003</v>
      </c>
      <c r="D701" t="s">
        <v>29</v>
      </c>
      <c r="E701" t="s">
        <v>54</v>
      </c>
      <c r="F701" s="49">
        <f t="shared" ca="1" si="10"/>
        <v>33</v>
      </c>
      <c r="G701" s="16" t="s">
        <v>31</v>
      </c>
      <c r="H701" s="11" t="s">
        <v>1473</v>
      </c>
      <c r="I701" t="s">
        <v>1447</v>
      </c>
      <c r="J701" s="14" t="s">
        <v>40</v>
      </c>
      <c r="K701" t="s">
        <v>231</v>
      </c>
      <c r="L701" t="s">
        <v>120</v>
      </c>
      <c r="M701" t="str">
        <f>VLOOKUP(Incidents[[#This Row],[Ticket ID]],[1]Incidents!$A$2:$D$792,4,FALSE)</f>
        <v>4 - Low</v>
      </c>
      <c r="N701">
        <f>VLOOKUP(Incidents[[#This Row],[Priority]],'SLA Config'!$B$3:$C$6,2,FALSE)</f>
        <v>25</v>
      </c>
      <c r="O701" t="str">
        <f ca="1">IF(Incidents[[#This Row],[Age (days)]]&gt;Incidents[[#This Row],[SLA Threshold]],"NO","Yes")</f>
        <v>NO</v>
      </c>
    </row>
    <row r="702" spans="1:15" x14ac:dyDescent="0.25">
      <c r="A702" s="2" t="s">
        <v>1474</v>
      </c>
      <c r="B702" s="1">
        <v>45548</v>
      </c>
      <c r="C702" s="8">
        <v>45591</v>
      </c>
      <c r="D702" t="s">
        <v>29</v>
      </c>
      <c r="E702" t="s">
        <v>30</v>
      </c>
      <c r="F702" s="49">
        <f t="shared" ca="1" si="10"/>
        <v>31</v>
      </c>
      <c r="G702" t="s">
        <v>31</v>
      </c>
      <c r="H702" t="s">
        <v>1475</v>
      </c>
      <c r="I702" t="s">
        <v>1447</v>
      </c>
      <c r="J702" s="14" t="s">
        <v>40</v>
      </c>
      <c r="K702" t="s">
        <v>480</v>
      </c>
      <c r="L702" t="s">
        <v>120</v>
      </c>
      <c r="M702" t="str">
        <f>VLOOKUP(Incidents[[#This Row],[Ticket ID]],[1]Incidents!$A$2:$D$792,4,FALSE)</f>
        <v>3 - Medium</v>
      </c>
      <c r="N702">
        <f>VLOOKUP(Incidents[[#This Row],[Priority]],'SLA Config'!$B$3:$C$6,2,FALSE)</f>
        <v>15</v>
      </c>
      <c r="O702" t="str">
        <f ca="1">IF(Incidents[[#This Row],[Age (days)]]&gt;Incidents[[#This Row],[SLA Threshold]],"NO","Yes")</f>
        <v>NO</v>
      </c>
    </row>
    <row r="703" spans="1:15" x14ac:dyDescent="0.25">
      <c r="A703" s="19" t="s">
        <v>1476</v>
      </c>
      <c r="B703" s="1">
        <v>44957</v>
      </c>
      <c r="C703" s="8">
        <v>44998</v>
      </c>
      <c r="D703" t="s">
        <v>29</v>
      </c>
      <c r="E703" t="s">
        <v>54</v>
      </c>
      <c r="F703" s="49">
        <f t="shared" ca="1" si="10"/>
        <v>30</v>
      </c>
      <c r="G703" s="16" t="s">
        <v>31</v>
      </c>
      <c r="H703" s="11" t="s">
        <v>1477</v>
      </c>
      <c r="I703" t="s">
        <v>1447</v>
      </c>
      <c r="J703" s="14" t="s">
        <v>40</v>
      </c>
      <c r="K703" t="s">
        <v>218</v>
      </c>
      <c r="L703" t="s">
        <v>120</v>
      </c>
      <c r="M703" t="str">
        <f>VLOOKUP(Incidents[[#This Row],[Ticket ID]],[1]Incidents!$A$2:$D$792,4,FALSE)</f>
        <v>4 - Low</v>
      </c>
      <c r="N703">
        <f>VLOOKUP(Incidents[[#This Row],[Priority]],'SLA Config'!$B$3:$C$6,2,FALSE)</f>
        <v>25</v>
      </c>
      <c r="O703" t="str">
        <f ca="1">IF(Incidents[[#This Row],[Age (days)]]&gt;Incidents[[#This Row],[SLA Threshold]],"NO","Yes")</f>
        <v>NO</v>
      </c>
    </row>
    <row r="704" spans="1:15" ht="30" x14ac:dyDescent="0.25">
      <c r="A704" s="19" t="s">
        <v>1478</v>
      </c>
      <c r="B704" s="1">
        <v>45300</v>
      </c>
      <c r="C704" s="8">
        <v>45340</v>
      </c>
      <c r="D704" t="s">
        <v>29</v>
      </c>
      <c r="E704" t="s">
        <v>38</v>
      </c>
      <c r="F704" s="49">
        <f t="shared" ca="1" si="10"/>
        <v>29</v>
      </c>
      <c r="G704" s="16" t="s">
        <v>31</v>
      </c>
      <c r="H704" s="11" t="s">
        <v>1479</v>
      </c>
      <c r="I704" t="s">
        <v>1447</v>
      </c>
      <c r="J704" s="14" t="s">
        <v>40</v>
      </c>
      <c r="K704" t="s">
        <v>201</v>
      </c>
      <c r="L704" t="s">
        <v>120</v>
      </c>
      <c r="M704" t="str">
        <f>VLOOKUP(Incidents[[#This Row],[Ticket ID]],[1]Incidents!$A$2:$D$792,4,FALSE)</f>
        <v>3 - Medium</v>
      </c>
      <c r="N704">
        <f>VLOOKUP(Incidents[[#This Row],[Priority]],'SLA Config'!$B$3:$C$6,2,FALSE)</f>
        <v>15</v>
      </c>
      <c r="O704" t="str">
        <f ca="1">IF(Incidents[[#This Row],[Age (days)]]&gt;Incidents[[#This Row],[SLA Threshold]],"NO","Yes")</f>
        <v>NO</v>
      </c>
    </row>
    <row r="705" spans="1:15" x14ac:dyDescent="0.25">
      <c r="A705" s="2" t="s">
        <v>1480</v>
      </c>
      <c r="B705" s="1">
        <v>45034</v>
      </c>
      <c r="C705" s="8">
        <v>45064</v>
      </c>
      <c r="D705" t="s">
        <v>29</v>
      </c>
      <c r="E705" t="s">
        <v>209</v>
      </c>
      <c r="F705" s="49">
        <f t="shared" ca="1" si="10"/>
        <v>23</v>
      </c>
      <c r="G705" s="16" t="s">
        <v>51</v>
      </c>
      <c r="H705" s="11" t="s">
        <v>1481</v>
      </c>
      <c r="I705" t="s">
        <v>1447</v>
      </c>
      <c r="J705" s="14" t="s">
        <v>40</v>
      </c>
      <c r="K705" t="s">
        <v>119</v>
      </c>
      <c r="L705" t="s">
        <v>120</v>
      </c>
      <c r="M705" t="str">
        <f>VLOOKUP(Incidents[[#This Row],[Ticket ID]],[1]Incidents!$A$2:$D$792,4,FALSE)</f>
        <v>4 - Low</v>
      </c>
      <c r="N705">
        <f>VLOOKUP(Incidents[[#This Row],[Priority]],'SLA Config'!$B$3:$C$6,2,FALSE)</f>
        <v>25</v>
      </c>
      <c r="O705" t="str">
        <f ca="1">IF(Incidents[[#This Row],[Age (days)]]&gt;Incidents[[#This Row],[SLA Threshold]],"NO","Yes")</f>
        <v>Yes</v>
      </c>
    </row>
    <row r="706" spans="1:15" x14ac:dyDescent="0.25">
      <c r="A706" s="2" t="s">
        <v>1482</v>
      </c>
      <c r="B706" s="1">
        <v>45216</v>
      </c>
      <c r="C706" s="8">
        <v>45241</v>
      </c>
      <c r="D706" t="s">
        <v>29</v>
      </c>
      <c r="E706" t="s">
        <v>324</v>
      </c>
      <c r="F706" s="49">
        <f t="shared" ref="F706:F747" ca="1" si="11">IF(ISBLANK(C706), NETWORKDAYS(B706,TODAY()), NETWORKDAYS(B706,C706))</f>
        <v>19</v>
      </c>
      <c r="G706" s="16" t="s">
        <v>31</v>
      </c>
      <c r="H706" s="11" t="s">
        <v>1335</v>
      </c>
      <c r="I706" t="s">
        <v>1447</v>
      </c>
      <c r="J706" s="14" t="s">
        <v>40</v>
      </c>
      <c r="K706" t="s">
        <v>1483</v>
      </c>
      <c r="L706" t="s">
        <v>120</v>
      </c>
      <c r="M706" t="str">
        <f>VLOOKUP(Incidents[[#This Row],[Ticket ID]],[1]Incidents!$A$2:$D$792,4,FALSE)</f>
        <v>4 - Low</v>
      </c>
      <c r="N706">
        <f>VLOOKUP(Incidents[[#This Row],[Priority]],'SLA Config'!$B$3:$C$6,2,FALSE)</f>
        <v>25</v>
      </c>
      <c r="O706" t="str">
        <f ca="1">IF(Incidents[[#This Row],[Age (days)]]&gt;Incidents[[#This Row],[SLA Threshold]],"NO","Yes")</f>
        <v>Yes</v>
      </c>
    </row>
    <row r="707" spans="1:15" x14ac:dyDescent="0.25">
      <c r="A707" s="19" t="s">
        <v>1484</v>
      </c>
      <c r="B707" s="1">
        <v>45293</v>
      </c>
      <c r="C707" s="8">
        <v>45319</v>
      </c>
      <c r="D707" t="s">
        <v>29</v>
      </c>
      <c r="E707" t="s">
        <v>273</v>
      </c>
      <c r="F707" s="49">
        <f t="shared" ca="1" si="11"/>
        <v>19</v>
      </c>
      <c r="G707" s="16" t="s">
        <v>31</v>
      </c>
      <c r="H707" s="11" t="s">
        <v>1485</v>
      </c>
      <c r="I707" t="s">
        <v>1447</v>
      </c>
      <c r="J707" s="14" t="s">
        <v>118</v>
      </c>
      <c r="K707" t="s">
        <v>201</v>
      </c>
      <c r="L707" t="s">
        <v>120</v>
      </c>
      <c r="M707" t="str">
        <f>VLOOKUP(Incidents[[#This Row],[Ticket ID]],[1]Incidents!$A$2:$D$792,4,FALSE)</f>
        <v>4 - Low</v>
      </c>
      <c r="N707">
        <f>VLOOKUP(Incidents[[#This Row],[Priority]],'SLA Config'!$B$3:$C$6,2,FALSE)</f>
        <v>25</v>
      </c>
      <c r="O707" t="str">
        <f ca="1">IF(Incidents[[#This Row],[Age (days)]]&gt;Incidents[[#This Row],[SLA Threshold]],"NO","Yes")</f>
        <v>Yes</v>
      </c>
    </row>
    <row r="708" spans="1:15" x14ac:dyDescent="0.25">
      <c r="A708" s="2" t="s">
        <v>1486</v>
      </c>
      <c r="B708" s="1">
        <v>45343</v>
      </c>
      <c r="C708" s="8">
        <v>45364</v>
      </c>
      <c r="D708" t="s">
        <v>29</v>
      </c>
      <c r="E708" t="s">
        <v>324</v>
      </c>
      <c r="F708" s="49">
        <f t="shared" ca="1" si="11"/>
        <v>16</v>
      </c>
      <c r="G708" s="16" t="s">
        <v>31</v>
      </c>
      <c r="H708" s="11" t="s">
        <v>1487</v>
      </c>
      <c r="I708" t="s">
        <v>1447</v>
      </c>
      <c r="J708" s="14" t="s">
        <v>40</v>
      </c>
      <c r="K708" t="s">
        <v>215</v>
      </c>
      <c r="L708" t="s">
        <v>120</v>
      </c>
      <c r="M708" t="str">
        <f>VLOOKUP(Incidents[[#This Row],[Ticket ID]],[1]Incidents!$A$2:$D$792,4,FALSE)</f>
        <v>3 - Medium</v>
      </c>
      <c r="N708">
        <f>VLOOKUP(Incidents[[#This Row],[Priority]],'SLA Config'!$B$3:$C$6,2,FALSE)</f>
        <v>15</v>
      </c>
      <c r="O708" t="str">
        <f ca="1">IF(Incidents[[#This Row],[Age (days)]]&gt;Incidents[[#This Row],[SLA Threshold]],"NO","Yes")</f>
        <v>NO</v>
      </c>
    </row>
    <row r="709" spans="1:15" x14ac:dyDescent="0.25">
      <c r="A709" s="2" t="s">
        <v>1488</v>
      </c>
      <c r="B709" s="1">
        <v>45202</v>
      </c>
      <c r="C709" s="8">
        <v>45221</v>
      </c>
      <c r="D709" t="s">
        <v>29</v>
      </c>
      <c r="E709" t="s">
        <v>30</v>
      </c>
      <c r="F709" s="49">
        <f t="shared" ca="1" si="11"/>
        <v>14</v>
      </c>
      <c r="G709" s="16" t="s">
        <v>51</v>
      </c>
      <c r="H709" s="11" t="s">
        <v>1489</v>
      </c>
      <c r="I709" t="s">
        <v>1447</v>
      </c>
      <c r="J709" s="14" t="s">
        <v>40</v>
      </c>
      <c r="K709" t="s">
        <v>119</v>
      </c>
      <c r="L709" t="s">
        <v>120</v>
      </c>
      <c r="M709" t="str">
        <f>VLOOKUP(Incidents[[#This Row],[Ticket ID]],[1]Incidents!$A$2:$D$792,4,FALSE)</f>
        <v>3 - Medium</v>
      </c>
      <c r="N709">
        <f>VLOOKUP(Incidents[[#This Row],[Priority]],'SLA Config'!$B$3:$C$6,2,FALSE)</f>
        <v>15</v>
      </c>
      <c r="O709" t="str">
        <f ca="1">IF(Incidents[[#This Row],[Age (days)]]&gt;Incidents[[#This Row],[SLA Threshold]],"NO","Yes")</f>
        <v>Yes</v>
      </c>
    </row>
    <row r="710" spans="1:15" x14ac:dyDescent="0.25">
      <c r="A710" s="2" t="s">
        <v>1490</v>
      </c>
      <c r="B710" s="1">
        <v>45335</v>
      </c>
      <c r="C710" s="8">
        <v>45354</v>
      </c>
      <c r="D710" t="s">
        <v>29</v>
      </c>
      <c r="E710" t="s">
        <v>324</v>
      </c>
      <c r="F710" s="49">
        <f t="shared" ca="1" si="11"/>
        <v>14</v>
      </c>
      <c r="G710" s="16" t="s">
        <v>31</v>
      </c>
      <c r="H710" s="11" t="s">
        <v>1491</v>
      </c>
      <c r="I710" t="s">
        <v>1447</v>
      </c>
      <c r="J710" s="14" t="s">
        <v>40</v>
      </c>
      <c r="K710" t="s">
        <v>215</v>
      </c>
      <c r="L710" t="s">
        <v>120</v>
      </c>
      <c r="M710" t="str">
        <f>VLOOKUP(Incidents[[#This Row],[Ticket ID]],[1]Incidents!$A$2:$D$792,4,FALSE)</f>
        <v>3 - Medium</v>
      </c>
      <c r="N710">
        <f>VLOOKUP(Incidents[[#This Row],[Priority]],'SLA Config'!$B$3:$C$6,2,FALSE)</f>
        <v>15</v>
      </c>
      <c r="O710" t="str">
        <f ca="1">IF(Incidents[[#This Row],[Age (days)]]&gt;Incidents[[#This Row],[SLA Threshold]],"NO","Yes")</f>
        <v>Yes</v>
      </c>
    </row>
    <row r="711" spans="1:15" x14ac:dyDescent="0.25">
      <c r="A711" t="s">
        <v>1492</v>
      </c>
      <c r="B711" s="1">
        <v>44781</v>
      </c>
      <c r="C711" s="1">
        <v>44796</v>
      </c>
      <c r="D711" t="s">
        <v>29</v>
      </c>
      <c r="E711" t="s">
        <v>104</v>
      </c>
      <c r="F711" s="49">
        <f t="shared" ca="1" si="11"/>
        <v>12</v>
      </c>
      <c r="G711" s="16" t="s">
        <v>1493</v>
      </c>
      <c r="H711" s="11" t="s">
        <v>299</v>
      </c>
      <c r="I711" t="s">
        <v>1447</v>
      </c>
      <c r="J711" s="14" t="s">
        <v>40</v>
      </c>
      <c r="K711" t="s">
        <v>119</v>
      </c>
      <c r="L711" t="s">
        <v>120</v>
      </c>
      <c r="M711" t="str">
        <f>VLOOKUP(Incidents[[#This Row],[Ticket ID]],[1]Incidents!$A$2:$D$792,4,FALSE)</f>
        <v>4 - Low</v>
      </c>
      <c r="N711">
        <f>VLOOKUP(Incidents[[#This Row],[Priority]],'SLA Config'!$B$3:$C$6,2,FALSE)</f>
        <v>25</v>
      </c>
      <c r="O711" t="str">
        <f ca="1">IF(Incidents[[#This Row],[Age (days)]]&gt;Incidents[[#This Row],[SLA Threshold]],"NO","Yes")</f>
        <v>Yes</v>
      </c>
    </row>
    <row r="712" spans="1:15" x14ac:dyDescent="0.25">
      <c r="A712" t="s">
        <v>1494</v>
      </c>
      <c r="B712" s="1">
        <v>44781</v>
      </c>
      <c r="C712" s="1">
        <v>44795</v>
      </c>
      <c r="D712" t="s">
        <v>29</v>
      </c>
      <c r="E712" t="s">
        <v>54</v>
      </c>
      <c r="F712" s="49">
        <f t="shared" ca="1" si="11"/>
        <v>11</v>
      </c>
      <c r="G712" s="16" t="s">
        <v>51</v>
      </c>
      <c r="H712" s="11" t="s">
        <v>434</v>
      </c>
      <c r="I712" t="s">
        <v>1447</v>
      </c>
      <c r="J712" s="14" t="s">
        <v>304</v>
      </c>
      <c r="K712" t="s">
        <v>119</v>
      </c>
      <c r="L712" t="s">
        <v>120</v>
      </c>
      <c r="M712" t="str">
        <f>VLOOKUP(Incidents[[#This Row],[Ticket ID]],[1]Incidents!$A$2:$D$792,4,FALSE)</f>
        <v>4 - Low</v>
      </c>
      <c r="N712">
        <f>VLOOKUP(Incidents[[#This Row],[Priority]],'SLA Config'!$B$3:$C$6,2,FALSE)</f>
        <v>25</v>
      </c>
      <c r="O712" t="str">
        <f ca="1">IF(Incidents[[#This Row],[Age (days)]]&gt;Incidents[[#This Row],[SLA Threshold]],"NO","Yes")</f>
        <v>Yes</v>
      </c>
    </row>
    <row r="713" spans="1:15" x14ac:dyDescent="0.25">
      <c r="A713" s="19" t="s">
        <v>1495</v>
      </c>
      <c r="B713" s="1">
        <v>45071</v>
      </c>
      <c r="C713" s="8">
        <v>45082</v>
      </c>
      <c r="D713" t="s">
        <v>29</v>
      </c>
      <c r="E713" t="s">
        <v>54</v>
      </c>
      <c r="F713" s="49">
        <f t="shared" ca="1" si="11"/>
        <v>8</v>
      </c>
      <c r="G713" s="16" t="s">
        <v>51</v>
      </c>
      <c r="H713" s="11" t="s">
        <v>556</v>
      </c>
      <c r="I713" t="s">
        <v>1447</v>
      </c>
      <c r="J713" s="14" t="s">
        <v>136</v>
      </c>
      <c r="K713" t="s">
        <v>119</v>
      </c>
      <c r="L713" t="s">
        <v>120</v>
      </c>
      <c r="M713" t="str">
        <f>VLOOKUP(Incidents[[#This Row],[Ticket ID]],[1]Incidents!$A$2:$D$792,4,FALSE)</f>
        <v>2 - High</v>
      </c>
      <c r="N713">
        <f>VLOOKUP(Incidents[[#This Row],[Priority]],'SLA Config'!$B$3:$C$6,2,FALSE)</f>
        <v>5</v>
      </c>
      <c r="O713" t="str">
        <f ca="1">IF(Incidents[[#This Row],[Age (days)]]&gt;Incidents[[#This Row],[SLA Threshold]],"NO","Yes")</f>
        <v>NO</v>
      </c>
    </row>
    <row r="714" spans="1:15" x14ac:dyDescent="0.25">
      <c r="A714" s="19" t="s">
        <v>1496</v>
      </c>
      <c r="B714" s="1">
        <v>45322</v>
      </c>
      <c r="C714" s="8">
        <v>45332</v>
      </c>
      <c r="D714" t="s">
        <v>29</v>
      </c>
      <c r="E714" t="s">
        <v>324</v>
      </c>
      <c r="F714" s="49">
        <f t="shared" ca="1" si="11"/>
        <v>8</v>
      </c>
      <c r="G714" s="16" t="s">
        <v>31</v>
      </c>
      <c r="H714" s="11" t="s">
        <v>1497</v>
      </c>
      <c r="I714" t="s">
        <v>1447</v>
      </c>
      <c r="J714" s="14" t="s">
        <v>40</v>
      </c>
      <c r="K714" t="s">
        <v>281</v>
      </c>
      <c r="L714" t="s">
        <v>120</v>
      </c>
      <c r="M714" t="str">
        <f>VLOOKUP(Incidents[[#This Row],[Ticket ID]],[1]Incidents!$A$2:$D$792,4,FALSE)</f>
        <v>4 - Low</v>
      </c>
      <c r="N714">
        <f>VLOOKUP(Incidents[[#This Row],[Priority]],'SLA Config'!$B$3:$C$6,2,FALSE)</f>
        <v>25</v>
      </c>
      <c r="O714" t="str">
        <f ca="1">IF(Incidents[[#This Row],[Age (days)]]&gt;Incidents[[#This Row],[SLA Threshold]],"NO","Yes")</f>
        <v>Yes</v>
      </c>
    </row>
    <row r="715" spans="1:15" x14ac:dyDescent="0.25">
      <c r="A715" s="2" t="s">
        <v>1498</v>
      </c>
      <c r="B715" s="1">
        <v>45329</v>
      </c>
      <c r="C715" s="8">
        <v>45340</v>
      </c>
      <c r="D715" t="s">
        <v>29</v>
      </c>
      <c r="E715" t="s">
        <v>324</v>
      </c>
      <c r="F715" s="49">
        <f t="shared" ca="1" si="11"/>
        <v>8</v>
      </c>
      <c r="G715" s="16" t="s">
        <v>51</v>
      </c>
      <c r="H715" s="11" t="s">
        <v>1499</v>
      </c>
      <c r="I715" t="s">
        <v>1447</v>
      </c>
      <c r="J715" s="14" t="s">
        <v>304</v>
      </c>
      <c r="K715" t="s">
        <v>119</v>
      </c>
      <c r="L715" t="s">
        <v>120</v>
      </c>
      <c r="M715" t="str">
        <f>VLOOKUP(Incidents[[#This Row],[Ticket ID]],[1]Incidents!$A$2:$D$792,4,FALSE)</f>
        <v>3 - Medium</v>
      </c>
      <c r="N715">
        <f>VLOOKUP(Incidents[[#This Row],[Priority]],'SLA Config'!$B$3:$C$6,2,FALSE)</f>
        <v>15</v>
      </c>
      <c r="O715" t="str">
        <f ca="1">IF(Incidents[[#This Row],[Age (days)]]&gt;Incidents[[#This Row],[SLA Threshold]],"NO","Yes")</f>
        <v>Yes</v>
      </c>
    </row>
    <row r="716" spans="1:15" x14ac:dyDescent="0.25">
      <c r="A716" s="2" t="s">
        <v>1500</v>
      </c>
      <c r="B716" s="1">
        <v>44998</v>
      </c>
      <c r="C716" s="8">
        <v>45006</v>
      </c>
      <c r="D716" t="s">
        <v>29</v>
      </c>
      <c r="E716" t="s">
        <v>54</v>
      </c>
      <c r="F716" s="49">
        <f t="shared" ca="1" si="11"/>
        <v>7</v>
      </c>
      <c r="G716" s="16" t="s">
        <v>51</v>
      </c>
      <c r="H716" s="11" t="s">
        <v>1501</v>
      </c>
      <c r="I716" t="s">
        <v>1447</v>
      </c>
      <c r="J716" s="14" t="s">
        <v>304</v>
      </c>
      <c r="K716" t="s">
        <v>201</v>
      </c>
      <c r="L716" t="s">
        <v>120</v>
      </c>
      <c r="M716" t="str">
        <f>VLOOKUP(Incidents[[#This Row],[Ticket ID]],[1]Incidents!$A$2:$D$792,4,FALSE)</f>
        <v>4 - Low</v>
      </c>
      <c r="N716">
        <f>VLOOKUP(Incidents[[#This Row],[Priority]],'SLA Config'!$B$3:$C$6,2,FALSE)</f>
        <v>25</v>
      </c>
      <c r="O716" t="str">
        <f ca="1">IF(Incidents[[#This Row],[Age (days)]]&gt;Incidents[[#This Row],[SLA Threshold]],"NO","Yes")</f>
        <v>Yes</v>
      </c>
    </row>
    <row r="717" spans="1:15" x14ac:dyDescent="0.25">
      <c r="A717" s="19" t="s">
        <v>1502</v>
      </c>
      <c r="B717" s="1">
        <v>45054</v>
      </c>
      <c r="C717" s="8">
        <v>45062</v>
      </c>
      <c r="D717" t="s">
        <v>29</v>
      </c>
      <c r="E717" t="s">
        <v>104</v>
      </c>
      <c r="F717" s="49">
        <f t="shared" ca="1" si="11"/>
        <v>7</v>
      </c>
      <c r="G717" s="16" t="s">
        <v>51</v>
      </c>
      <c r="H717" s="11" t="s">
        <v>1503</v>
      </c>
      <c r="I717" t="s">
        <v>1447</v>
      </c>
      <c r="J717" s="14" t="s">
        <v>1504</v>
      </c>
      <c r="K717" t="s">
        <v>119</v>
      </c>
      <c r="L717" t="s">
        <v>120</v>
      </c>
      <c r="M717" t="str">
        <f>VLOOKUP(Incidents[[#This Row],[Ticket ID]],[1]Incidents!$A$2:$D$792,4,FALSE)</f>
        <v>2 - High</v>
      </c>
      <c r="N717">
        <f>VLOOKUP(Incidents[[#This Row],[Priority]],'SLA Config'!$B$3:$C$6,2,FALSE)</f>
        <v>5</v>
      </c>
      <c r="O717" t="str">
        <f ca="1">IF(Incidents[[#This Row],[Age (days)]]&gt;Incidents[[#This Row],[SLA Threshold]],"NO","Yes")</f>
        <v>NO</v>
      </c>
    </row>
    <row r="718" spans="1:15" ht="30" x14ac:dyDescent="0.25">
      <c r="A718" s="19" t="s">
        <v>1505</v>
      </c>
      <c r="B718" s="1">
        <v>45078</v>
      </c>
      <c r="C718" s="8">
        <v>45088</v>
      </c>
      <c r="D718" t="s">
        <v>29</v>
      </c>
      <c r="E718" s="17" t="s">
        <v>324</v>
      </c>
      <c r="F718" s="49">
        <f t="shared" ca="1" si="11"/>
        <v>7</v>
      </c>
      <c r="G718" s="16" t="s">
        <v>31</v>
      </c>
      <c r="H718" s="11" t="s">
        <v>1506</v>
      </c>
      <c r="I718" t="s">
        <v>1447</v>
      </c>
      <c r="J718" s="14" t="s">
        <v>40</v>
      </c>
      <c r="K718" t="s">
        <v>231</v>
      </c>
      <c r="L718" t="s">
        <v>120</v>
      </c>
      <c r="M718" t="str">
        <f>VLOOKUP(Incidents[[#This Row],[Ticket ID]],[1]Incidents!$A$2:$D$792,4,FALSE)</f>
        <v>3 - Medium</v>
      </c>
      <c r="N718">
        <f>VLOOKUP(Incidents[[#This Row],[Priority]],'SLA Config'!$B$3:$C$6,2,FALSE)</f>
        <v>15</v>
      </c>
      <c r="O718" t="str">
        <f ca="1">IF(Incidents[[#This Row],[Age (days)]]&gt;Incidents[[#This Row],[SLA Threshold]],"NO","Yes")</f>
        <v>Yes</v>
      </c>
    </row>
    <row r="719" spans="1:15" x14ac:dyDescent="0.25">
      <c r="A719" s="2" t="s">
        <v>1507</v>
      </c>
      <c r="B719" s="1">
        <v>45139</v>
      </c>
      <c r="C719" s="8">
        <v>45146</v>
      </c>
      <c r="D719" t="s">
        <v>29</v>
      </c>
      <c r="E719" s="17" t="s">
        <v>324</v>
      </c>
      <c r="F719" s="49">
        <f t="shared" ca="1" si="11"/>
        <v>6</v>
      </c>
      <c r="G719" s="16" t="s">
        <v>51</v>
      </c>
      <c r="H719" s="11" t="s">
        <v>1508</v>
      </c>
      <c r="I719" t="s">
        <v>1447</v>
      </c>
      <c r="J719" s="14" t="s">
        <v>304</v>
      </c>
      <c r="K719" t="s">
        <v>119</v>
      </c>
      <c r="L719" t="s">
        <v>120</v>
      </c>
      <c r="M719" t="str">
        <f>VLOOKUP(Incidents[[#This Row],[Ticket ID]],[1]Incidents!$A$2:$D$792,4,FALSE)</f>
        <v>2 - High</v>
      </c>
      <c r="N719">
        <f>VLOOKUP(Incidents[[#This Row],[Priority]],'SLA Config'!$B$3:$C$6,2,FALSE)</f>
        <v>5</v>
      </c>
      <c r="O719" t="str">
        <f ca="1">IF(Incidents[[#This Row],[Age (days)]]&gt;Incidents[[#This Row],[SLA Threshold]],"NO","Yes")</f>
        <v>NO</v>
      </c>
    </row>
    <row r="720" spans="1:15" x14ac:dyDescent="0.25">
      <c r="A720" s="2" t="s">
        <v>1509</v>
      </c>
      <c r="B720" s="1">
        <v>45224</v>
      </c>
      <c r="C720" s="8">
        <v>45231</v>
      </c>
      <c r="D720" t="s">
        <v>29</v>
      </c>
      <c r="E720" s="17" t="s">
        <v>104</v>
      </c>
      <c r="F720" s="49">
        <f t="shared" ca="1" si="11"/>
        <v>6</v>
      </c>
      <c r="G720" s="16" t="s">
        <v>51</v>
      </c>
      <c r="H720" s="11" t="s">
        <v>1510</v>
      </c>
      <c r="I720" t="s">
        <v>1447</v>
      </c>
      <c r="J720" s="14" t="s">
        <v>40</v>
      </c>
      <c r="K720" t="s">
        <v>119</v>
      </c>
      <c r="L720" t="s">
        <v>120</v>
      </c>
      <c r="M720" t="str">
        <f>VLOOKUP(Incidents[[#This Row],[Ticket ID]],[1]Incidents!$A$2:$D$792,4,FALSE)</f>
        <v>2 - High</v>
      </c>
      <c r="N720">
        <f>VLOOKUP(Incidents[[#This Row],[Priority]],'SLA Config'!$B$3:$C$6,2,FALSE)</f>
        <v>5</v>
      </c>
      <c r="O720" t="str">
        <f ca="1">IF(Incidents[[#This Row],[Age (days)]]&gt;Incidents[[#This Row],[SLA Threshold]],"NO","Yes")</f>
        <v>NO</v>
      </c>
    </row>
    <row r="721" spans="1:15" x14ac:dyDescent="0.25">
      <c r="A721" s="19" t="s">
        <v>1511</v>
      </c>
      <c r="B721" s="1">
        <v>45054</v>
      </c>
      <c r="C721" s="8">
        <v>45060</v>
      </c>
      <c r="D721" t="s">
        <v>29</v>
      </c>
      <c r="E721" t="s">
        <v>104</v>
      </c>
      <c r="F721" s="49">
        <f t="shared" ca="1" si="11"/>
        <v>5</v>
      </c>
      <c r="G721" s="16" t="s">
        <v>31</v>
      </c>
      <c r="H721" s="11" t="s">
        <v>1512</v>
      </c>
      <c r="I721" t="s">
        <v>1447</v>
      </c>
      <c r="J721" s="14" t="s">
        <v>1504</v>
      </c>
      <c r="K721" t="s">
        <v>201</v>
      </c>
      <c r="L721" t="s">
        <v>120</v>
      </c>
      <c r="M721" t="str">
        <f>VLOOKUP(Incidents[[#This Row],[Ticket ID]],[1]Incidents!$A$2:$D$792,4,FALSE)</f>
        <v>2 - High</v>
      </c>
      <c r="N721">
        <f>VLOOKUP(Incidents[[#This Row],[Priority]],'SLA Config'!$B$3:$C$6,2,FALSE)</f>
        <v>5</v>
      </c>
      <c r="O721" t="str">
        <f ca="1">IF(Incidents[[#This Row],[Age (days)]]&gt;Incidents[[#This Row],[SLA Threshold]],"NO","Yes")</f>
        <v>Yes</v>
      </c>
    </row>
    <row r="722" spans="1:15" ht="15" customHeight="1" x14ac:dyDescent="0.25">
      <c r="A722" s="19" t="s">
        <v>1513</v>
      </c>
      <c r="B722" s="1">
        <v>45063</v>
      </c>
      <c r="C722" s="8">
        <v>45069</v>
      </c>
      <c r="D722" t="s">
        <v>29</v>
      </c>
      <c r="E722" s="17" t="s">
        <v>324</v>
      </c>
      <c r="F722" s="49">
        <f t="shared" ca="1" si="11"/>
        <v>5</v>
      </c>
      <c r="G722" s="16" t="s">
        <v>51</v>
      </c>
      <c r="H722" s="11" t="s">
        <v>1514</v>
      </c>
      <c r="I722" t="s">
        <v>1447</v>
      </c>
      <c r="J722" s="14" t="s">
        <v>1504</v>
      </c>
      <c r="K722" t="s">
        <v>119</v>
      </c>
      <c r="L722" t="s">
        <v>120</v>
      </c>
      <c r="M722" t="str">
        <f>VLOOKUP(Incidents[[#This Row],[Ticket ID]],[1]Incidents!$A$2:$D$792,4,FALSE)</f>
        <v>2 - High</v>
      </c>
      <c r="N722">
        <f>VLOOKUP(Incidents[[#This Row],[Priority]],'SLA Config'!$B$3:$C$6,2,FALSE)</f>
        <v>5</v>
      </c>
      <c r="O722" t="str">
        <f ca="1">IF(Incidents[[#This Row],[Age (days)]]&gt;Incidents[[#This Row],[SLA Threshold]],"NO","Yes")</f>
        <v>Yes</v>
      </c>
    </row>
    <row r="723" spans="1:15" ht="15" customHeight="1" x14ac:dyDescent="0.25">
      <c r="A723" s="2" t="s">
        <v>1515</v>
      </c>
      <c r="B723" s="1">
        <v>45334</v>
      </c>
      <c r="C723" s="8">
        <v>45340</v>
      </c>
      <c r="D723" t="s">
        <v>29</v>
      </c>
      <c r="E723" t="s">
        <v>324</v>
      </c>
      <c r="F723" s="49">
        <f t="shared" ca="1" si="11"/>
        <v>5</v>
      </c>
      <c r="G723" s="16" t="s">
        <v>31</v>
      </c>
      <c r="H723" s="11" t="s">
        <v>1516</v>
      </c>
      <c r="I723" t="s">
        <v>1447</v>
      </c>
      <c r="J723" s="14" t="s">
        <v>40</v>
      </c>
      <c r="K723" t="s">
        <v>44</v>
      </c>
      <c r="L723" t="s">
        <v>36</v>
      </c>
      <c r="M723" t="str">
        <f>VLOOKUP(Incidents[[#This Row],[Ticket ID]],[1]Incidents!$A$2:$D$792,4,FALSE)</f>
        <v>4 - Low</v>
      </c>
      <c r="N723">
        <f>VLOOKUP(Incidents[[#This Row],[Priority]],'SLA Config'!$B$3:$C$6,2,FALSE)</f>
        <v>25</v>
      </c>
      <c r="O723" t="str">
        <f ca="1">IF(Incidents[[#This Row],[Age (days)]]&gt;Incidents[[#This Row],[SLA Threshold]],"NO","Yes")</f>
        <v>Yes</v>
      </c>
    </row>
    <row r="724" spans="1:15" ht="15" customHeight="1" x14ac:dyDescent="0.25">
      <c r="A724" s="17" t="s">
        <v>1517</v>
      </c>
      <c r="B724" s="1">
        <v>45245</v>
      </c>
      <c r="C724" s="8">
        <v>45250</v>
      </c>
      <c r="D724" t="s">
        <v>29</v>
      </c>
      <c r="E724" t="s">
        <v>324</v>
      </c>
      <c r="F724" s="49">
        <f t="shared" ca="1" si="11"/>
        <v>4</v>
      </c>
      <c r="G724" s="16" t="s">
        <v>51</v>
      </c>
      <c r="H724" s="11" t="s">
        <v>1518</v>
      </c>
      <c r="I724" t="s">
        <v>1447</v>
      </c>
      <c r="J724" s="14" t="s">
        <v>304</v>
      </c>
      <c r="K724" t="s">
        <v>44</v>
      </c>
      <c r="L724" t="s">
        <v>36</v>
      </c>
      <c r="M724" t="str">
        <f>VLOOKUP(Incidents[[#This Row],[Ticket ID]],[1]Incidents!$A$2:$D$792,4,FALSE)</f>
        <v>2 - High</v>
      </c>
      <c r="N724">
        <f>VLOOKUP(Incidents[[#This Row],[Priority]],'SLA Config'!$B$3:$C$6,2,FALSE)</f>
        <v>5</v>
      </c>
      <c r="O724" t="str">
        <f ca="1">IF(Incidents[[#This Row],[Age (days)]]&gt;Incidents[[#This Row],[SLA Threshold]],"NO","Yes")</f>
        <v>Yes</v>
      </c>
    </row>
    <row r="725" spans="1:15" ht="15" customHeight="1" x14ac:dyDescent="0.25">
      <c r="A725" s="19" t="s">
        <v>1519</v>
      </c>
      <c r="B725" s="8">
        <v>45596</v>
      </c>
      <c r="C725" s="8">
        <v>45620.405104166668</v>
      </c>
      <c r="D725" t="s">
        <v>29</v>
      </c>
      <c r="E725" t="s">
        <v>532</v>
      </c>
      <c r="F725" s="49">
        <f t="shared" ca="1" si="11"/>
        <v>17</v>
      </c>
      <c r="G725" s="16" t="s">
        <v>31</v>
      </c>
      <c r="H725" t="s">
        <v>1520</v>
      </c>
      <c r="I725" t="s">
        <v>1447</v>
      </c>
      <c r="J725" s="14" t="s">
        <v>40</v>
      </c>
      <c r="K725" t="s">
        <v>215</v>
      </c>
      <c r="L725" t="s">
        <v>120</v>
      </c>
      <c r="M725" t="str">
        <f>VLOOKUP(Incidents[[#This Row],[Ticket ID]],[1]Incidents!$A$2:$D$792,4,FALSE)</f>
        <v>4 - Low</v>
      </c>
      <c r="N725">
        <f>VLOOKUP(Incidents[[#This Row],[Priority]],'SLA Config'!$B$3:$C$6,2,FALSE)</f>
        <v>25</v>
      </c>
      <c r="O725" t="str">
        <f ca="1">IF(Incidents[[#This Row],[Age (days)]]&gt;Incidents[[#This Row],[SLA Threshold]],"NO","Yes")</f>
        <v>Yes</v>
      </c>
    </row>
    <row r="726" spans="1:15" ht="15" customHeight="1" x14ac:dyDescent="0.25">
      <c r="A726" s="19" t="s">
        <v>1521</v>
      </c>
      <c r="B726" s="8">
        <v>45596</v>
      </c>
      <c r="C726" s="8">
        <v>45620.406828703701</v>
      </c>
      <c r="D726" t="s">
        <v>29</v>
      </c>
      <c r="E726" t="s">
        <v>532</v>
      </c>
      <c r="F726" s="49">
        <f t="shared" ca="1" si="11"/>
        <v>17</v>
      </c>
      <c r="G726" s="16" t="s">
        <v>31</v>
      </c>
      <c r="H726" t="s">
        <v>1522</v>
      </c>
      <c r="I726" t="s">
        <v>1447</v>
      </c>
      <c r="J726" s="14" t="s">
        <v>40</v>
      </c>
      <c r="K726" t="s">
        <v>215</v>
      </c>
      <c r="L726" t="s">
        <v>120</v>
      </c>
      <c r="M726" t="str">
        <f>VLOOKUP(Incidents[[#This Row],[Ticket ID]],[1]Incidents!$A$2:$D$792,4,FALSE)</f>
        <v>4 - Low</v>
      </c>
      <c r="N726">
        <f>VLOOKUP(Incidents[[#This Row],[Priority]],'SLA Config'!$B$3:$C$6,2,FALSE)</f>
        <v>25</v>
      </c>
      <c r="O726" t="str">
        <f ca="1">IF(Incidents[[#This Row],[Age (days)]]&gt;Incidents[[#This Row],[SLA Threshold]],"NO","Yes")</f>
        <v>Yes</v>
      </c>
    </row>
    <row r="727" spans="1:15" ht="15" customHeight="1" x14ac:dyDescent="0.25">
      <c r="A727" s="2" t="s">
        <v>1523</v>
      </c>
      <c r="B727" s="8">
        <v>45580</v>
      </c>
      <c r="C727" s="8">
        <v>45595</v>
      </c>
      <c r="D727" t="s">
        <v>29</v>
      </c>
      <c r="E727" t="s">
        <v>38</v>
      </c>
      <c r="F727" s="49">
        <f t="shared" ca="1" si="11"/>
        <v>12</v>
      </c>
      <c r="G727" s="16" t="s">
        <v>31</v>
      </c>
      <c r="H727" t="s">
        <v>1524</v>
      </c>
      <c r="I727" t="s">
        <v>1447</v>
      </c>
      <c r="J727" s="14" t="s">
        <v>40</v>
      </c>
      <c r="K727" t="s">
        <v>215</v>
      </c>
      <c r="L727" t="s">
        <v>120</v>
      </c>
      <c r="M727" t="str">
        <f>VLOOKUP(Incidents[[#This Row],[Ticket ID]],[1]Incidents!$A$2:$D$792,4,FALSE)</f>
        <v>4 - Low</v>
      </c>
      <c r="N727">
        <f>VLOOKUP(Incidents[[#This Row],[Priority]],'SLA Config'!$B$3:$C$6,2,FALSE)</f>
        <v>25</v>
      </c>
      <c r="O727" t="str">
        <f ca="1">IF(Incidents[[#This Row],[Age (days)]]&gt;Incidents[[#This Row],[SLA Threshold]],"NO","Yes")</f>
        <v>Yes</v>
      </c>
    </row>
    <row r="728" spans="1:15" ht="15" customHeight="1" x14ac:dyDescent="0.25">
      <c r="A728" s="19" t="s">
        <v>1525</v>
      </c>
      <c r="B728" s="8">
        <v>45596</v>
      </c>
      <c r="C728" s="29">
        <v>45605</v>
      </c>
      <c r="D728" t="s">
        <v>29</v>
      </c>
      <c r="E728" t="s">
        <v>324</v>
      </c>
      <c r="F728" s="49">
        <f t="shared" ca="1" si="11"/>
        <v>7</v>
      </c>
      <c r="G728" s="16" t="s">
        <v>31</v>
      </c>
      <c r="H728" t="s">
        <v>1526</v>
      </c>
      <c r="I728" t="s">
        <v>1447</v>
      </c>
      <c r="J728" s="14" t="s">
        <v>40</v>
      </c>
      <c r="K728" t="s">
        <v>215</v>
      </c>
      <c r="L728" t="s">
        <v>120</v>
      </c>
      <c r="M728" t="str">
        <f>VLOOKUP(Incidents[[#This Row],[Ticket ID]],[1]Incidents!$A$2:$D$792,4,FALSE)</f>
        <v>4 - Low</v>
      </c>
      <c r="N728">
        <f>VLOOKUP(Incidents[[#This Row],[Priority]],'SLA Config'!$B$3:$C$6,2,FALSE)</f>
        <v>25</v>
      </c>
      <c r="O728" t="str">
        <f ca="1">IF(Incidents[[#This Row],[Age (days)]]&gt;Incidents[[#This Row],[SLA Threshold]],"NO","Yes")</f>
        <v>Yes</v>
      </c>
    </row>
    <row r="729" spans="1:15" ht="15" customHeight="1" x14ac:dyDescent="0.25">
      <c r="A729" s="2" t="s">
        <v>1527</v>
      </c>
      <c r="B729" s="31">
        <v>45729</v>
      </c>
      <c r="C729" s="31">
        <v>45745</v>
      </c>
      <c r="D729" t="s">
        <v>29</v>
      </c>
      <c r="E729" t="s">
        <v>38</v>
      </c>
      <c r="F729" s="49">
        <f t="shared" ca="1" si="11"/>
        <v>12</v>
      </c>
      <c r="G729" s="16" t="s">
        <v>31</v>
      </c>
      <c r="H729" s="11" t="s">
        <v>1528</v>
      </c>
      <c r="I729" t="s">
        <v>193</v>
      </c>
      <c r="J729" s="14"/>
      <c r="K729" t="s">
        <v>215</v>
      </c>
      <c r="L729" t="s">
        <v>120</v>
      </c>
      <c r="M729" t="str">
        <f>VLOOKUP(Incidents[[#This Row],[Ticket ID]],[1]Incidents!$A$2:$D$792,4,FALSE)</f>
        <v>2 - High</v>
      </c>
      <c r="N729">
        <f>VLOOKUP(Incidents[[#This Row],[Priority]],'SLA Config'!$B$3:$C$6,2,FALSE)</f>
        <v>5</v>
      </c>
      <c r="O729" t="str">
        <f ca="1">IF(Incidents[[#This Row],[Age (days)]]&gt;Incidents[[#This Row],[SLA Threshold]],"NO","Yes")</f>
        <v>NO</v>
      </c>
    </row>
    <row r="730" spans="1:15" ht="15" customHeight="1" x14ac:dyDescent="0.25">
      <c r="A730" s="2" t="s">
        <v>1529</v>
      </c>
      <c r="B730" s="31">
        <v>45729</v>
      </c>
      <c r="C730" s="31">
        <v>45742</v>
      </c>
      <c r="D730" t="s">
        <v>29</v>
      </c>
      <c r="E730" t="s">
        <v>324</v>
      </c>
      <c r="F730" s="49">
        <f t="shared" ca="1" si="11"/>
        <v>10</v>
      </c>
      <c r="G730" s="16" t="s">
        <v>51</v>
      </c>
      <c r="H730" s="11" t="s">
        <v>299</v>
      </c>
      <c r="I730" t="s">
        <v>193</v>
      </c>
      <c r="J730" s="14"/>
      <c r="K730" t="s">
        <v>119</v>
      </c>
      <c r="L730" t="s">
        <v>120</v>
      </c>
      <c r="M730" t="str">
        <f>VLOOKUP(Incidents[[#This Row],[Ticket ID]],[1]Incidents!$A$2:$D$792,4,FALSE)</f>
        <v>3 - Medium</v>
      </c>
      <c r="N730">
        <f>VLOOKUP(Incidents[[#This Row],[Priority]],'SLA Config'!$B$3:$C$6,2,FALSE)</f>
        <v>15</v>
      </c>
      <c r="O730" t="str">
        <f ca="1">IF(Incidents[[#This Row],[Age (days)]]&gt;Incidents[[#This Row],[SLA Threshold]],"NO","Yes")</f>
        <v>Yes</v>
      </c>
    </row>
    <row r="731" spans="1:15" ht="15" customHeight="1" x14ac:dyDescent="0.25">
      <c r="A731" s="2" t="s">
        <v>1530</v>
      </c>
      <c r="B731" s="31">
        <v>45733</v>
      </c>
      <c r="C731" s="31">
        <v>45740</v>
      </c>
      <c r="D731" t="s">
        <v>29</v>
      </c>
      <c r="E731" t="s">
        <v>324</v>
      </c>
      <c r="F731" s="49">
        <f t="shared" ca="1" si="11"/>
        <v>6</v>
      </c>
      <c r="G731" s="16" t="s">
        <v>51</v>
      </c>
      <c r="H731" s="11" t="s">
        <v>665</v>
      </c>
      <c r="I731" t="s">
        <v>1336</v>
      </c>
      <c r="J731" s="14"/>
      <c r="K731" t="s">
        <v>1531</v>
      </c>
      <c r="L731" t="s">
        <v>120</v>
      </c>
      <c r="M731" t="str">
        <f>VLOOKUP(Incidents[[#This Row],[Ticket ID]],[1]Incidents!$A$2:$D$792,4,FALSE)</f>
        <v>3 - Medium</v>
      </c>
      <c r="N731">
        <f>VLOOKUP(Incidents[[#This Row],[Priority]],'SLA Config'!$B$3:$C$6,2,FALSE)</f>
        <v>15</v>
      </c>
      <c r="O731" t="str">
        <f ca="1">IF(Incidents[[#This Row],[Age (days)]]&gt;Incidents[[#This Row],[SLA Threshold]],"NO","Yes")</f>
        <v>Yes</v>
      </c>
    </row>
    <row r="732" spans="1:15" ht="15" customHeight="1" x14ac:dyDescent="0.25">
      <c r="A732" s="2" t="s">
        <v>1532</v>
      </c>
      <c r="B732" s="31">
        <v>45733</v>
      </c>
      <c r="C732" s="31">
        <v>45740</v>
      </c>
      <c r="D732" t="s">
        <v>29</v>
      </c>
      <c r="E732" t="s">
        <v>532</v>
      </c>
      <c r="F732" s="49">
        <f t="shared" ca="1" si="11"/>
        <v>6</v>
      </c>
      <c r="G732" s="16" t="s">
        <v>31</v>
      </c>
      <c r="H732" s="11" t="s">
        <v>1533</v>
      </c>
      <c r="I732" t="s">
        <v>193</v>
      </c>
      <c r="J732" s="14"/>
      <c r="K732" t="s">
        <v>215</v>
      </c>
      <c r="L732" t="s">
        <v>120</v>
      </c>
      <c r="M732" t="str">
        <f>VLOOKUP(Incidents[[#This Row],[Ticket ID]],[1]Incidents!$A$2:$D$792,4,FALSE)</f>
        <v>2 - High</v>
      </c>
      <c r="N732">
        <f>VLOOKUP(Incidents[[#This Row],[Priority]],'SLA Config'!$B$3:$C$6,2,FALSE)</f>
        <v>5</v>
      </c>
      <c r="O732" t="str">
        <f ca="1">IF(Incidents[[#This Row],[Age (days)]]&gt;Incidents[[#This Row],[SLA Threshold]],"NO","Yes")</f>
        <v>NO</v>
      </c>
    </row>
    <row r="733" spans="1:15" ht="15" customHeight="1" x14ac:dyDescent="0.25">
      <c r="A733" s="2" t="s">
        <v>1534</v>
      </c>
      <c r="B733" s="31">
        <v>45730</v>
      </c>
      <c r="C733" s="31">
        <v>45738</v>
      </c>
      <c r="D733" t="s">
        <v>29</v>
      </c>
      <c r="E733" t="s">
        <v>30</v>
      </c>
      <c r="F733" s="49">
        <f t="shared" ca="1" si="11"/>
        <v>6</v>
      </c>
      <c r="G733" s="16" t="s">
        <v>801</v>
      </c>
      <c r="H733" s="11" t="s">
        <v>841</v>
      </c>
      <c r="I733" t="s">
        <v>1535</v>
      </c>
      <c r="J733" s="14"/>
      <c r="K733" t="s">
        <v>717</v>
      </c>
      <c r="L733" t="s">
        <v>36</v>
      </c>
      <c r="M733" t="str">
        <f>VLOOKUP(Incidents[[#This Row],[Ticket ID]],[1]Incidents!$A$2:$D$792,4,FALSE)</f>
        <v>4 - Low</v>
      </c>
      <c r="N733">
        <f>VLOOKUP(Incidents[[#This Row],[Priority]],'SLA Config'!$B$3:$C$6,2,FALSE)</f>
        <v>25</v>
      </c>
      <c r="O733" t="str">
        <f ca="1">IF(Incidents[[#This Row],[Age (days)]]&gt;Incidents[[#This Row],[SLA Threshold]],"NO","Yes")</f>
        <v>Yes</v>
      </c>
    </row>
    <row r="734" spans="1:15" ht="15" customHeight="1" x14ac:dyDescent="0.25">
      <c r="A734" s="2" t="s">
        <v>1536</v>
      </c>
      <c r="B734" s="31">
        <v>45730</v>
      </c>
      <c r="C734" s="31">
        <v>45738</v>
      </c>
      <c r="D734" t="s">
        <v>29</v>
      </c>
      <c r="E734" t="s">
        <v>30</v>
      </c>
      <c r="F734" s="49">
        <f t="shared" ca="1" si="11"/>
        <v>6</v>
      </c>
      <c r="G734" s="16" t="s">
        <v>31</v>
      </c>
      <c r="H734" s="11" t="s">
        <v>716</v>
      </c>
      <c r="I734" t="s">
        <v>1535</v>
      </c>
      <c r="J734" s="14"/>
      <c r="K734" t="s">
        <v>717</v>
      </c>
      <c r="L734" t="s">
        <v>36</v>
      </c>
      <c r="M734" t="str">
        <f>VLOOKUP(Incidents[[#This Row],[Ticket ID]],[1]Incidents!$A$2:$D$792,4,FALSE)</f>
        <v>4 - Low</v>
      </c>
      <c r="N734">
        <f>VLOOKUP(Incidents[[#This Row],[Priority]],'SLA Config'!$B$3:$C$6,2,FALSE)</f>
        <v>25</v>
      </c>
      <c r="O734" t="str">
        <f ca="1">IF(Incidents[[#This Row],[Age (days)]]&gt;Incidents[[#This Row],[SLA Threshold]],"NO","Yes")</f>
        <v>Yes</v>
      </c>
    </row>
    <row r="735" spans="1:15" ht="15" customHeight="1" x14ac:dyDescent="0.25">
      <c r="A735" s="2" t="s">
        <v>1537</v>
      </c>
      <c r="B735" s="31">
        <v>45719</v>
      </c>
      <c r="C735" s="8">
        <v>45734</v>
      </c>
      <c r="D735" s="28" t="s">
        <v>29</v>
      </c>
      <c r="E735" t="s">
        <v>532</v>
      </c>
      <c r="F735" s="49">
        <f t="shared" ca="1" si="11"/>
        <v>12</v>
      </c>
      <c r="G735" s="16" t="s">
        <v>31</v>
      </c>
      <c r="H735" s="11" t="s">
        <v>1538</v>
      </c>
      <c r="I735" t="s">
        <v>193</v>
      </c>
      <c r="J735" s="15"/>
      <c r="K735" t="s">
        <v>201</v>
      </c>
      <c r="L735" t="s">
        <v>120</v>
      </c>
      <c r="M735" t="str">
        <f>VLOOKUP(Incidents[[#This Row],[Ticket ID]],[1]Incidents!$A$2:$D$792,4,FALSE)</f>
        <v>2 - High</v>
      </c>
      <c r="N735">
        <f>VLOOKUP(Incidents[[#This Row],[Priority]],'SLA Config'!$B$3:$C$6,2,FALSE)</f>
        <v>5</v>
      </c>
      <c r="O735" t="str">
        <f ca="1">IF(Incidents[[#This Row],[Age (days)]]&gt;Incidents[[#This Row],[SLA Threshold]],"NO","Yes")</f>
        <v>NO</v>
      </c>
    </row>
    <row r="736" spans="1:15" ht="15" customHeight="1" x14ac:dyDescent="0.25">
      <c r="A736" s="19" t="s">
        <v>1539</v>
      </c>
      <c r="B736" s="8">
        <v>45406</v>
      </c>
      <c r="C736" s="8">
        <v>45416</v>
      </c>
      <c r="D736" t="s">
        <v>29</v>
      </c>
      <c r="E736" t="s">
        <v>38</v>
      </c>
      <c r="F736" s="49">
        <f t="shared" ca="1" si="11"/>
        <v>8</v>
      </c>
      <c r="G736" s="16" t="s">
        <v>486</v>
      </c>
      <c r="H736" s="11" t="s">
        <v>1540</v>
      </c>
      <c r="I736" t="s">
        <v>1336</v>
      </c>
      <c r="J736" s="14"/>
      <c r="K736" t="s">
        <v>1541</v>
      </c>
      <c r="L736" t="s">
        <v>71</v>
      </c>
      <c r="M736" t="str">
        <f>VLOOKUP(Incidents[[#This Row],[Ticket ID]],[1]Incidents!$A$2:$D$792,4,FALSE)</f>
        <v>4 - Low</v>
      </c>
      <c r="N736">
        <f>VLOOKUP(Incidents[[#This Row],[Priority]],'SLA Config'!$B$3:$C$6,2,FALSE)</f>
        <v>25</v>
      </c>
      <c r="O736" t="str">
        <f ca="1">IF(Incidents[[#This Row],[Age (days)]]&gt;Incidents[[#This Row],[SLA Threshold]],"NO","Yes")</f>
        <v>Yes</v>
      </c>
    </row>
    <row r="737" spans="1:15" ht="15" customHeight="1" x14ac:dyDescent="0.25">
      <c r="A737" s="2" t="s">
        <v>1542</v>
      </c>
      <c r="B737" s="31">
        <v>45719</v>
      </c>
      <c r="C737" s="8">
        <v>45733</v>
      </c>
      <c r="D737" s="28" t="s">
        <v>29</v>
      </c>
      <c r="E737" t="s">
        <v>30</v>
      </c>
      <c r="F737" s="49">
        <f t="shared" ca="1" si="11"/>
        <v>11</v>
      </c>
      <c r="G737" s="16" t="s">
        <v>486</v>
      </c>
      <c r="H737" s="11" t="s">
        <v>1543</v>
      </c>
      <c r="I737" t="s">
        <v>1336</v>
      </c>
      <c r="J737" s="14"/>
      <c r="K737" t="s">
        <v>575</v>
      </c>
      <c r="L737" t="s">
        <v>71</v>
      </c>
      <c r="M737" t="str">
        <f>VLOOKUP(Incidents[[#This Row],[Ticket ID]],[1]Incidents!$A$2:$D$792,4,FALSE)</f>
        <v>4 - Low</v>
      </c>
      <c r="N737">
        <f>VLOOKUP(Incidents[[#This Row],[Priority]],'SLA Config'!$B$3:$C$6,2,FALSE)</f>
        <v>25</v>
      </c>
      <c r="O737" t="str">
        <f ca="1">IF(Incidents[[#This Row],[Age (days)]]&gt;Incidents[[#This Row],[SLA Threshold]],"NO","Yes")</f>
        <v>Yes</v>
      </c>
    </row>
    <row r="738" spans="1:15" ht="15" customHeight="1" x14ac:dyDescent="0.25">
      <c r="A738" s="2" t="s">
        <v>1544</v>
      </c>
      <c r="B738" s="31">
        <v>45684</v>
      </c>
      <c r="C738" s="31">
        <v>45733</v>
      </c>
      <c r="D738" t="s">
        <v>29</v>
      </c>
      <c r="E738" t="s">
        <v>30</v>
      </c>
      <c r="F738" s="49">
        <f t="shared" ca="1" si="11"/>
        <v>36</v>
      </c>
      <c r="G738" s="16" t="s">
        <v>486</v>
      </c>
      <c r="H738" s="11" t="s">
        <v>1545</v>
      </c>
      <c r="I738" t="s">
        <v>1447</v>
      </c>
      <c r="J738" s="14"/>
      <c r="K738" t="s">
        <v>432</v>
      </c>
      <c r="L738" t="s">
        <v>120</v>
      </c>
      <c r="M738" t="str">
        <f>VLOOKUP(Incidents[[#This Row],[Ticket ID]],[1]Incidents!$A$2:$D$792,4,FALSE)</f>
        <v>4 - Low</v>
      </c>
      <c r="N738">
        <f>VLOOKUP(Incidents[[#This Row],[Priority]],'SLA Config'!$B$3:$C$6,2,FALSE)</f>
        <v>25</v>
      </c>
      <c r="O738" t="str">
        <f ca="1">IF(Incidents[[#This Row],[Age (days)]]&gt;Incidents[[#This Row],[SLA Threshold]],"NO","Yes")</f>
        <v>NO</v>
      </c>
    </row>
    <row r="739" spans="1:15" ht="15" customHeight="1" x14ac:dyDescent="0.25">
      <c r="A739" s="2" t="s">
        <v>1546</v>
      </c>
      <c r="B739" s="31">
        <v>45719</v>
      </c>
      <c r="C739" s="8">
        <v>45728</v>
      </c>
      <c r="D739" s="28" t="s">
        <v>29</v>
      </c>
      <c r="E739" t="s">
        <v>46</v>
      </c>
      <c r="F739" s="49">
        <f t="shared" ca="1" si="11"/>
        <v>8</v>
      </c>
      <c r="G739" s="16" t="s">
        <v>31</v>
      </c>
      <c r="H739" s="11" t="s">
        <v>665</v>
      </c>
      <c r="I739" t="s">
        <v>1336</v>
      </c>
      <c r="J739" s="14"/>
      <c r="K739" t="s">
        <v>1547</v>
      </c>
      <c r="L739" t="s">
        <v>120</v>
      </c>
      <c r="M739" t="str">
        <f>VLOOKUP(Incidents[[#This Row],[Ticket ID]],[1]Incidents!$A$2:$D$792,4,FALSE)</f>
        <v>4 - Low</v>
      </c>
      <c r="N739">
        <f>VLOOKUP(Incidents[[#This Row],[Priority]],'SLA Config'!$B$3:$C$6,2,FALSE)</f>
        <v>25</v>
      </c>
      <c r="O739" t="str">
        <f ca="1">IF(Incidents[[#This Row],[Age (days)]]&gt;Incidents[[#This Row],[SLA Threshold]],"NO","Yes")</f>
        <v>Yes</v>
      </c>
    </row>
    <row r="740" spans="1:15" ht="15" customHeight="1" x14ac:dyDescent="0.25">
      <c r="A740" s="2" t="s">
        <v>1548</v>
      </c>
      <c r="B740" s="31">
        <v>45719</v>
      </c>
      <c r="C740" s="8">
        <v>45728</v>
      </c>
      <c r="D740" s="28" t="s">
        <v>29</v>
      </c>
      <c r="E740" t="s">
        <v>46</v>
      </c>
      <c r="F740" s="49">
        <f t="shared" ca="1" si="11"/>
        <v>8</v>
      </c>
      <c r="G740" s="16" t="s">
        <v>31</v>
      </c>
      <c r="H740" s="11" t="s">
        <v>665</v>
      </c>
      <c r="I740" t="s">
        <v>1336</v>
      </c>
      <c r="J740" s="14"/>
      <c r="K740" t="s">
        <v>1549</v>
      </c>
      <c r="L740" t="s">
        <v>120</v>
      </c>
      <c r="M740" t="str">
        <f>VLOOKUP(Incidents[[#This Row],[Ticket ID]],[1]Incidents!$A$2:$D$792,4,FALSE)</f>
        <v>4 - Low</v>
      </c>
      <c r="N740">
        <f>VLOOKUP(Incidents[[#This Row],[Priority]],'SLA Config'!$B$3:$C$6,2,FALSE)</f>
        <v>25</v>
      </c>
      <c r="O740" t="str">
        <f ca="1">IF(Incidents[[#This Row],[Age (days)]]&gt;Incidents[[#This Row],[SLA Threshold]],"NO","Yes")</f>
        <v>Yes</v>
      </c>
    </row>
    <row r="741" spans="1:15" ht="15" customHeight="1" x14ac:dyDescent="0.25">
      <c r="A741" s="2" t="s">
        <v>1550</v>
      </c>
      <c r="B741" s="31">
        <v>45719</v>
      </c>
      <c r="C741" s="8">
        <v>45727</v>
      </c>
      <c r="D741" s="28" t="s">
        <v>29</v>
      </c>
      <c r="E741" t="s">
        <v>1314</v>
      </c>
      <c r="F741" s="49">
        <f t="shared" ca="1" si="11"/>
        <v>7</v>
      </c>
      <c r="G741" s="16" t="s">
        <v>801</v>
      </c>
      <c r="H741" s="11" t="s">
        <v>1021</v>
      </c>
      <c r="I741" t="s">
        <v>1535</v>
      </c>
      <c r="J741" s="14"/>
      <c r="K741" t="s">
        <v>717</v>
      </c>
      <c r="L741" t="s">
        <v>36</v>
      </c>
      <c r="M741" t="str">
        <f>VLOOKUP(Incidents[[#This Row],[Ticket ID]],[1]Incidents!$A$2:$D$792,4,FALSE)</f>
        <v>4 - Low</v>
      </c>
      <c r="N741">
        <f>VLOOKUP(Incidents[[#This Row],[Priority]],'SLA Config'!$B$3:$C$6,2,FALSE)</f>
        <v>25</v>
      </c>
      <c r="O741" t="str">
        <f ca="1">IF(Incidents[[#This Row],[Age (days)]]&gt;Incidents[[#This Row],[SLA Threshold]],"NO","Yes")</f>
        <v>Yes</v>
      </c>
    </row>
    <row r="742" spans="1:15" ht="15" customHeight="1" x14ac:dyDescent="0.25">
      <c r="A742" s="2" t="s">
        <v>1551</v>
      </c>
      <c r="B742" s="31">
        <v>45719</v>
      </c>
      <c r="C742" s="8">
        <v>45726</v>
      </c>
      <c r="D742" s="28" t="s">
        <v>29</v>
      </c>
      <c r="E742" t="s">
        <v>46</v>
      </c>
      <c r="F742" s="49">
        <f t="shared" ca="1" si="11"/>
        <v>6</v>
      </c>
      <c r="G742" s="16" t="s">
        <v>31</v>
      </c>
      <c r="H742" s="11" t="s">
        <v>896</v>
      </c>
      <c r="I742" t="s">
        <v>1535</v>
      </c>
      <c r="J742" s="14"/>
      <c r="K742" t="s">
        <v>717</v>
      </c>
      <c r="L742" t="s">
        <v>36</v>
      </c>
      <c r="M742" t="str">
        <f>VLOOKUP(Incidents[[#This Row],[Ticket ID]],[1]Incidents!$A$2:$D$792,4,FALSE)</f>
        <v>4 - Low</v>
      </c>
      <c r="N742">
        <f>VLOOKUP(Incidents[[#This Row],[Priority]],'SLA Config'!$B$3:$C$6,2,FALSE)</f>
        <v>25</v>
      </c>
      <c r="O742" t="str">
        <f ca="1">IF(Incidents[[#This Row],[Age (days)]]&gt;Incidents[[#This Row],[SLA Threshold]],"NO","Yes")</f>
        <v>Yes</v>
      </c>
    </row>
    <row r="743" spans="1:15" ht="15" customHeight="1" x14ac:dyDescent="0.25">
      <c r="A743" s="2" t="s">
        <v>1552</v>
      </c>
      <c r="B743" s="31">
        <v>45747</v>
      </c>
      <c r="C743" s="8"/>
      <c r="D743" t="s">
        <v>1553</v>
      </c>
      <c r="E743" t="s">
        <v>38</v>
      </c>
      <c r="F743" s="49">
        <f t="shared" ca="1" si="11"/>
        <v>265</v>
      </c>
      <c r="G743" s="16" t="s">
        <v>51</v>
      </c>
      <c r="H743" s="11" t="s">
        <v>299</v>
      </c>
      <c r="I743" t="s">
        <v>193</v>
      </c>
      <c r="J743" s="14"/>
      <c r="K743" t="s">
        <v>119</v>
      </c>
      <c r="L743" t="s">
        <v>120</v>
      </c>
      <c r="M743" t="str">
        <f>VLOOKUP(Incidents[[#This Row],[Ticket ID]],[1]Incidents!$A$2:$D$792,4,FALSE)</f>
        <v>4 - Low</v>
      </c>
      <c r="N743">
        <f>VLOOKUP(Incidents[[#This Row],[Priority]],'SLA Config'!$B$3:$C$6,2,FALSE)</f>
        <v>25</v>
      </c>
      <c r="O743" t="str">
        <f ca="1">IF(Incidents[[#This Row],[Age (days)]]&gt;Incidents[[#This Row],[SLA Threshold]],"NO","Yes")</f>
        <v>NO</v>
      </c>
    </row>
    <row r="744" spans="1:15" ht="15" customHeight="1" x14ac:dyDescent="0.25">
      <c r="A744" s="2" t="s">
        <v>1554</v>
      </c>
      <c r="B744" s="31">
        <v>45742</v>
      </c>
      <c r="C744" s="31">
        <v>45760</v>
      </c>
      <c r="D744" t="s">
        <v>29</v>
      </c>
      <c r="E744" t="s">
        <v>30</v>
      </c>
      <c r="F744" s="49">
        <f t="shared" ca="1" si="11"/>
        <v>13</v>
      </c>
      <c r="G744" s="16" t="s">
        <v>31</v>
      </c>
      <c r="H744" s="11" t="s">
        <v>1555</v>
      </c>
      <c r="I744" t="s">
        <v>1447</v>
      </c>
      <c r="J744" s="14"/>
      <c r="K744" t="s">
        <v>215</v>
      </c>
      <c r="L744" t="s">
        <v>120</v>
      </c>
      <c r="M744" t="str">
        <f>VLOOKUP(Incidents[[#This Row],[Ticket ID]],[1]Incidents!$A$2:$D$792,4,FALSE)</f>
        <v>2 - High</v>
      </c>
      <c r="N744">
        <f>VLOOKUP(Incidents[[#This Row],[Priority]],'SLA Config'!$B$3:$C$6,2,FALSE)</f>
        <v>5</v>
      </c>
      <c r="O744" t="str">
        <f ca="1">IF(Incidents[[#This Row],[Age (days)]]&gt;Incidents[[#This Row],[SLA Threshold]],"NO","Yes")</f>
        <v>NO</v>
      </c>
    </row>
    <row r="745" spans="1:15" ht="15" customHeight="1" x14ac:dyDescent="0.25">
      <c r="A745" s="2" t="s">
        <v>1556</v>
      </c>
      <c r="B745" s="31">
        <v>45740</v>
      </c>
      <c r="C745" s="31">
        <v>45767</v>
      </c>
      <c r="D745" t="s">
        <v>29</v>
      </c>
      <c r="E745" t="s">
        <v>1557</v>
      </c>
      <c r="F745" s="49">
        <f t="shared" ca="1" si="11"/>
        <v>20</v>
      </c>
      <c r="G745" s="16" t="s">
        <v>1558</v>
      </c>
      <c r="H745" s="11" t="s">
        <v>1559</v>
      </c>
      <c r="I745" t="s">
        <v>1336</v>
      </c>
      <c r="J745" s="14"/>
      <c r="K745" t="s">
        <v>90</v>
      </c>
      <c r="L745" t="s">
        <v>36</v>
      </c>
      <c r="M745" t="str">
        <f>VLOOKUP(Incidents[[#This Row],[Ticket ID]],[1]Incidents!$A$2:$D$792,4,FALSE)</f>
        <v>4 - Low</v>
      </c>
      <c r="N745">
        <f>VLOOKUP(Incidents[[#This Row],[Priority]],'SLA Config'!$B$3:$C$6,2,FALSE)</f>
        <v>25</v>
      </c>
      <c r="O745" t="str">
        <f ca="1">IF(Incidents[[#This Row],[Age (days)]]&gt;Incidents[[#This Row],[SLA Threshold]],"NO","Yes")</f>
        <v>Yes</v>
      </c>
    </row>
    <row r="746" spans="1:15" ht="15" customHeight="1" x14ac:dyDescent="0.3">
      <c r="A746" s="2" t="s">
        <v>1560</v>
      </c>
      <c r="B746" s="31">
        <v>45736</v>
      </c>
      <c r="C746" s="39">
        <v>45781</v>
      </c>
      <c r="D746" s="32" t="s">
        <v>29</v>
      </c>
      <c r="E746" t="s">
        <v>532</v>
      </c>
      <c r="F746" s="49">
        <f t="shared" ca="1" si="11"/>
        <v>32</v>
      </c>
      <c r="G746" s="16" t="s">
        <v>486</v>
      </c>
      <c r="H746" s="11" t="s">
        <v>1561</v>
      </c>
      <c r="I746" t="s">
        <v>1447</v>
      </c>
      <c r="J746" s="14" t="s">
        <v>40</v>
      </c>
      <c r="K746" t="s">
        <v>480</v>
      </c>
      <c r="L746" t="s">
        <v>120</v>
      </c>
      <c r="M746" t="str">
        <f>VLOOKUP(Incidents[[#This Row],[Ticket ID]],[1]Incidents!$A$2:$D$792,4,FALSE)</f>
        <v>4 - Low</v>
      </c>
      <c r="N746">
        <f>VLOOKUP(Incidents[[#This Row],[Priority]],'SLA Config'!$B$3:$C$6,2,FALSE)</f>
        <v>25</v>
      </c>
      <c r="O746" t="str">
        <f ca="1">IF(Incidents[[#This Row],[Age (days)]]&gt;Incidents[[#This Row],[SLA Threshold]],"NO","Yes")</f>
        <v>NO</v>
      </c>
    </row>
    <row r="747" spans="1:15" ht="15" customHeight="1" x14ac:dyDescent="0.3">
      <c r="A747" s="2" t="s">
        <v>1562</v>
      </c>
      <c r="B747" s="31">
        <v>45721</v>
      </c>
      <c r="C747" s="39">
        <v>45794</v>
      </c>
      <c r="D747" s="32" t="s">
        <v>29</v>
      </c>
      <c r="E747" t="s">
        <v>30</v>
      </c>
      <c r="F747" s="49">
        <f t="shared" ca="1" si="11"/>
        <v>53</v>
      </c>
      <c r="G747" s="16" t="s">
        <v>51</v>
      </c>
      <c r="H747" s="11" t="s">
        <v>299</v>
      </c>
      <c r="I747" t="s">
        <v>193</v>
      </c>
      <c r="J747" s="15"/>
      <c r="K747" t="s">
        <v>119</v>
      </c>
      <c r="L747" t="s">
        <v>120</v>
      </c>
      <c r="M747" t="str">
        <f>VLOOKUP(Incidents[[#This Row],[Ticket ID]],[1]Incidents!$A$2:$D$792,4,FALSE)</f>
        <v>4 - Low</v>
      </c>
      <c r="N747">
        <f>VLOOKUP(Incidents[[#This Row],[Priority]],'SLA Config'!$B$3:$C$6,2,FALSE)</f>
        <v>25</v>
      </c>
      <c r="O747" t="str">
        <f ca="1">IF(Incidents[[#This Row],[Age (days)]]&gt;Incidents[[#This Row],[SLA Threshold]],"NO","Yes")</f>
        <v>NO</v>
      </c>
    </row>
    <row r="748" spans="1:15" ht="15" customHeight="1" x14ac:dyDescent="0.3">
      <c r="A748" s="34" t="s">
        <v>1563</v>
      </c>
      <c r="B748" s="35">
        <v>45775</v>
      </c>
      <c r="C748" s="39">
        <v>45781</v>
      </c>
      <c r="D748" s="32" t="s">
        <v>29</v>
      </c>
      <c r="E748" s="32" t="s">
        <v>324</v>
      </c>
      <c r="F748" s="49">
        <f t="shared" ref="F748:F759" ca="1" si="12">IF(ISBLANK(C748), NETWORKDAYS(B748,TODAY()), NETWORKDAYS(B748,C748))</f>
        <v>5</v>
      </c>
      <c r="G748" s="36" t="s">
        <v>31</v>
      </c>
      <c r="H748" s="37" t="s">
        <v>1564</v>
      </c>
      <c r="I748" s="32" t="s">
        <v>1447</v>
      </c>
      <c r="J748" s="14"/>
      <c r="K748" t="s">
        <v>1565</v>
      </c>
      <c r="L748" s="32" t="s">
        <v>120</v>
      </c>
      <c r="M748" s="32" t="str">
        <f>VLOOKUP(Incidents[[#This Row],[Ticket ID]],[1]Incidents!$A$2:$D$792,4,FALSE)</f>
        <v>3 - Medium</v>
      </c>
      <c r="N748" s="32">
        <f>VLOOKUP(Incidents[[#This Row],[Priority]],'SLA Config'!$B$3:$C$6,2,FALSE)</f>
        <v>15</v>
      </c>
      <c r="O748" s="32" t="str">
        <f ca="1">IF(Incidents[[#This Row],[Age (days)]]&gt;Incidents[[#This Row],[SLA Threshold]],"NO","Yes")</f>
        <v>Yes</v>
      </c>
    </row>
    <row r="749" spans="1:15" ht="15" customHeight="1" x14ac:dyDescent="0.25">
      <c r="A749" s="34" t="s">
        <v>1566</v>
      </c>
      <c r="B749" s="35">
        <v>45775</v>
      </c>
      <c r="C749" s="8"/>
      <c r="D749" t="s">
        <v>1567</v>
      </c>
      <c r="E749" s="32" t="s">
        <v>30</v>
      </c>
      <c r="F749" s="49">
        <f t="shared" ca="1" si="12"/>
        <v>245</v>
      </c>
      <c r="G749" s="36" t="s">
        <v>51</v>
      </c>
      <c r="H749" s="37" t="s">
        <v>1568</v>
      </c>
      <c r="I749" s="32" t="s">
        <v>193</v>
      </c>
      <c r="J749" s="14"/>
      <c r="K749" t="s">
        <v>1569</v>
      </c>
      <c r="L749" s="32" t="s">
        <v>120</v>
      </c>
      <c r="M749" s="32" t="str">
        <f>VLOOKUP(Incidents[[#This Row],[Ticket ID]],[1]Incidents!$A$2:$D$792,4,FALSE)</f>
        <v>4 - Low</v>
      </c>
      <c r="N749" s="32">
        <f>VLOOKUP(Incidents[[#This Row],[Priority]],'SLA Config'!$B$3:$C$6,2,FALSE)</f>
        <v>25</v>
      </c>
      <c r="O749" s="32" t="str">
        <f ca="1">IF(Incidents[[#This Row],[Age (days)]]&gt;Incidents[[#This Row],[SLA Threshold]],"NO","Yes")</f>
        <v>NO</v>
      </c>
    </row>
    <row r="750" spans="1:15" ht="15" customHeight="1" x14ac:dyDescent="0.3">
      <c r="A750" s="34" t="s">
        <v>1570</v>
      </c>
      <c r="B750" s="35">
        <v>45772</v>
      </c>
      <c r="C750" s="39">
        <v>45795</v>
      </c>
      <c r="D750" s="32" t="s">
        <v>29</v>
      </c>
      <c r="E750" s="32" t="s">
        <v>324</v>
      </c>
      <c r="F750" s="49">
        <f t="shared" ca="1" si="12"/>
        <v>16</v>
      </c>
      <c r="G750" s="36" t="s">
        <v>31</v>
      </c>
      <c r="H750" s="37" t="s">
        <v>1571</v>
      </c>
      <c r="I750" s="32" t="s">
        <v>1336</v>
      </c>
      <c r="J750" s="14"/>
      <c r="K750" t="s">
        <v>215</v>
      </c>
      <c r="L750" s="32" t="s">
        <v>120</v>
      </c>
      <c r="M750" s="32" t="str">
        <f>VLOOKUP(Incidents[[#This Row],[Ticket ID]],[1]Incidents!$A$2:$D$792,4,FALSE)</f>
        <v>4 - Low</v>
      </c>
      <c r="N750" s="32">
        <f>VLOOKUP(Incidents[[#This Row],[Priority]],'SLA Config'!$B$3:$C$6,2,FALSE)</f>
        <v>25</v>
      </c>
      <c r="O750" s="32" t="str">
        <f ca="1">IF(Incidents[[#This Row],[Age (days)]]&gt;Incidents[[#This Row],[SLA Threshold]],"NO","Yes")</f>
        <v>Yes</v>
      </c>
    </row>
    <row r="751" spans="1:15" ht="15" customHeight="1" x14ac:dyDescent="0.25">
      <c r="A751" s="34" t="s">
        <v>1572</v>
      </c>
      <c r="B751" s="35">
        <v>45771</v>
      </c>
      <c r="C751" s="35">
        <v>45777</v>
      </c>
      <c r="D751" s="32" t="s">
        <v>29</v>
      </c>
      <c r="E751" s="32" t="s">
        <v>38</v>
      </c>
      <c r="F751" s="49">
        <f t="shared" ca="1" si="12"/>
        <v>5</v>
      </c>
      <c r="G751" s="36" t="s">
        <v>51</v>
      </c>
      <c r="H751" s="37" t="s">
        <v>1573</v>
      </c>
      <c r="I751" s="32" t="s">
        <v>1336</v>
      </c>
      <c r="J751" s="14"/>
      <c r="K751" t="s">
        <v>201</v>
      </c>
      <c r="L751" s="32" t="s">
        <v>120</v>
      </c>
      <c r="M751" s="32" t="str">
        <f>VLOOKUP(Incidents[[#This Row],[Ticket ID]],[1]Incidents!$A$2:$D$792,4,FALSE)</f>
        <v>4 - Low</v>
      </c>
      <c r="N751" s="32">
        <f>VLOOKUP(Incidents[[#This Row],[Priority]],'SLA Config'!$B$3:$C$6,2,FALSE)</f>
        <v>25</v>
      </c>
      <c r="O751" s="32" t="str">
        <f ca="1">IF(Incidents[[#This Row],[Age (days)]]&gt;Incidents[[#This Row],[SLA Threshold]],"NO","Yes")</f>
        <v>Yes</v>
      </c>
    </row>
    <row r="752" spans="1:15" ht="15" customHeight="1" x14ac:dyDescent="0.3">
      <c r="A752" s="34" t="s">
        <v>1574</v>
      </c>
      <c r="B752" s="35">
        <v>45769</v>
      </c>
      <c r="C752" s="39">
        <v>45780</v>
      </c>
      <c r="D752" s="32" t="s">
        <v>29</v>
      </c>
      <c r="E752" s="32" t="s">
        <v>38</v>
      </c>
      <c r="F752" s="49">
        <f t="shared" ca="1" si="12"/>
        <v>9</v>
      </c>
      <c r="G752" s="36" t="s">
        <v>31</v>
      </c>
      <c r="H752" s="37" t="s">
        <v>716</v>
      </c>
      <c r="I752" s="32" t="s">
        <v>730</v>
      </c>
      <c r="J752" s="14"/>
      <c r="K752" t="s">
        <v>717</v>
      </c>
      <c r="L752" s="32" t="s">
        <v>36</v>
      </c>
      <c r="M752" s="32" t="str">
        <f>VLOOKUP(Incidents[[#This Row],[Ticket ID]],[1]Incidents!$A$2:$D$792,4,FALSE)</f>
        <v>4 - Low</v>
      </c>
      <c r="N752" s="32">
        <f>VLOOKUP(Incidents[[#This Row],[Priority]],'SLA Config'!$B$3:$C$6,2,FALSE)</f>
        <v>25</v>
      </c>
      <c r="O752" s="32" t="str">
        <f ca="1">IF(Incidents[[#This Row],[Age (days)]]&gt;Incidents[[#This Row],[SLA Threshold]],"NO","Yes")</f>
        <v>Yes</v>
      </c>
    </row>
    <row r="753" spans="1:15" ht="15" customHeight="1" x14ac:dyDescent="0.25">
      <c r="A753" s="34" t="s">
        <v>1575</v>
      </c>
      <c r="B753" s="35">
        <v>45762</v>
      </c>
      <c r="C753" s="35">
        <v>45769</v>
      </c>
      <c r="D753" s="32" t="s">
        <v>29</v>
      </c>
      <c r="E753" s="32" t="s">
        <v>1314</v>
      </c>
      <c r="F753" s="49">
        <f t="shared" ca="1" si="12"/>
        <v>6</v>
      </c>
      <c r="G753" s="36" t="s">
        <v>486</v>
      </c>
      <c r="H753" s="37" t="s">
        <v>1576</v>
      </c>
      <c r="I753" s="32" t="s">
        <v>589</v>
      </c>
      <c r="J753" s="14"/>
      <c r="K753" t="s">
        <v>1316</v>
      </c>
      <c r="L753" s="32" t="s">
        <v>36</v>
      </c>
      <c r="M753" s="32" t="str">
        <f>VLOOKUP(Incidents[[#This Row],[Ticket ID]],[1]Incidents!$A$2:$D$792,4,FALSE)</f>
        <v>4 - Low</v>
      </c>
      <c r="N753" s="32">
        <f>VLOOKUP(Incidents[[#This Row],[Priority]],'SLA Config'!$B$3:$C$6,2,FALSE)</f>
        <v>25</v>
      </c>
      <c r="O753" s="32" t="str">
        <f ca="1">IF(Incidents[[#This Row],[Age (days)]]&gt;Incidents[[#This Row],[SLA Threshold]],"NO","Yes")</f>
        <v>Yes</v>
      </c>
    </row>
    <row r="754" spans="1:15" ht="15" customHeight="1" x14ac:dyDescent="0.25">
      <c r="A754" s="34" t="s">
        <v>1577</v>
      </c>
      <c r="B754" s="35">
        <v>45756</v>
      </c>
      <c r="C754" s="35">
        <v>45773</v>
      </c>
      <c r="D754" s="32" t="s">
        <v>29</v>
      </c>
      <c r="E754" s="32" t="s">
        <v>532</v>
      </c>
      <c r="F754" s="49">
        <f t="shared" ca="1" si="12"/>
        <v>13</v>
      </c>
      <c r="G754" s="36" t="s">
        <v>51</v>
      </c>
      <c r="H754" s="37" t="s">
        <v>434</v>
      </c>
      <c r="I754" s="32" t="s">
        <v>1578</v>
      </c>
      <c r="J754" s="14"/>
      <c r="K754" t="s">
        <v>119</v>
      </c>
      <c r="L754" s="32" t="s">
        <v>120</v>
      </c>
      <c r="M754" s="32" t="str">
        <f>VLOOKUP(Incidents[[#This Row],[Ticket ID]],[1]Incidents!$A$2:$D$792,4,FALSE)</f>
        <v>2 - High</v>
      </c>
      <c r="N754" s="32">
        <f>VLOOKUP(Incidents[[#This Row],[Priority]],'SLA Config'!$B$3:$C$6,2,FALSE)</f>
        <v>5</v>
      </c>
      <c r="O754" s="32" t="str">
        <f ca="1">IF(Incidents[[#This Row],[Age (days)]]&gt;Incidents[[#This Row],[SLA Threshold]],"NO","Yes")</f>
        <v>NO</v>
      </c>
    </row>
    <row r="755" spans="1:15" ht="15" customHeight="1" x14ac:dyDescent="0.25">
      <c r="A755" s="34" t="s">
        <v>1579</v>
      </c>
      <c r="B755" s="35">
        <v>45755</v>
      </c>
      <c r="C755" s="35">
        <v>45763</v>
      </c>
      <c r="D755" s="32" t="s">
        <v>29</v>
      </c>
      <c r="E755" s="32" t="s">
        <v>38</v>
      </c>
      <c r="F755" s="49">
        <f t="shared" ca="1" si="12"/>
        <v>7</v>
      </c>
      <c r="G755" s="36" t="s">
        <v>51</v>
      </c>
      <c r="H755" s="37" t="s">
        <v>1580</v>
      </c>
      <c r="I755" s="32" t="s">
        <v>1581</v>
      </c>
      <c r="J755" s="14"/>
      <c r="K755" t="s">
        <v>1582</v>
      </c>
      <c r="L755" s="32" t="s">
        <v>120</v>
      </c>
      <c r="M755" s="32" t="str">
        <f>VLOOKUP(Incidents[[#This Row],[Ticket ID]],[1]Incidents!$A$2:$D$792,4,FALSE)</f>
        <v>4 - Low</v>
      </c>
      <c r="N755" s="32">
        <f>VLOOKUP(Incidents[[#This Row],[Priority]],'SLA Config'!$B$3:$C$6,2,FALSE)</f>
        <v>25</v>
      </c>
      <c r="O755" s="32" t="str">
        <f ca="1">IF(Incidents[[#This Row],[Age (days)]]&gt;Incidents[[#This Row],[SLA Threshold]],"NO","Yes")</f>
        <v>Yes</v>
      </c>
    </row>
    <row r="756" spans="1:15" ht="15" customHeight="1" x14ac:dyDescent="0.25">
      <c r="A756" s="34" t="s">
        <v>1583</v>
      </c>
      <c r="B756" s="35">
        <v>45754</v>
      </c>
      <c r="C756" s="8">
        <v>45816.116944444446</v>
      </c>
      <c r="D756" t="s">
        <v>29</v>
      </c>
      <c r="E756" s="32" t="s">
        <v>30</v>
      </c>
      <c r="F756" s="49">
        <f t="shared" ca="1" si="12"/>
        <v>45</v>
      </c>
      <c r="G756" s="36" t="s">
        <v>31</v>
      </c>
      <c r="H756" s="37" t="s">
        <v>1584</v>
      </c>
      <c r="I756" s="32" t="s">
        <v>193</v>
      </c>
      <c r="J756" s="14"/>
      <c r="K756" t="s">
        <v>215</v>
      </c>
      <c r="L756" s="32" t="s">
        <v>120</v>
      </c>
      <c r="M756" s="32" t="str">
        <f>VLOOKUP(Incidents[[#This Row],[Ticket ID]],[1]Incidents!$A$2:$D$792,4,FALSE)</f>
        <v>3 - Medium</v>
      </c>
      <c r="N756" s="32">
        <f>VLOOKUP(Incidents[[#This Row],[Priority]],'SLA Config'!$B$3:$C$6,2,FALSE)</f>
        <v>15</v>
      </c>
      <c r="O756" s="32" t="str">
        <f ca="1">IF(Incidents[[#This Row],[Age (days)]]&gt;Incidents[[#This Row],[SLA Threshold]],"NO","Yes")</f>
        <v>NO</v>
      </c>
    </row>
    <row r="757" spans="1:15" ht="15" customHeight="1" x14ac:dyDescent="0.25">
      <c r="A757" s="34" t="s">
        <v>1585</v>
      </c>
      <c r="B757" s="35">
        <v>45749</v>
      </c>
      <c r="C757" s="8">
        <v>45816.313993055555</v>
      </c>
      <c r="D757" t="s">
        <v>29</v>
      </c>
      <c r="E757" s="32" t="s">
        <v>38</v>
      </c>
      <c r="F757" s="49">
        <f t="shared" ca="1" si="12"/>
        <v>48</v>
      </c>
      <c r="G757" s="36" t="s">
        <v>486</v>
      </c>
      <c r="H757" s="37" t="s">
        <v>1586</v>
      </c>
      <c r="I757" s="32" t="s">
        <v>193</v>
      </c>
      <c r="J757" s="14"/>
      <c r="K757" t="s">
        <v>1587</v>
      </c>
      <c r="L757" s="32" t="s">
        <v>120</v>
      </c>
      <c r="M757" s="32" t="str">
        <f>VLOOKUP(Incidents[[#This Row],[Ticket ID]],[1]Incidents!$A$2:$D$792,4,FALSE)</f>
        <v>4 - Low</v>
      </c>
      <c r="N757" s="32">
        <f>VLOOKUP(Incidents[[#This Row],[Priority]],'SLA Config'!$B$3:$C$6,2,FALSE)</f>
        <v>25</v>
      </c>
      <c r="O757" s="32" t="str">
        <f ca="1">IF(Incidents[[#This Row],[Age (days)]]&gt;Incidents[[#This Row],[SLA Threshold]],"NO","Yes")</f>
        <v>NO</v>
      </c>
    </row>
    <row r="758" spans="1:15" ht="15" customHeight="1" x14ac:dyDescent="0.25">
      <c r="A758" s="34" t="s">
        <v>1588</v>
      </c>
      <c r="B758" s="35">
        <v>45749</v>
      </c>
      <c r="C758" s="35">
        <v>45760</v>
      </c>
      <c r="D758" s="32" t="s">
        <v>29</v>
      </c>
      <c r="E758" s="32" t="s">
        <v>38</v>
      </c>
      <c r="F758" s="49">
        <f t="shared" ca="1" si="12"/>
        <v>8</v>
      </c>
      <c r="G758" s="36" t="s">
        <v>31</v>
      </c>
      <c r="H758" s="37" t="s">
        <v>896</v>
      </c>
      <c r="I758" s="32" t="s">
        <v>730</v>
      </c>
      <c r="J758" s="14"/>
      <c r="K758" t="s">
        <v>717</v>
      </c>
      <c r="L758" s="32" t="s">
        <v>36</v>
      </c>
      <c r="M758" s="32" t="str">
        <f>VLOOKUP(Incidents[[#This Row],[Ticket ID]],[1]Incidents!$A$2:$D$792,4,FALSE)</f>
        <v>4 - Low</v>
      </c>
      <c r="N758" s="32">
        <f>VLOOKUP(Incidents[[#This Row],[Priority]],'SLA Config'!$B$3:$C$6,2,FALSE)</f>
        <v>25</v>
      </c>
      <c r="O758" s="32" t="str">
        <f ca="1">IF(Incidents[[#This Row],[Age (days)]]&gt;Incidents[[#This Row],[SLA Threshold]],"NO","Yes")</f>
        <v>Yes</v>
      </c>
    </row>
    <row r="759" spans="1:15" ht="15" customHeight="1" x14ac:dyDescent="0.25">
      <c r="A759" s="34" t="s">
        <v>1589</v>
      </c>
      <c r="B759" s="35">
        <v>45748</v>
      </c>
      <c r="C759" s="35">
        <v>45772</v>
      </c>
      <c r="D759" s="32" t="s">
        <v>29</v>
      </c>
      <c r="E759" s="32" t="s">
        <v>324</v>
      </c>
      <c r="F759" s="49">
        <f t="shared" ca="1" si="12"/>
        <v>19</v>
      </c>
      <c r="G759" s="36" t="s">
        <v>31</v>
      </c>
      <c r="H759" s="37" t="s">
        <v>1590</v>
      </c>
      <c r="I759" s="32" t="s">
        <v>589</v>
      </c>
      <c r="J759" s="15" t="s">
        <v>592</v>
      </c>
      <c r="K759" t="s">
        <v>207</v>
      </c>
      <c r="L759" s="32" t="s">
        <v>71</v>
      </c>
      <c r="M759" s="32" t="str">
        <f>VLOOKUP(Incidents[[#This Row],[Ticket ID]],[1]Incidents!$A$2:$D$792,4,FALSE)</f>
        <v>3 - Medium</v>
      </c>
      <c r="N759" s="32">
        <f>VLOOKUP(Incidents[[#This Row],[Priority]],'SLA Config'!$B$3:$C$6,2,FALSE)</f>
        <v>15</v>
      </c>
      <c r="O759" s="32" t="str">
        <f ca="1">IF(Incidents[[#This Row],[Age (days)]]&gt;Incidents[[#This Row],[SLA Threshold]],"NO","Yes")</f>
        <v>NO</v>
      </c>
    </row>
    <row r="760" spans="1:15" ht="15" customHeight="1" x14ac:dyDescent="0.25">
      <c r="A760" s="34" t="s">
        <v>1591</v>
      </c>
      <c r="B760" s="40">
        <v>45810</v>
      </c>
      <c r="C760" s="8">
        <v>45817.16233796296</v>
      </c>
      <c r="D760" t="s">
        <v>29</v>
      </c>
      <c r="E760" s="32" t="s">
        <v>46</v>
      </c>
      <c r="F760" s="49">
        <f t="shared" ref="F760:F780" ca="1" si="13">IF(ISBLANK(C760), NETWORKDAYS(B760,TODAY()), NETWORKDAYS(B760,C760))</f>
        <v>6</v>
      </c>
      <c r="G760" s="36" t="s">
        <v>31</v>
      </c>
      <c r="H760" s="37" t="s">
        <v>1592</v>
      </c>
      <c r="I760" s="32" t="s">
        <v>589</v>
      </c>
      <c r="J760" s="14" t="s">
        <v>64</v>
      </c>
      <c r="K760" t="s">
        <v>35</v>
      </c>
      <c r="L760" s="32" t="s">
        <v>36</v>
      </c>
      <c r="M760" s="32" t="str">
        <f>VLOOKUP(Incidents[[#This Row],[Ticket ID]],[1]Incidents!$A$2:$D$792,4,FALSE)</f>
        <v>4 - Low</v>
      </c>
      <c r="N760" s="32">
        <f>VLOOKUP(Incidents[[#This Row],[Priority]],'SLA Config'!$B$3:$C$6,2,FALSE)</f>
        <v>25</v>
      </c>
      <c r="O760" s="32" t="str">
        <f ca="1">IF(Incidents[[#This Row],[Age (days)]]&gt;Incidents[[#This Row],[SLA Threshold]],"NO","Yes")</f>
        <v>Yes</v>
      </c>
    </row>
    <row r="761" spans="1:15" ht="15" customHeight="1" x14ac:dyDescent="0.25">
      <c r="A761" s="34" t="s">
        <v>1593</v>
      </c>
      <c r="B761" s="40">
        <v>45798</v>
      </c>
      <c r="C761" s="8">
        <v>45816.140162037038</v>
      </c>
      <c r="D761" t="s">
        <v>29</v>
      </c>
      <c r="E761" s="32" t="s">
        <v>30</v>
      </c>
      <c r="F761" s="49">
        <f t="shared" ca="1" si="13"/>
        <v>13</v>
      </c>
      <c r="G761" s="36" t="s">
        <v>31</v>
      </c>
      <c r="H761" s="37" t="s">
        <v>1594</v>
      </c>
      <c r="I761" s="32" t="s">
        <v>589</v>
      </c>
      <c r="J761" s="14" t="s">
        <v>397</v>
      </c>
      <c r="K761" t="s">
        <v>215</v>
      </c>
      <c r="L761" s="32" t="s">
        <v>120</v>
      </c>
      <c r="M761" s="32" t="str">
        <f>VLOOKUP(Incidents[[#This Row],[Ticket ID]],[1]Incidents!$A$2:$D$792,4,FALSE)</f>
        <v>2 - High</v>
      </c>
      <c r="N761" s="32">
        <f>VLOOKUP(Incidents[[#This Row],[Priority]],'SLA Config'!$B$3:$C$6,2,FALSE)</f>
        <v>5</v>
      </c>
      <c r="O761" s="32" t="str">
        <f ca="1">IF(Incidents[[#This Row],[Age (days)]]&gt;Incidents[[#This Row],[SLA Threshold]],"NO","Yes")</f>
        <v>NO</v>
      </c>
    </row>
    <row r="762" spans="1:15" ht="15" customHeight="1" x14ac:dyDescent="0.25">
      <c r="A762" s="34" t="s">
        <v>1595</v>
      </c>
      <c r="B762" s="40">
        <v>45797</v>
      </c>
      <c r="C762" s="8">
        <v>45822.395196759258</v>
      </c>
      <c r="D762" t="s">
        <v>29</v>
      </c>
      <c r="E762" s="32" t="s">
        <v>1314</v>
      </c>
      <c r="F762" s="49">
        <f t="shared" ca="1" si="13"/>
        <v>19</v>
      </c>
      <c r="G762" s="36" t="s">
        <v>486</v>
      </c>
      <c r="H762" s="37" t="s">
        <v>1596</v>
      </c>
      <c r="I762" s="32" t="s">
        <v>1336</v>
      </c>
      <c r="J762" s="14"/>
      <c r="K762" t="s">
        <v>1587</v>
      </c>
      <c r="L762" s="32" t="s">
        <v>120</v>
      </c>
      <c r="M762" s="32" t="str">
        <f>VLOOKUP(Incidents[[#This Row],[Ticket ID]],[1]Incidents!$A$2:$D$792,4,FALSE)</f>
        <v>4 - Low</v>
      </c>
      <c r="N762" s="32">
        <f>VLOOKUP(Incidents[[#This Row],[Priority]],'SLA Config'!$B$3:$C$6,2,FALSE)</f>
        <v>25</v>
      </c>
      <c r="O762" s="32" t="str">
        <f ca="1">IF(Incidents[[#This Row],[Age (days)]]&gt;Incidents[[#This Row],[SLA Threshold]],"NO","Yes")</f>
        <v>Yes</v>
      </c>
    </row>
    <row r="763" spans="1:15" ht="15" customHeight="1" x14ac:dyDescent="0.25">
      <c r="A763" s="34" t="s">
        <v>1597</v>
      </c>
      <c r="B763" s="40">
        <v>45797</v>
      </c>
      <c r="C763" s="8">
        <v>45811.365729166668</v>
      </c>
      <c r="D763" t="s">
        <v>29</v>
      </c>
      <c r="E763" s="32" t="s">
        <v>1314</v>
      </c>
      <c r="F763" s="49">
        <f t="shared" ca="1" si="13"/>
        <v>11</v>
      </c>
      <c r="G763" s="36" t="s">
        <v>31</v>
      </c>
      <c r="H763" s="37" t="s">
        <v>1598</v>
      </c>
      <c r="I763" s="32" t="s">
        <v>193</v>
      </c>
      <c r="J763" s="14"/>
      <c r="K763" t="s">
        <v>236</v>
      </c>
      <c r="L763" s="32" t="s">
        <v>36</v>
      </c>
      <c r="M763" s="32" t="str">
        <f>VLOOKUP(Incidents[[#This Row],[Ticket ID]],[1]Incidents!$A$2:$D$792,4,FALSE)</f>
        <v>3 - Medium</v>
      </c>
      <c r="N763" s="32">
        <f>VLOOKUP(Incidents[[#This Row],[Priority]],'SLA Config'!$B$3:$C$6,2,FALSE)</f>
        <v>15</v>
      </c>
      <c r="O763" s="32" t="str">
        <f ca="1">IF(Incidents[[#This Row],[Age (days)]]&gt;Incidents[[#This Row],[SLA Threshold]],"NO","Yes")</f>
        <v>Yes</v>
      </c>
    </row>
    <row r="764" spans="1:15" ht="15" customHeight="1" x14ac:dyDescent="0.25">
      <c r="A764" s="34" t="s">
        <v>1599</v>
      </c>
      <c r="B764" s="40">
        <v>45791</v>
      </c>
      <c r="C764" s="40">
        <v>45797</v>
      </c>
      <c r="D764" s="32" t="s">
        <v>29</v>
      </c>
      <c r="E764" s="32" t="s">
        <v>324</v>
      </c>
      <c r="F764" s="49">
        <f t="shared" ca="1" si="13"/>
        <v>5</v>
      </c>
      <c r="G764" s="36" t="s">
        <v>51</v>
      </c>
      <c r="H764" s="37" t="s">
        <v>556</v>
      </c>
      <c r="I764" s="32" t="s">
        <v>589</v>
      </c>
      <c r="J764" s="14" t="s">
        <v>118</v>
      </c>
      <c r="K764" t="s">
        <v>119</v>
      </c>
      <c r="L764" s="32" t="s">
        <v>120</v>
      </c>
      <c r="M764" s="32" t="str">
        <f>VLOOKUP(Incidents[[#This Row],[Ticket ID]],[1]Incidents!$A$2:$D$792,4,FALSE)</f>
        <v>2 - High</v>
      </c>
      <c r="N764" s="32">
        <f>VLOOKUP(Incidents[[#This Row],[Priority]],'SLA Config'!$B$3:$C$6,2,FALSE)</f>
        <v>5</v>
      </c>
      <c r="O764" s="32" t="str">
        <f ca="1">IF(Incidents[[#This Row],[Age (days)]]&gt;Incidents[[#This Row],[SLA Threshold]],"NO","Yes")</f>
        <v>Yes</v>
      </c>
    </row>
    <row r="765" spans="1:15" ht="15" customHeight="1" x14ac:dyDescent="0.25">
      <c r="A765" s="34" t="s">
        <v>1600</v>
      </c>
      <c r="B765" s="40">
        <v>45796</v>
      </c>
      <c r="C765" s="8">
        <v>45816.109849537039</v>
      </c>
      <c r="D765" t="s">
        <v>29</v>
      </c>
      <c r="E765" s="32" t="s">
        <v>30</v>
      </c>
      <c r="F765" s="49">
        <f t="shared" ca="1" si="13"/>
        <v>15</v>
      </c>
      <c r="G765" s="36" t="s">
        <v>51</v>
      </c>
      <c r="H765" s="37" t="s">
        <v>1601</v>
      </c>
      <c r="I765" s="32" t="s">
        <v>589</v>
      </c>
      <c r="J765" s="14"/>
      <c r="K765" t="s">
        <v>119</v>
      </c>
      <c r="L765" s="32" t="s">
        <v>120</v>
      </c>
      <c r="M765" s="32" t="str">
        <f>VLOOKUP(Incidents[[#This Row],[Ticket ID]],[1]Incidents!$A$2:$D$792,4,FALSE)</f>
        <v>3 - Medium</v>
      </c>
      <c r="N765" s="32">
        <f>VLOOKUP(Incidents[[#This Row],[Priority]],'SLA Config'!$B$3:$C$6,2,FALSE)</f>
        <v>15</v>
      </c>
      <c r="O765" s="32" t="str">
        <f ca="1">IF(Incidents[[#This Row],[Age (days)]]&gt;Incidents[[#This Row],[SLA Threshold]],"NO","Yes")</f>
        <v>Yes</v>
      </c>
    </row>
    <row r="766" spans="1:15" ht="15" customHeight="1" x14ac:dyDescent="0.25">
      <c r="A766" s="34" t="s">
        <v>1602</v>
      </c>
      <c r="B766" s="40">
        <v>45792</v>
      </c>
      <c r="C766" s="40">
        <v>45809</v>
      </c>
      <c r="D766" s="32" t="s">
        <v>29</v>
      </c>
      <c r="E766" s="32" t="s">
        <v>38</v>
      </c>
      <c r="F766" s="49">
        <f t="shared" ca="1" si="13"/>
        <v>12</v>
      </c>
      <c r="G766" s="36" t="s">
        <v>486</v>
      </c>
      <c r="H766" s="37" t="s">
        <v>1603</v>
      </c>
      <c r="I766" s="32" t="s">
        <v>193</v>
      </c>
      <c r="J766" s="14"/>
      <c r="K766" t="s">
        <v>418</v>
      </c>
      <c r="L766" s="32" t="s">
        <v>71</v>
      </c>
      <c r="M766" s="32" t="str">
        <f>VLOOKUP(Incidents[[#This Row],[Ticket ID]],[1]Incidents!$A$2:$D$792,4,FALSE)</f>
        <v>4 - Low</v>
      </c>
      <c r="N766" s="32">
        <f>VLOOKUP(Incidents[[#This Row],[Priority]],'SLA Config'!$B$3:$C$6,2,FALSE)</f>
        <v>25</v>
      </c>
      <c r="O766" s="32" t="str">
        <f ca="1">IF(Incidents[[#This Row],[Age (days)]]&gt;Incidents[[#This Row],[SLA Threshold]],"NO","Yes")</f>
        <v>Yes</v>
      </c>
    </row>
    <row r="767" spans="1:15" ht="15" customHeight="1" x14ac:dyDescent="0.25">
      <c r="A767" s="34" t="s">
        <v>1604</v>
      </c>
      <c r="B767" s="40">
        <v>45783</v>
      </c>
      <c r="C767" s="40">
        <v>45802</v>
      </c>
      <c r="D767" s="32" t="s">
        <v>29</v>
      </c>
      <c r="E767" s="32" t="s">
        <v>46</v>
      </c>
      <c r="F767" s="49">
        <f t="shared" ca="1" si="13"/>
        <v>14</v>
      </c>
      <c r="G767" s="36" t="s">
        <v>51</v>
      </c>
      <c r="H767" s="37" t="s">
        <v>1580</v>
      </c>
      <c r="I767" s="32" t="s">
        <v>1581</v>
      </c>
      <c r="J767" s="14"/>
      <c r="K767" t="s">
        <v>1582</v>
      </c>
      <c r="L767" s="32" t="s">
        <v>120</v>
      </c>
      <c r="M767" s="32" t="str">
        <f>VLOOKUP(Incidents[[#This Row],[Ticket ID]],[1]Incidents!$A$2:$D$792,4,FALSE)</f>
        <v>4 - Low</v>
      </c>
      <c r="N767" s="32">
        <f>VLOOKUP(Incidents[[#This Row],[Priority]],'SLA Config'!$B$3:$C$6,2,FALSE)</f>
        <v>25</v>
      </c>
      <c r="O767" s="32" t="str">
        <f ca="1">IF(Incidents[[#This Row],[Age (days)]]&gt;Incidents[[#This Row],[SLA Threshold]],"NO","Yes")</f>
        <v>Yes</v>
      </c>
    </row>
    <row r="768" spans="1:15" ht="15" customHeight="1" x14ac:dyDescent="0.25">
      <c r="A768" s="34" t="s">
        <v>1605</v>
      </c>
      <c r="B768" s="40">
        <v>45791</v>
      </c>
      <c r="C768" s="40">
        <v>45809</v>
      </c>
      <c r="D768" s="32" t="s">
        <v>29</v>
      </c>
      <c r="E768" s="32" t="s">
        <v>38</v>
      </c>
      <c r="F768" s="49">
        <f t="shared" ca="1" si="13"/>
        <v>13</v>
      </c>
      <c r="G768" s="36" t="s">
        <v>31</v>
      </c>
      <c r="H768" s="37" t="s">
        <v>1606</v>
      </c>
      <c r="I768" s="32" t="s">
        <v>193</v>
      </c>
      <c r="J768" s="14"/>
      <c r="K768" t="s">
        <v>207</v>
      </c>
      <c r="L768" s="32" t="s">
        <v>71</v>
      </c>
      <c r="M768" s="32" t="str">
        <f>VLOOKUP(Incidents[[#This Row],[Ticket ID]],[1]Incidents!$A$2:$D$792,4,FALSE)</f>
        <v>2 - High</v>
      </c>
      <c r="N768" s="32">
        <f>VLOOKUP(Incidents[[#This Row],[Priority]],'SLA Config'!$B$3:$C$6,2,FALSE)</f>
        <v>5</v>
      </c>
      <c r="O768" s="32" t="str">
        <f ca="1">IF(Incidents[[#This Row],[Age (days)]]&gt;Incidents[[#This Row],[SLA Threshold]],"NO","Yes")</f>
        <v>NO</v>
      </c>
    </row>
    <row r="769" spans="1:15" ht="15" customHeight="1" x14ac:dyDescent="0.25">
      <c r="A769" s="34" t="s">
        <v>1607</v>
      </c>
      <c r="B769" s="40">
        <v>45783</v>
      </c>
      <c r="C769" s="40">
        <v>45802</v>
      </c>
      <c r="D769" s="32" t="s">
        <v>29</v>
      </c>
      <c r="E769" s="32" t="s">
        <v>38</v>
      </c>
      <c r="F769" s="49">
        <f t="shared" ca="1" si="13"/>
        <v>14</v>
      </c>
      <c r="G769" s="36" t="s">
        <v>51</v>
      </c>
      <c r="H769" s="37" t="s">
        <v>299</v>
      </c>
      <c r="I769" s="32" t="s">
        <v>193</v>
      </c>
      <c r="J769" s="14"/>
      <c r="K769" t="s">
        <v>119</v>
      </c>
      <c r="L769" s="32" t="s">
        <v>120</v>
      </c>
      <c r="M769" s="32" t="str">
        <f>VLOOKUP(Incidents[[#This Row],[Ticket ID]],[1]Incidents!$A$2:$D$792,4,FALSE)</f>
        <v>3 - Medium</v>
      </c>
      <c r="N769" s="32">
        <f>VLOOKUP(Incidents[[#This Row],[Priority]],'SLA Config'!$B$3:$C$6,2,FALSE)</f>
        <v>15</v>
      </c>
      <c r="O769" s="32" t="str">
        <f ca="1">IF(Incidents[[#This Row],[Age (days)]]&gt;Incidents[[#This Row],[SLA Threshold]],"NO","Yes")</f>
        <v>Yes</v>
      </c>
    </row>
    <row r="770" spans="1:15" ht="15" customHeight="1" x14ac:dyDescent="0.25">
      <c r="A770" s="34" t="s">
        <v>1608</v>
      </c>
      <c r="B770" s="40">
        <v>45778</v>
      </c>
      <c r="C770" s="40">
        <v>45784</v>
      </c>
      <c r="D770" s="32" t="s">
        <v>29</v>
      </c>
      <c r="E770" s="32" t="s">
        <v>46</v>
      </c>
      <c r="F770" s="49">
        <f t="shared" ca="1" si="13"/>
        <v>5</v>
      </c>
      <c r="G770" s="36" t="s">
        <v>801</v>
      </c>
      <c r="H770" s="37" t="s">
        <v>1021</v>
      </c>
      <c r="I770" s="32" t="s">
        <v>730</v>
      </c>
      <c r="J770" s="14"/>
      <c r="K770" t="s">
        <v>717</v>
      </c>
      <c r="L770" s="32" t="s">
        <v>36</v>
      </c>
      <c r="M770" s="32" t="str">
        <f>VLOOKUP(Incidents[[#This Row],[Ticket ID]],[1]Incidents!$A$2:$D$792,4,FALSE)</f>
        <v>4 - Low</v>
      </c>
      <c r="N770" s="32">
        <f>VLOOKUP(Incidents[[#This Row],[Priority]],'SLA Config'!$B$3:$C$6,2,FALSE)</f>
        <v>25</v>
      </c>
      <c r="O770" s="32" t="str">
        <f ca="1">IF(Incidents[[#This Row],[Age (days)]]&gt;Incidents[[#This Row],[SLA Threshold]],"NO","Yes")</f>
        <v>Yes</v>
      </c>
    </row>
    <row r="771" spans="1:15" ht="15" customHeight="1" x14ac:dyDescent="0.25">
      <c r="A771" s="34" t="s">
        <v>1609</v>
      </c>
      <c r="B771" s="40">
        <v>45789</v>
      </c>
      <c r="C771" s="8">
        <v>45816.122939814813</v>
      </c>
      <c r="D771" t="s">
        <v>29</v>
      </c>
      <c r="E771" s="32" t="s">
        <v>30</v>
      </c>
      <c r="F771" s="49">
        <f t="shared" ca="1" si="13"/>
        <v>20</v>
      </c>
      <c r="G771" s="36" t="s">
        <v>51</v>
      </c>
      <c r="H771" s="37" t="s">
        <v>1610</v>
      </c>
      <c r="I771" s="32" t="s">
        <v>589</v>
      </c>
      <c r="J771" s="14" t="s">
        <v>397</v>
      </c>
      <c r="K771" t="s">
        <v>119</v>
      </c>
      <c r="L771" s="32" t="s">
        <v>120</v>
      </c>
      <c r="M771" s="32" t="str">
        <f>VLOOKUP(Incidents[[#This Row],[Ticket ID]],[1]Incidents!$A$2:$D$792,4,FALSE)</f>
        <v>4 - Low</v>
      </c>
      <c r="N771" s="32">
        <f>VLOOKUP(Incidents[[#This Row],[Priority]],'SLA Config'!$B$3:$C$6,2,FALSE)</f>
        <v>25</v>
      </c>
      <c r="O771" s="32" t="str">
        <f ca="1">IF(Incidents[[#This Row],[Age (days)]]&gt;Incidents[[#This Row],[SLA Threshold]],"NO","Yes")</f>
        <v>Yes</v>
      </c>
    </row>
    <row r="772" spans="1:15" ht="15" customHeight="1" x14ac:dyDescent="0.25">
      <c r="A772" s="34" t="s">
        <v>1611</v>
      </c>
      <c r="B772" s="40">
        <v>45790</v>
      </c>
      <c r="C772" s="40">
        <v>45798</v>
      </c>
      <c r="D772" s="32" t="s">
        <v>29</v>
      </c>
      <c r="E772" s="32" t="s">
        <v>1314</v>
      </c>
      <c r="F772" s="49">
        <f t="shared" ca="1" si="13"/>
        <v>7</v>
      </c>
      <c r="G772" s="36" t="s">
        <v>486</v>
      </c>
      <c r="H772" s="37" t="s">
        <v>1612</v>
      </c>
      <c r="I772" s="32" t="s">
        <v>1613</v>
      </c>
      <c r="J772" s="14"/>
      <c r="K772" t="s">
        <v>1316</v>
      </c>
      <c r="L772" s="32" t="s">
        <v>36</v>
      </c>
      <c r="M772" s="32" t="str">
        <f>VLOOKUP(Incidents[[#This Row],[Ticket ID]],[1]Incidents!$A$2:$D$792,4,FALSE)</f>
        <v>4 - Low</v>
      </c>
      <c r="N772" s="32">
        <f>VLOOKUP(Incidents[[#This Row],[Priority]],'SLA Config'!$B$3:$C$6,2,FALSE)</f>
        <v>25</v>
      </c>
      <c r="O772" s="32" t="str">
        <f ca="1">IF(Incidents[[#This Row],[Age (days)]]&gt;Incidents[[#This Row],[SLA Threshold]],"NO","Yes")</f>
        <v>Yes</v>
      </c>
    </row>
    <row r="773" spans="1:15" ht="15" customHeight="1" x14ac:dyDescent="0.25">
      <c r="A773" s="34" t="s">
        <v>1614</v>
      </c>
      <c r="B773" s="40">
        <v>45786</v>
      </c>
      <c r="C773" s="8">
        <v>45829.272303240738</v>
      </c>
      <c r="D773" t="s">
        <v>29</v>
      </c>
      <c r="E773" s="32" t="s">
        <v>30</v>
      </c>
      <c r="F773" s="49">
        <f t="shared" ca="1" si="13"/>
        <v>31</v>
      </c>
      <c r="G773" s="36" t="s">
        <v>31</v>
      </c>
      <c r="H773" s="37" t="s">
        <v>1594</v>
      </c>
      <c r="I773" s="32" t="s">
        <v>193</v>
      </c>
      <c r="J773" s="14"/>
      <c r="K773" t="s">
        <v>215</v>
      </c>
      <c r="L773" s="32" t="s">
        <v>120</v>
      </c>
      <c r="M773" s="32" t="str">
        <f>VLOOKUP(Incidents[[#This Row],[Ticket ID]],[1]Incidents!$A$2:$D$792,4,FALSE)</f>
        <v>2 - High</v>
      </c>
      <c r="N773" s="32">
        <f>VLOOKUP(Incidents[[#This Row],[Priority]],'SLA Config'!$B$3:$C$6,2,FALSE)</f>
        <v>5</v>
      </c>
      <c r="O773" s="32" t="str">
        <f ca="1">IF(Incidents[[#This Row],[Age (days)]]&gt;Incidents[[#This Row],[SLA Threshold]],"NO","Yes")</f>
        <v>NO</v>
      </c>
    </row>
    <row r="774" spans="1:15" ht="15" customHeight="1" x14ac:dyDescent="0.25">
      <c r="A774" s="34" t="s">
        <v>1615</v>
      </c>
      <c r="B774" s="40">
        <v>45797</v>
      </c>
      <c r="C774" s="40">
        <v>45803</v>
      </c>
      <c r="D774" s="32" t="s">
        <v>29</v>
      </c>
      <c r="E774" s="32" t="s">
        <v>46</v>
      </c>
      <c r="F774" s="49">
        <f t="shared" ca="1" si="13"/>
        <v>5</v>
      </c>
      <c r="G774" s="36" t="s">
        <v>31</v>
      </c>
      <c r="H774" s="37" t="s">
        <v>1616</v>
      </c>
      <c r="I774" s="32" t="s">
        <v>730</v>
      </c>
      <c r="J774" s="14"/>
      <c r="K774" t="s">
        <v>35</v>
      </c>
      <c r="L774" s="32" t="s">
        <v>36</v>
      </c>
      <c r="M774" s="32" t="str">
        <f>VLOOKUP(Incidents[[#This Row],[Ticket ID]],[1]Incidents!$A$2:$D$792,4,FALSE)</f>
        <v>4 - Low</v>
      </c>
      <c r="N774" s="32">
        <f>VLOOKUP(Incidents[[#This Row],[Priority]],'SLA Config'!$B$3:$C$6,2,FALSE)</f>
        <v>25</v>
      </c>
      <c r="O774" s="32" t="str">
        <f ca="1">IF(Incidents[[#This Row],[Age (days)]]&gt;Incidents[[#This Row],[SLA Threshold]],"NO","Yes")</f>
        <v>Yes</v>
      </c>
    </row>
    <row r="775" spans="1:15" ht="15" customHeight="1" x14ac:dyDescent="0.25">
      <c r="A775" s="34" t="s">
        <v>1617</v>
      </c>
      <c r="B775" s="40">
        <v>45784</v>
      </c>
      <c r="C775" s="8">
        <v>45816.114108796297</v>
      </c>
      <c r="D775" t="s">
        <v>29</v>
      </c>
      <c r="E775" s="32" t="s">
        <v>30</v>
      </c>
      <c r="F775" s="49">
        <f t="shared" ca="1" si="13"/>
        <v>23</v>
      </c>
      <c r="G775" s="36" t="s">
        <v>51</v>
      </c>
      <c r="H775" s="37" t="s">
        <v>1618</v>
      </c>
      <c r="I775" s="32" t="s">
        <v>193</v>
      </c>
      <c r="J775" s="14"/>
      <c r="K775" t="s">
        <v>1619</v>
      </c>
      <c r="L775" s="32" t="s">
        <v>120</v>
      </c>
      <c r="M775" s="32" t="str">
        <f>VLOOKUP(Incidents[[#This Row],[Ticket ID]],[1]Incidents!$A$2:$D$792,4,FALSE)</f>
        <v>3 - Medium</v>
      </c>
      <c r="N775" s="32">
        <f>VLOOKUP(Incidents[[#This Row],[Priority]],'SLA Config'!$B$3:$C$6,2,FALSE)</f>
        <v>15</v>
      </c>
      <c r="O775" s="32" t="str">
        <f ca="1">IF(Incidents[[#This Row],[Age (days)]]&gt;Incidents[[#This Row],[SLA Threshold]],"NO","Yes")</f>
        <v>NO</v>
      </c>
    </row>
    <row r="776" spans="1:15" ht="15" customHeight="1" x14ac:dyDescent="0.25">
      <c r="A776" s="34" t="s">
        <v>1620</v>
      </c>
      <c r="B776" s="40">
        <v>45789</v>
      </c>
      <c r="C776" s="40">
        <v>45794</v>
      </c>
      <c r="D776" s="32" t="s">
        <v>29</v>
      </c>
      <c r="E776" s="32" t="s">
        <v>30</v>
      </c>
      <c r="F776" s="49">
        <f t="shared" ca="1" si="13"/>
        <v>5</v>
      </c>
      <c r="G776" s="36" t="s">
        <v>31</v>
      </c>
      <c r="H776" s="37" t="s">
        <v>1621</v>
      </c>
      <c r="I776" s="32" t="s">
        <v>589</v>
      </c>
      <c r="J776" s="14"/>
      <c r="K776" t="s">
        <v>90</v>
      </c>
      <c r="L776" s="32" t="s">
        <v>36</v>
      </c>
      <c r="M776" s="32" t="str">
        <f>VLOOKUP(Incidents[[#This Row],[Ticket ID]],[1]Incidents!$A$2:$D$792,4,FALSE)</f>
        <v>2 - High</v>
      </c>
      <c r="N776" s="32">
        <f>VLOOKUP(Incidents[[#This Row],[Priority]],'SLA Config'!$B$3:$C$6,2,FALSE)</f>
        <v>5</v>
      </c>
      <c r="O776" s="32" t="str">
        <f ca="1">IF(Incidents[[#This Row],[Age (days)]]&gt;Incidents[[#This Row],[SLA Threshold]],"NO","Yes")</f>
        <v>Yes</v>
      </c>
    </row>
    <row r="777" spans="1:15" ht="15" customHeight="1" x14ac:dyDescent="0.25">
      <c r="A777" s="34" t="s">
        <v>1622</v>
      </c>
      <c r="B777" s="40">
        <v>45789</v>
      </c>
      <c r="C777" s="40">
        <v>45796</v>
      </c>
      <c r="D777" s="32" t="s">
        <v>29</v>
      </c>
      <c r="E777" s="32" t="s">
        <v>38</v>
      </c>
      <c r="F777" s="49">
        <f t="shared" ca="1" si="13"/>
        <v>6</v>
      </c>
      <c r="G777" s="36" t="s">
        <v>31</v>
      </c>
      <c r="H777" s="37" t="s">
        <v>530</v>
      </c>
      <c r="I777" s="32" t="s">
        <v>193</v>
      </c>
      <c r="J777" s="14"/>
      <c r="K777" t="s">
        <v>231</v>
      </c>
      <c r="L777" s="32" t="s">
        <v>120</v>
      </c>
      <c r="M777" s="32" t="str">
        <f>VLOOKUP(Incidents[[#This Row],[Ticket ID]],[1]Incidents!$A$2:$D$792,4,FALSE)</f>
        <v>2 - High</v>
      </c>
      <c r="N777" s="32">
        <f>VLOOKUP(Incidents[[#This Row],[Priority]],'SLA Config'!$B$3:$C$6,2,FALSE)</f>
        <v>5</v>
      </c>
      <c r="O777" s="32" t="str">
        <f ca="1">IF(Incidents[[#This Row],[Age (days)]]&gt;Incidents[[#This Row],[SLA Threshold]],"NO","Yes")</f>
        <v>NO</v>
      </c>
    </row>
    <row r="778" spans="1:15" ht="15" customHeight="1" x14ac:dyDescent="0.25">
      <c r="A778" s="34" t="s">
        <v>1623</v>
      </c>
      <c r="B778" s="40">
        <v>45785</v>
      </c>
      <c r="C778" s="40">
        <v>45798</v>
      </c>
      <c r="D778" s="32" t="s">
        <v>29</v>
      </c>
      <c r="E778" s="32" t="s">
        <v>532</v>
      </c>
      <c r="F778" s="49">
        <f t="shared" ca="1" si="13"/>
        <v>10</v>
      </c>
      <c r="G778" s="36" t="s">
        <v>31</v>
      </c>
      <c r="H778" s="37" t="s">
        <v>1624</v>
      </c>
      <c r="I778" s="32" t="s">
        <v>1336</v>
      </c>
      <c r="J778" s="14"/>
      <c r="K778" t="s">
        <v>1625</v>
      </c>
      <c r="L778" s="32" t="s">
        <v>120</v>
      </c>
      <c r="M778" s="32" t="str">
        <f>VLOOKUP(Incidents[[#This Row],[Ticket ID]],[1]Incidents!$A$2:$D$792,4,FALSE)</f>
        <v>4 - Low</v>
      </c>
      <c r="N778" s="32">
        <f>VLOOKUP(Incidents[[#This Row],[Priority]],'SLA Config'!$B$3:$C$6,2,FALSE)</f>
        <v>25</v>
      </c>
      <c r="O778" s="32" t="str">
        <f ca="1">IF(Incidents[[#This Row],[Age (days)]]&gt;Incidents[[#This Row],[SLA Threshold]],"NO","Yes")</f>
        <v>Yes</v>
      </c>
    </row>
    <row r="779" spans="1:15" ht="15" customHeight="1" x14ac:dyDescent="0.25">
      <c r="A779" s="34" t="s">
        <v>1626</v>
      </c>
      <c r="B779" s="40">
        <v>45778</v>
      </c>
      <c r="C779" s="40">
        <v>45784</v>
      </c>
      <c r="D779" s="32" t="s">
        <v>29</v>
      </c>
      <c r="E779" s="32" t="s">
        <v>46</v>
      </c>
      <c r="F779" s="49">
        <f t="shared" ca="1" si="13"/>
        <v>5</v>
      </c>
      <c r="G779" s="36" t="s">
        <v>31</v>
      </c>
      <c r="H779" s="37" t="s">
        <v>896</v>
      </c>
      <c r="I779" s="32" t="s">
        <v>730</v>
      </c>
      <c r="J779" s="14"/>
      <c r="K779" t="s">
        <v>717</v>
      </c>
      <c r="L779" s="32" t="s">
        <v>36</v>
      </c>
      <c r="M779" s="32" t="str">
        <f>VLOOKUP(Incidents[[#This Row],[Ticket ID]],[1]Incidents!$A$2:$D$792,4,FALSE)</f>
        <v>4 - Low</v>
      </c>
      <c r="N779" s="32">
        <f>VLOOKUP(Incidents[[#This Row],[Priority]],'SLA Config'!$B$3:$C$6,2,FALSE)</f>
        <v>25</v>
      </c>
      <c r="O779" s="32" t="str">
        <f ca="1">IF(Incidents[[#This Row],[Age (days)]]&gt;Incidents[[#This Row],[SLA Threshold]],"NO","Yes")</f>
        <v>Yes</v>
      </c>
    </row>
    <row r="780" spans="1:15" ht="15" customHeight="1" x14ac:dyDescent="0.25">
      <c r="A780" s="34" t="s">
        <v>1627</v>
      </c>
      <c r="B780" s="40">
        <v>45782</v>
      </c>
      <c r="C780" s="40">
        <v>45808</v>
      </c>
      <c r="D780" s="32" t="s">
        <v>29</v>
      </c>
      <c r="E780" s="32" t="s">
        <v>46</v>
      </c>
      <c r="F780" s="49">
        <f t="shared" ca="1" si="13"/>
        <v>20</v>
      </c>
      <c r="G780" s="36" t="s">
        <v>1493</v>
      </c>
      <c r="H780" s="37" t="s">
        <v>1628</v>
      </c>
      <c r="I780" s="32" t="s">
        <v>589</v>
      </c>
      <c r="J780" s="15" t="s">
        <v>64</v>
      </c>
      <c r="K780" t="s">
        <v>572</v>
      </c>
      <c r="L780" s="32" t="s">
        <v>71</v>
      </c>
      <c r="M780" s="32" t="str">
        <f>VLOOKUP(Incidents[[#This Row],[Ticket ID]],[1]Incidents!$A$2:$D$792,4,FALSE)</f>
        <v>4 - Low</v>
      </c>
      <c r="N780" s="32">
        <f>VLOOKUP(Incidents[[#This Row],[Priority]],'SLA Config'!$B$3:$C$6,2,FALSE)</f>
        <v>25</v>
      </c>
      <c r="O780" s="32" t="str">
        <f ca="1">IF(Incidents[[#This Row],[Age (days)]]&gt;Incidents[[#This Row],[SLA Threshold]],"NO","Yes")</f>
        <v>Yes</v>
      </c>
    </row>
    <row r="781" spans="1:15" ht="15" customHeight="1" x14ac:dyDescent="0.25">
      <c r="A781" s="2" t="s">
        <v>1629</v>
      </c>
      <c r="B781" s="8">
        <v>45836.302569444444</v>
      </c>
      <c r="C781" s="8">
        <v>45844.204016203701</v>
      </c>
      <c r="D781" t="s">
        <v>29</v>
      </c>
      <c r="E781" t="s">
        <v>324</v>
      </c>
      <c r="F781" s="49">
        <f t="shared" ref="F781:F804" ca="1" si="14">IF(ISBLANK(C781), NETWORKDAYS(B781,TODAY()), NETWORKDAYS(B781,C781))</f>
        <v>5</v>
      </c>
      <c r="G781" s="16" t="s">
        <v>1377</v>
      </c>
      <c r="H781" s="11" t="s">
        <v>1630</v>
      </c>
      <c r="J781" s="14"/>
      <c r="K781" t="s">
        <v>1631</v>
      </c>
      <c r="L781" t="s">
        <v>120</v>
      </c>
      <c r="M781" s="32" t="s">
        <v>11</v>
      </c>
      <c r="N781" s="32">
        <f>VLOOKUP(Incidents[[#This Row],[Priority]],'SLA Config'!$B$3:$C$6,2,FALSE)</f>
        <v>5</v>
      </c>
      <c r="O781" s="32" t="str">
        <f ca="1">IF(Incidents[[#This Row],[Age (days)]]&gt;Incidents[[#This Row],[SLA Threshold]],"NO","Yes")</f>
        <v>Yes</v>
      </c>
    </row>
    <row r="782" spans="1:15" ht="15" customHeight="1" x14ac:dyDescent="0.25">
      <c r="A782" s="2" t="s">
        <v>1632</v>
      </c>
      <c r="B782" s="8">
        <v>45836.316423611112</v>
      </c>
      <c r="C782" s="8">
        <v>45844.204780092594</v>
      </c>
      <c r="D782" t="s">
        <v>29</v>
      </c>
      <c r="E782" t="s">
        <v>324</v>
      </c>
      <c r="F782" s="49">
        <f t="shared" ca="1" si="14"/>
        <v>5</v>
      </c>
      <c r="G782" s="16" t="s">
        <v>1377</v>
      </c>
      <c r="H782" s="11" t="s">
        <v>1633</v>
      </c>
      <c r="J782" s="14"/>
      <c r="K782" t="s">
        <v>1634</v>
      </c>
      <c r="L782" t="s">
        <v>120</v>
      </c>
      <c r="M782" s="32" t="s">
        <v>11</v>
      </c>
      <c r="N782" s="32">
        <f>VLOOKUP(Incidents[[#This Row],[Priority]],'SLA Config'!$B$3:$C$6,2,FALSE)</f>
        <v>5</v>
      </c>
      <c r="O782" s="32" t="str">
        <f ca="1">IF(Incidents[[#This Row],[Age (days)]]&gt;Incidents[[#This Row],[SLA Threshold]],"NO","Yes")</f>
        <v>Yes</v>
      </c>
    </row>
    <row r="783" spans="1:15" ht="15" customHeight="1" x14ac:dyDescent="0.25">
      <c r="A783" s="2" t="s">
        <v>1635</v>
      </c>
      <c r="B783" s="8">
        <v>45836.289907407408</v>
      </c>
      <c r="C783" s="8">
        <v>45844.203148148146</v>
      </c>
      <c r="D783" t="s">
        <v>29</v>
      </c>
      <c r="E783" t="s">
        <v>324</v>
      </c>
      <c r="F783" s="49">
        <f t="shared" ca="1" si="14"/>
        <v>5</v>
      </c>
      <c r="G783" s="16" t="s">
        <v>1377</v>
      </c>
      <c r="H783" s="11" t="s">
        <v>1636</v>
      </c>
      <c r="J783" s="14"/>
      <c r="K783" t="s">
        <v>1637</v>
      </c>
      <c r="L783" t="s">
        <v>120</v>
      </c>
      <c r="M783" s="32" t="s">
        <v>11</v>
      </c>
      <c r="N783" s="32">
        <f>VLOOKUP(Incidents[[#This Row],[Priority]],'SLA Config'!$B$3:$C$6,2,FALSE)</f>
        <v>5</v>
      </c>
      <c r="O783" s="32" t="str">
        <f ca="1">IF(Incidents[[#This Row],[Age (days)]]&gt;Incidents[[#This Row],[SLA Threshold]],"NO","Yes")</f>
        <v>Yes</v>
      </c>
    </row>
    <row r="784" spans="1:15" ht="15" customHeight="1" x14ac:dyDescent="0.25">
      <c r="A784" s="2" t="s">
        <v>1638</v>
      </c>
      <c r="B784" s="8">
        <v>45843.154675925929</v>
      </c>
      <c r="C784" s="8"/>
      <c r="D784" t="s">
        <v>1567</v>
      </c>
      <c r="E784" t="s">
        <v>46</v>
      </c>
      <c r="F784" s="49">
        <f t="shared" ca="1" si="14"/>
        <v>195</v>
      </c>
      <c r="G784" s="16" t="s">
        <v>1377</v>
      </c>
      <c r="H784" s="11" t="s">
        <v>1639</v>
      </c>
      <c r="J784" s="14"/>
      <c r="K784" t="s">
        <v>1640</v>
      </c>
      <c r="L784" t="s">
        <v>120</v>
      </c>
      <c r="M784" s="32" t="s">
        <v>11</v>
      </c>
      <c r="N784" s="32">
        <f>VLOOKUP(Incidents[[#This Row],[Priority]],'SLA Config'!$B$3:$C$6,2,FALSE)</f>
        <v>5</v>
      </c>
      <c r="O784" s="32" t="str">
        <f ca="1">IF(Incidents[[#This Row],[Age (days)]]&gt;Incidents[[#This Row],[SLA Threshold]],"NO","Yes")</f>
        <v>NO</v>
      </c>
    </row>
    <row r="785" spans="1:15" ht="15" customHeight="1" x14ac:dyDescent="0.25">
      <c r="A785" s="2" t="s">
        <v>1641</v>
      </c>
      <c r="B785" s="8">
        <v>45840.628865740742</v>
      </c>
      <c r="C785" s="8"/>
      <c r="D785" t="s">
        <v>1642</v>
      </c>
      <c r="E785" t="s">
        <v>324</v>
      </c>
      <c r="F785" s="49">
        <f t="shared" ca="1" si="14"/>
        <v>198</v>
      </c>
      <c r="G785" s="16" t="s">
        <v>1377</v>
      </c>
      <c r="H785" s="11" t="s">
        <v>1643</v>
      </c>
      <c r="J785" s="14"/>
      <c r="K785" t="s">
        <v>1644</v>
      </c>
      <c r="L785" t="s">
        <v>120</v>
      </c>
      <c r="M785" s="32" t="s">
        <v>11</v>
      </c>
      <c r="N785" s="32">
        <f>VLOOKUP(Incidents[[#This Row],[Priority]],'SLA Config'!$B$3:$C$6,2,FALSE)</f>
        <v>5</v>
      </c>
      <c r="O785" s="32" t="str">
        <f ca="1">IF(Incidents[[#This Row],[Age (days)]]&gt;Incidents[[#This Row],[SLA Threshold]],"NO","Yes")</f>
        <v>NO</v>
      </c>
    </row>
    <row r="786" spans="1:15" ht="15" customHeight="1" x14ac:dyDescent="0.25">
      <c r="A786" s="2" t="s">
        <v>1645</v>
      </c>
      <c r="B786" s="8">
        <v>45810.710590277777</v>
      </c>
      <c r="C786" s="8">
        <v>45823.058020833334</v>
      </c>
      <c r="D786" t="s">
        <v>29</v>
      </c>
      <c r="E786" t="s">
        <v>1314</v>
      </c>
      <c r="F786" s="49">
        <f t="shared" ca="1" si="14"/>
        <v>10</v>
      </c>
      <c r="G786" s="16" t="s">
        <v>31</v>
      </c>
      <c r="H786" s="11" t="s">
        <v>896</v>
      </c>
      <c r="J786" s="14"/>
      <c r="K786" t="s">
        <v>717</v>
      </c>
      <c r="L786" t="s">
        <v>36</v>
      </c>
      <c r="M786" s="32" t="s">
        <v>13</v>
      </c>
      <c r="N786" s="32">
        <f>VLOOKUP(Incidents[[#This Row],[Priority]],'SLA Config'!$B$3:$C$6,2,FALSE)</f>
        <v>25</v>
      </c>
      <c r="O786" s="32" t="str">
        <f ca="1">IF(Incidents[[#This Row],[Age (days)]]&gt;Incidents[[#This Row],[SLA Threshold]],"NO","Yes")</f>
        <v>Yes</v>
      </c>
    </row>
    <row r="787" spans="1:15" ht="15" customHeight="1" x14ac:dyDescent="0.25">
      <c r="A787" s="2" t="s">
        <v>1646</v>
      </c>
      <c r="B787" s="8">
        <v>45810.71199074074</v>
      </c>
      <c r="C787" s="8">
        <v>45816.476712962962</v>
      </c>
      <c r="D787" t="s">
        <v>29</v>
      </c>
      <c r="E787" t="s">
        <v>1314</v>
      </c>
      <c r="F787" s="49">
        <f t="shared" ca="1" si="14"/>
        <v>5</v>
      </c>
      <c r="G787" s="16" t="s">
        <v>801</v>
      </c>
      <c r="H787" s="11" t="s">
        <v>1021</v>
      </c>
      <c r="J787" s="14"/>
      <c r="K787" t="s">
        <v>717</v>
      </c>
      <c r="L787" t="s">
        <v>36</v>
      </c>
      <c r="M787" s="32" t="s">
        <v>13</v>
      </c>
      <c r="N787" s="32">
        <f>VLOOKUP(Incidents[[#This Row],[Priority]],'SLA Config'!$B$3:$C$6,2,FALSE)</f>
        <v>25</v>
      </c>
      <c r="O787" s="32" t="str">
        <f ca="1">IF(Incidents[[#This Row],[Age (days)]]&gt;Incidents[[#This Row],[SLA Threshold]],"NO","Yes")</f>
        <v>Yes</v>
      </c>
    </row>
    <row r="788" spans="1:15" ht="15" customHeight="1" x14ac:dyDescent="0.25">
      <c r="A788" s="2" t="s">
        <v>1647</v>
      </c>
      <c r="B788" s="8">
        <v>45812.399930555555</v>
      </c>
      <c r="C788" s="8"/>
      <c r="D788" t="s">
        <v>1648</v>
      </c>
      <c r="E788" t="s">
        <v>38</v>
      </c>
      <c r="F788" s="49">
        <f t="shared" ca="1" si="14"/>
        <v>218</v>
      </c>
      <c r="G788" s="16" t="s">
        <v>51</v>
      </c>
      <c r="H788" s="11" t="s">
        <v>1649</v>
      </c>
      <c r="J788" s="14"/>
      <c r="K788" t="s">
        <v>119</v>
      </c>
      <c r="L788" t="s">
        <v>120</v>
      </c>
      <c r="M788" s="32" t="s">
        <v>13</v>
      </c>
      <c r="N788" s="32">
        <f>VLOOKUP(Incidents[[#This Row],[Priority]],'SLA Config'!$B$3:$C$6,2,FALSE)</f>
        <v>25</v>
      </c>
      <c r="O788" s="32" t="str">
        <f ca="1">IF(Incidents[[#This Row],[Age (days)]]&gt;Incidents[[#This Row],[SLA Threshold]],"NO","Yes")</f>
        <v>NO</v>
      </c>
    </row>
    <row r="789" spans="1:15" ht="15" customHeight="1" x14ac:dyDescent="0.25">
      <c r="A789" s="2" t="s">
        <v>1650</v>
      </c>
      <c r="B789" s="8">
        <v>45812.671666666669</v>
      </c>
      <c r="C789" s="8">
        <v>45836.141087962962</v>
      </c>
      <c r="D789" t="s">
        <v>29</v>
      </c>
      <c r="E789" t="s">
        <v>46</v>
      </c>
      <c r="F789" s="49">
        <f t="shared" ca="1" si="14"/>
        <v>18</v>
      </c>
      <c r="G789" s="16" t="s">
        <v>31</v>
      </c>
      <c r="H789" s="11" t="s">
        <v>1651</v>
      </c>
      <c r="J789" s="14"/>
      <c r="K789" t="s">
        <v>231</v>
      </c>
      <c r="L789" t="s">
        <v>120</v>
      </c>
      <c r="M789" s="32" t="s">
        <v>12</v>
      </c>
      <c r="N789" s="32">
        <f>VLOOKUP(Incidents[[#This Row],[Priority]],'SLA Config'!$B$3:$C$6,2,FALSE)</f>
        <v>15</v>
      </c>
      <c r="O789" s="32" t="str">
        <f ca="1">IF(Incidents[[#This Row],[Age (days)]]&gt;Incidents[[#This Row],[SLA Threshold]],"NO","Yes")</f>
        <v>NO</v>
      </c>
    </row>
    <row r="790" spans="1:15" ht="15" customHeight="1" x14ac:dyDescent="0.25">
      <c r="A790" s="2" t="s">
        <v>1652</v>
      </c>
      <c r="B790" s="8">
        <v>45817.186481481483</v>
      </c>
      <c r="C790" s="8"/>
      <c r="D790" t="s">
        <v>1653</v>
      </c>
      <c r="E790" t="s">
        <v>1314</v>
      </c>
      <c r="F790" s="49">
        <f t="shared" ca="1" si="14"/>
        <v>215</v>
      </c>
      <c r="G790" s="16" t="s">
        <v>486</v>
      </c>
      <c r="H790" s="11" t="s">
        <v>1654</v>
      </c>
      <c r="J790" s="14"/>
      <c r="K790" t="s">
        <v>1316</v>
      </c>
      <c r="L790" t="s">
        <v>36</v>
      </c>
      <c r="M790" s="32" t="s">
        <v>13</v>
      </c>
      <c r="N790" s="32">
        <f>VLOOKUP(Incidents[[#This Row],[Priority]],'SLA Config'!$B$3:$C$6,2,FALSE)</f>
        <v>25</v>
      </c>
      <c r="O790" s="32" t="str">
        <f ca="1">IF(Incidents[[#This Row],[Age (days)]]&gt;Incidents[[#This Row],[SLA Threshold]],"NO","Yes")</f>
        <v>NO</v>
      </c>
    </row>
    <row r="791" spans="1:15" ht="15" customHeight="1" x14ac:dyDescent="0.25">
      <c r="A791" s="2" t="s">
        <v>1655</v>
      </c>
      <c r="B791" s="8">
        <v>45821.459826388891</v>
      </c>
      <c r="C791" s="8">
        <v>45838.163506944446</v>
      </c>
      <c r="D791" t="s">
        <v>29</v>
      </c>
      <c r="E791" t="s">
        <v>30</v>
      </c>
      <c r="F791" s="49">
        <f t="shared" ca="1" si="14"/>
        <v>12</v>
      </c>
      <c r="G791" s="16" t="s">
        <v>51</v>
      </c>
      <c r="H791" s="11" t="s">
        <v>1656</v>
      </c>
      <c r="J791" s="14"/>
      <c r="K791" t="s">
        <v>119</v>
      </c>
      <c r="L791" t="s">
        <v>120</v>
      </c>
      <c r="M791" s="32" t="s">
        <v>12</v>
      </c>
      <c r="N791" s="32">
        <f>VLOOKUP(Incidents[[#This Row],[Priority]],'SLA Config'!$B$3:$C$6,2,FALSE)</f>
        <v>15</v>
      </c>
      <c r="O791" s="32" t="str">
        <f ca="1">IF(Incidents[[#This Row],[Age (days)]]&gt;Incidents[[#This Row],[SLA Threshold]],"NO","Yes")</f>
        <v>Yes</v>
      </c>
    </row>
    <row r="792" spans="1:15" ht="15" customHeight="1" x14ac:dyDescent="0.25">
      <c r="A792" s="2" t="s">
        <v>1657</v>
      </c>
      <c r="B792" s="8">
        <v>45821.671712962961</v>
      </c>
      <c r="C792" s="8"/>
      <c r="D792" t="s">
        <v>1653</v>
      </c>
      <c r="E792" t="s">
        <v>1658</v>
      </c>
      <c r="F792" s="49">
        <f t="shared" ca="1" si="14"/>
        <v>211</v>
      </c>
      <c r="G792" s="16" t="s">
        <v>611</v>
      </c>
      <c r="H792" s="11" t="s">
        <v>1659</v>
      </c>
      <c r="J792" s="14"/>
      <c r="K792" t="s">
        <v>201</v>
      </c>
      <c r="L792" t="s">
        <v>120</v>
      </c>
      <c r="M792" s="32" t="s">
        <v>11</v>
      </c>
      <c r="N792" s="32">
        <f>VLOOKUP(Incidents[[#This Row],[Priority]],'SLA Config'!$B$3:$C$6,2,FALSE)</f>
        <v>5</v>
      </c>
      <c r="O792" s="32" t="str">
        <f ca="1">IF(Incidents[[#This Row],[Age (days)]]&gt;Incidents[[#This Row],[SLA Threshold]],"NO","Yes")</f>
        <v>NO</v>
      </c>
    </row>
    <row r="793" spans="1:15" ht="15" customHeight="1" x14ac:dyDescent="0.25">
      <c r="A793" s="2" t="s">
        <v>1660</v>
      </c>
      <c r="B793" s="8">
        <v>45824.325127314813</v>
      </c>
      <c r="C793" s="8">
        <v>45830.237256944441</v>
      </c>
      <c r="D793" t="s">
        <v>29</v>
      </c>
      <c r="E793" t="s">
        <v>1314</v>
      </c>
      <c r="F793" s="49">
        <f t="shared" ca="1" si="14"/>
        <v>5</v>
      </c>
      <c r="G793" s="16" t="s">
        <v>31</v>
      </c>
      <c r="H793" s="11" t="s">
        <v>1661</v>
      </c>
      <c r="J793" s="14"/>
      <c r="K793" t="s">
        <v>1316</v>
      </c>
      <c r="L793" t="s">
        <v>36</v>
      </c>
      <c r="M793" s="32" t="s">
        <v>11</v>
      </c>
      <c r="N793" s="32">
        <f>VLOOKUP(Incidents[[#This Row],[Priority]],'SLA Config'!$B$3:$C$6,2,FALSE)</f>
        <v>5</v>
      </c>
      <c r="O793" s="32" t="str">
        <f ca="1">IF(Incidents[[#This Row],[Age (days)]]&gt;Incidents[[#This Row],[SLA Threshold]],"NO","Yes")</f>
        <v>Yes</v>
      </c>
    </row>
    <row r="794" spans="1:15" ht="15" customHeight="1" x14ac:dyDescent="0.25">
      <c r="A794" s="2" t="s">
        <v>1662</v>
      </c>
      <c r="B794" s="8">
        <v>45825.110752314817</v>
      </c>
      <c r="C794" s="8">
        <v>45837.212534722225</v>
      </c>
      <c r="D794" t="s">
        <v>29</v>
      </c>
      <c r="E794" t="s">
        <v>1314</v>
      </c>
      <c r="F794" s="49">
        <f t="shared" ca="1" si="14"/>
        <v>9</v>
      </c>
      <c r="G794" s="16" t="s">
        <v>486</v>
      </c>
      <c r="H794" s="11" t="s">
        <v>1663</v>
      </c>
      <c r="J794" s="14"/>
      <c r="K794" t="s">
        <v>1316</v>
      </c>
      <c r="L794" t="s">
        <v>36</v>
      </c>
      <c r="M794" s="32" t="s">
        <v>13</v>
      </c>
      <c r="N794" s="32">
        <f>VLOOKUP(Incidents[[#This Row],[Priority]],'SLA Config'!$B$3:$C$6,2,FALSE)</f>
        <v>25</v>
      </c>
      <c r="O794" s="32" t="str">
        <f ca="1">IF(Incidents[[#This Row],[Age (days)]]&gt;Incidents[[#This Row],[SLA Threshold]],"NO","Yes")</f>
        <v>Yes</v>
      </c>
    </row>
    <row r="795" spans="1:15" ht="15" customHeight="1" x14ac:dyDescent="0.25">
      <c r="A795" s="2" t="s">
        <v>1664</v>
      </c>
      <c r="B795" s="8">
        <v>45826.068923611114</v>
      </c>
      <c r="C795" s="8">
        <v>45837.205706018518</v>
      </c>
      <c r="D795" t="s">
        <v>29</v>
      </c>
      <c r="E795" t="s">
        <v>1314</v>
      </c>
      <c r="F795" s="49">
        <f t="shared" ca="1" si="14"/>
        <v>8</v>
      </c>
      <c r="G795" s="16" t="s">
        <v>486</v>
      </c>
      <c r="H795" s="11" t="s">
        <v>1665</v>
      </c>
      <c r="J795" s="14"/>
      <c r="K795" t="s">
        <v>1316</v>
      </c>
      <c r="L795" t="s">
        <v>36</v>
      </c>
      <c r="M795" s="32" t="s">
        <v>13</v>
      </c>
      <c r="N795" s="32">
        <f>VLOOKUP(Incidents[[#This Row],[Priority]],'SLA Config'!$B$3:$C$6,2,FALSE)</f>
        <v>25</v>
      </c>
      <c r="O795" s="32" t="str">
        <f ca="1">IF(Incidents[[#This Row],[Age (days)]]&gt;Incidents[[#This Row],[SLA Threshold]],"NO","Yes")</f>
        <v>Yes</v>
      </c>
    </row>
    <row r="796" spans="1:15" ht="15" customHeight="1" x14ac:dyDescent="0.25">
      <c r="A796" s="2" t="s">
        <v>1666</v>
      </c>
      <c r="B796" s="8">
        <v>45838.470243055555</v>
      </c>
      <c r="C796" s="8"/>
      <c r="D796" t="s">
        <v>1642</v>
      </c>
      <c r="E796" t="s">
        <v>46</v>
      </c>
      <c r="F796" s="49">
        <f t="shared" ca="1" si="14"/>
        <v>200</v>
      </c>
      <c r="G796" s="16" t="s">
        <v>51</v>
      </c>
      <c r="H796" s="11" t="s">
        <v>1667</v>
      </c>
      <c r="J796" s="14"/>
      <c r="K796" t="s">
        <v>418</v>
      </c>
      <c r="L796" t="s">
        <v>71</v>
      </c>
      <c r="M796" s="32" t="s">
        <v>13</v>
      </c>
      <c r="N796" s="32">
        <f>VLOOKUP(Incidents[[#This Row],[Priority]],'SLA Config'!$B$3:$C$6,2,FALSE)</f>
        <v>25</v>
      </c>
      <c r="O796" s="32" t="str">
        <f ca="1">IF(Incidents[[#This Row],[Age (days)]]&gt;Incidents[[#This Row],[SLA Threshold]],"NO","Yes")</f>
        <v>NO</v>
      </c>
    </row>
    <row r="797" spans="1:15" ht="15" customHeight="1" x14ac:dyDescent="0.25">
      <c r="A797" s="2" t="s">
        <v>1668</v>
      </c>
      <c r="B797" s="8">
        <v>45839.5627662037</v>
      </c>
      <c r="C797" s="8"/>
      <c r="D797" t="s">
        <v>1567</v>
      </c>
      <c r="E797" t="s">
        <v>30</v>
      </c>
      <c r="F797" s="49">
        <f t="shared" ca="1" si="14"/>
        <v>199</v>
      </c>
      <c r="G797" s="16" t="s">
        <v>486</v>
      </c>
      <c r="H797" s="11" t="s">
        <v>1669</v>
      </c>
      <c r="J797" s="14"/>
      <c r="K797" t="s">
        <v>1388</v>
      </c>
      <c r="L797" t="s">
        <v>71</v>
      </c>
      <c r="M797" s="32" t="s">
        <v>13</v>
      </c>
      <c r="N797" s="32">
        <f>VLOOKUP(Incidents[[#This Row],[Priority]],'SLA Config'!$B$3:$C$6,2,FALSE)</f>
        <v>25</v>
      </c>
      <c r="O797" s="32" t="str">
        <f ca="1">IF(Incidents[[#This Row],[Age (days)]]&gt;Incidents[[#This Row],[SLA Threshold]],"NO","Yes")</f>
        <v>NO</v>
      </c>
    </row>
    <row r="798" spans="1:15" ht="15" customHeight="1" x14ac:dyDescent="0.25">
      <c r="A798" s="2" t="s">
        <v>1670</v>
      </c>
      <c r="B798" s="8">
        <v>45839.710081018522</v>
      </c>
      <c r="C798" s="8">
        <v>45845.435729166667</v>
      </c>
      <c r="D798" t="s">
        <v>29</v>
      </c>
      <c r="E798" t="s">
        <v>1314</v>
      </c>
      <c r="F798" s="49">
        <f t="shared" ca="1" si="14"/>
        <v>5</v>
      </c>
      <c r="G798" s="16" t="s">
        <v>31</v>
      </c>
      <c r="H798" s="11" t="s">
        <v>896</v>
      </c>
      <c r="J798" s="14"/>
      <c r="K798" t="s">
        <v>717</v>
      </c>
      <c r="L798" t="s">
        <v>36</v>
      </c>
      <c r="M798" s="32" t="s">
        <v>13</v>
      </c>
      <c r="N798" s="32">
        <f>VLOOKUP(Incidents[[#This Row],[Priority]],'SLA Config'!$B$3:$C$6,2,FALSE)</f>
        <v>25</v>
      </c>
      <c r="O798" s="32" t="str">
        <f ca="1">IF(Incidents[[#This Row],[Age (days)]]&gt;Incidents[[#This Row],[SLA Threshold]],"NO","Yes")</f>
        <v>Yes</v>
      </c>
    </row>
    <row r="799" spans="1:15" ht="15" customHeight="1" x14ac:dyDescent="0.25">
      <c r="A799" s="2" t="s">
        <v>1671</v>
      </c>
      <c r="B799" s="8">
        <v>45839.712175925924</v>
      </c>
      <c r="C799" s="8">
        <v>45846.06391203704</v>
      </c>
      <c r="D799" t="s">
        <v>29</v>
      </c>
      <c r="E799" t="s">
        <v>1314</v>
      </c>
      <c r="F799" s="49">
        <f t="shared" ca="1" si="14"/>
        <v>6</v>
      </c>
      <c r="G799" s="16" t="s">
        <v>801</v>
      </c>
      <c r="H799" s="11" t="s">
        <v>1021</v>
      </c>
      <c r="J799" s="14"/>
      <c r="K799" t="s">
        <v>717</v>
      </c>
      <c r="L799" t="s">
        <v>36</v>
      </c>
      <c r="M799" s="32" t="s">
        <v>13</v>
      </c>
      <c r="N799" s="32">
        <f>VLOOKUP(Incidents[[#This Row],[Priority]],'SLA Config'!$B$3:$C$6,2,FALSE)</f>
        <v>25</v>
      </c>
      <c r="O799" s="32" t="str">
        <f ca="1">IF(Incidents[[#This Row],[Age (days)]]&gt;Incidents[[#This Row],[SLA Threshold]],"NO","Yes")</f>
        <v>Yes</v>
      </c>
    </row>
    <row r="800" spans="1:15" ht="15" customHeight="1" x14ac:dyDescent="0.25">
      <c r="A800" s="2" t="s">
        <v>1672</v>
      </c>
      <c r="B800" s="8">
        <v>45845.484780092593</v>
      </c>
      <c r="C800" s="8"/>
      <c r="D800" t="s">
        <v>1567</v>
      </c>
      <c r="E800" t="s">
        <v>30</v>
      </c>
      <c r="F800" s="49">
        <f t="shared" ca="1" si="14"/>
        <v>195</v>
      </c>
      <c r="G800" s="16" t="s">
        <v>486</v>
      </c>
      <c r="H800" s="11" t="s">
        <v>1673</v>
      </c>
      <c r="J800" s="14"/>
      <c r="K800" t="s">
        <v>90</v>
      </c>
      <c r="L800" t="s">
        <v>36</v>
      </c>
      <c r="M800" s="32" t="s">
        <v>13</v>
      </c>
      <c r="N800" s="32">
        <f>VLOOKUP(Incidents[[#This Row],[Priority]],'SLA Config'!$B$3:$C$6,2,FALSE)</f>
        <v>25</v>
      </c>
      <c r="O800" s="32" t="str">
        <f ca="1">IF(Incidents[[#This Row],[Age (days)]]&gt;Incidents[[#This Row],[SLA Threshold]],"NO","Yes")</f>
        <v>NO</v>
      </c>
    </row>
    <row r="801" spans="1:15" ht="15" customHeight="1" x14ac:dyDescent="0.25">
      <c r="A801" s="2" t="s">
        <v>1674</v>
      </c>
      <c r="B801" s="8">
        <v>45611.649884259263</v>
      </c>
      <c r="C801" s="8">
        <v>45619.512199074074</v>
      </c>
      <c r="D801" t="s">
        <v>29</v>
      </c>
      <c r="E801" t="s">
        <v>104</v>
      </c>
      <c r="F801" s="49">
        <f t="shared" ca="1" si="14"/>
        <v>6</v>
      </c>
      <c r="G801" s="16" t="s">
        <v>51</v>
      </c>
      <c r="H801" s="11" t="s">
        <v>1675</v>
      </c>
      <c r="J801" s="14"/>
      <c r="K801" t="s">
        <v>119</v>
      </c>
      <c r="L801" t="s">
        <v>120</v>
      </c>
      <c r="M801" s="32" t="s">
        <v>13</v>
      </c>
      <c r="N801" s="32">
        <f>VLOOKUP(Incidents[[#This Row],[Priority]],'SLA Config'!$B$3:$C$6,2,FALSE)</f>
        <v>25</v>
      </c>
      <c r="O801" s="32" t="str">
        <f ca="1">IF(Incidents[[#This Row],[Age (days)]]&gt;Incidents[[#This Row],[SLA Threshold]],"NO","Yes")</f>
        <v>Yes</v>
      </c>
    </row>
    <row r="802" spans="1:15" ht="15" customHeight="1" x14ac:dyDescent="0.25">
      <c r="A802" s="2" t="s">
        <v>1676</v>
      </c>
      <c r="B802" s="8">
        <v>45614.193831018521</v>
      </c>
      <c r="C802" s="8">
        <v>45621.326215277775</v>
      </c>
      <c r="D802" t="s">
        <v>29</v>
      </c>
      <c r="E802" t="s">
        <v>104</v>
      </c>
      <c r="F802" s="49">
        <f t="shared" ca="1" si="14"/>
        <v>6</v>
      </c>
      <c r="G802" s="16" t="s">
        <v>31</v>
      </c>
      <c r="H802" s="11" t="s">
        <v>1677</v>
      </c>
      <c r="J802" s="14"/>
      <c r="K802" t="s">
        <v>1678</v>
      </c>
      <c r="L802" t="s">
        <v>120</v>
      </c>
      <c r="M802" s="32" t="s">
        <v>13</v>
      </c>
      <c r="N802" s="32">
        <f>VLOOKUP(Incidents[[#This Row],[Priority]],'SLA Config'!$B$3:$C$6,2,FALSE)</f>
        <v>25</v>
      </c>
      <c r="O802" s="32" t="str">
        <f ca="1">IF(Incidents[[#This Row],[Age (days)]]&gt;Incidents[[#This Row],[SLA Threshold]],"NO","Yes")</f>
        <v>Yes</v>
      </c>
    </row>
    <row r="803" spans="1:15" ht="15" customHeight="1" x14ac:dyDescent="0.25">
      <c r="A803" s="2" t="s">
        <v>1679</v>
      </c>
      <c r="B803" s="8">
        <v>45617.601469907408</v>
      </c>
      <c r="C803" s="8">
        <v>45623.393564814818</v>
      </c>
      <c r="D803" t="s">
        <v>29</v>
      </c>
      <c r="E803" t="s">
        <v>104</v>
      </c>
      <c r="F803" s="49">
        <f t="shared" ca="1" si="14"/>
        <v>5</v>
      </c>
      <c r="G803" s="16" t="s">
        <v>51</v>
      </c>
      <c r="H803" s="11" t="s">
        <v>1680</v>
      </c>
      <c r="J803" s="14"/>
      <c r="K803" t="s">
        <v>119</v>
      </c>
      <c r="L803" t="s">
        <v>120</v>
      </c>
      <c r="M803" s="32" t="s">
        <v>11</v>
      </c>
      <c r="N803" s="32">
        <f>VLOOKUP(Incidents[[#This Row],[Priority]],'SLA Config'!$B$3:$C$6,2,FALSE)</f>
        <v>5</v>
      </c>
      <c r="O803" s="32" t="str">
        <f ca="1">IF(Incidents[[#This Row],[Age (days)]]&gt;Incidents[[#This Row],[SLA Threshold]],"NO","Yes")</f>
        <v>Yes</v>
      </c>
    </row>
    <row r="804" spans="1:15" ht="15" customHeight="1" x14ac:dyDescent="0.25">
      <c r="A804" s="2" t="s">
        <v>1681</v>
      </c>
      <c r="B804" s="8">
        <v>45827.687557870369</v>
      </c>
      <c r="C804" s="8"/>
      <c r="D804" t="s">
        <v>1553</v>
      </c>
      <c r="E804" t="s">
        <v>1658</v>
      </c>
      <c r="F804" s="49">
        <f t="shared" ca="1" si="14"/>
        <v>207</v>
      </c>
      <c r="G804" s="16" t="s">
        <v>1682</v>
      </c>
      <c r="H804" s="11" t="s">
        <v>1683</v>
      </c>
      <c r="J804" s="15"/>
      <c r="K804" t="s">
        <v>1684</v>
      </c>
      <c r="L804" t="s">
        <v>36</v>
      </c>
      <c r="M804" s="32" t="s">
        <v>12</v>
      </c>
      <c r="N804" s="32">
        <f>VLOOKUP(Incidents[[#This Row],[Priority]],'SLA Config'!$B$3:$C$6,2,FALSE)</f>
        <v>15</v>
      </c>
      <c r="O804" s="32" t="str">
        <f ca="1">IF(Incidents[[#This Row],[Age (days)]]&gt;Incidents[[#This Row],[SLA Threshold]],"NO","Yes")</f>
        <v>NO</v>
      </c>
    </row>
  </sheetData>
  <phoneticPr fontId="6" type="noConversion"/>
  <pageMargins left="0.7" right="0.7" top="0.75" bottom="0.75" header="0.3" footer="0.3"/>
  <pageSetup paperSize="9" orientation="portrait" horizontalDpi="90" verticalDpi="9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A2E30DCD-D6F9-4A91-971F-DF9412AC7FC1}">
          <x14:formula1>
            <xm:f>'(Hidden)'!$A$3:$A$11</xm:f>
          </x14:formula1>
          <xm:sqref>L2:L804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48C34-6C31-4AE0-BEBF-006612ADA4BB}">
  <sheetPr codeName="Sheet3"/>
  <dimension ref="A1:O1150"/>
  <sheetViews>
    <sheetView showGridLines="0" topLeftCell="G345" zoomScale="106" zoomScaleNormal="106" workbookViewId="0">
      <selection activeCell="G667" sqref="G667"/>
    </sheetView>
  </sheetViews>
  <sheetFormatPr defaultRowHeight="15" customHeight="1" x14ac:dyDescent="0.25"/>
  <cols>
    <col min="1" max="1" width="10.42578125" bestFit="1" customWidth="1"/>
    <col min="2" max="2" width="12.7109375" bestFit="1" customWidth="1"/>
    <col min="3" max="3" width="11.7109375" style="1" bestFit="1" customWidth="1"/>
    <col min="4" max="4" width="15.7109375" bestFit="1" customWidth="1"/>
    <col min="5" max="5" width="12.28515625" bestFit="1" customWidth="1"/>
    <col min="6" max="6" width="12.140625" bestFit="1" customWidth="1"/>
    <col min="7" max="7" width="20.7109375" bestFit="1" customWidth="1"/>
    <col min="8" max="8" width="95.140625" customWidth="1"/>
    <col min="9" max="9" width="22.85546875" customWidth="1"/>
    <col min="10" max="10" width="27.28515625" customWidth="1"/>
    <col min="11" max="11" width="30.5703125" customWidth="1"/>
    <col min="12" max="12" width="15.140625" bestFit="1" customWidth="1"/>
    <col min="13" max="13" width="12.42578125" customWidth="1"/>
    <col min="15" max="15" width="10.85546875" customWidth="1"/>
  </cols>
  <sheetData>
    <row r="1" spans="1:15" x14ac:dyDescent="0.25">
      <c r="A1" t="s">
        <v>14</v>
      </c>
      <c r="B1" t="s">
        <v>15</v>
      </c>
      <c r="C1" s="1" t="s">
        <v>16</v>
      </c>
      <c r="D1" t="s">
        <v>17</v>
      </c>
      <c r="E1" t="s">
        <v>18</v>
      </c>
      <c r="F1" t="s">
        <v>19</v>
      </c>
      <c r="G1" t="s">
        <v>20</v>
      </c>
      <c r="H1" t="s">
        <v>21</v>
      </c>
      <c r="I1" t="s">
        <v>22</v>
      </c>
      <c r="J1" t="s">
        <v>23</v>
      </c>
      <c r="K1" t="s">
        <v>24</v>
      </c>
      <c r="L1" t="s">
        <v>1685</v>
      </c>
      <c r="M1" t="s">
        <v>8</v>
      </c>
      <c r="N1" t="s">
        <v>26</v>
      </c>
      <c r="O1" t="s">
        <v>27</v>
      </c>
    </row>
    <row r="2" spans="1:15" hidden="1" x14ac:dyDescent="0.25">
      <c r="A2" t="s">
        <v>1686</v>
      </c>
      <c r="B2" s="1">
        <v>44648</v>
      </c>
      <c r="C2" s="1">
        <v>44662</v>
      </c>
      <c r="D2" t="s">
        <v>29</v>
      </c>
      <c r="E2" t="s">
        <v>38</v>
      </c>
      <c r="F2" s="7">
        <f t="shared" ref="F2:F65" ca="1" si="0">IF(ISBLANK(C2), NETWORKDAYS(B2,TODAY()), NETWORKDAYS(B2,C2))</f>
        <v>11</v>
      </c>
      <c r="G2" t="s">
        <v>51</v>
      </c>
      <c r="H2" s="11" t="s">
        <v>1687</v>
      </c>
      <c r="I2" t="s">
        <v>394</v>
      </c>
      <c r="J2" t="s">
        <v>33</v>
      </c>
      <c r="K2" t="s">
        <v>741</v>
      </c>
      <c r="L2" t="s">
        <v>71</v>
      </c>
      <c r="M2" s="32" t="str">
        <f>VLOOKUP(Requests[[#This Row],[Ticket ID]],[2]Requests!$A$2:$D$649,4,FALSE)</f>
        <v>4 - Low</v>
      </c>
      <c r="N2" s="32">
        <f>VLOOKUP(Requests[[#This Row],[Priority]],'SLA Config'!$B$3:$C$6,2,FALSE)</f>
        <v>25</v>
      </c>
      <c r="O2" s="32" t="str">
        <f ca="1">IF(Requests[[#This Row],[Age (days)]]&gt;Requests[[#This Row],[SLA Threshold]],"Yes","No")</f>
        <v>No</v>
      </c>
    </row>
    <row r="3" spans="1:15" hidden="1" x14ac:dyDescent="0.25">
      <c r="A3" t="s">
        <v>1688</v>
      </c>
      <c r="B3" s="1">
        <v>44666</v>
      </c>
      <c r="C3" s="1">
        <v>44691</v>
      </c>
      <c r="D3" t="s">
        <v>29</v>
      </c>
      <c r="E3" t="s">
        <v>38</v>
      </c>
      <c r="F3" s="7">
        <f t="shared" ca="1" si="0"/>
        <v>18</v>
      </c>
      <c r="G3" t="s">
        <v>31</v>
      </c>
      <c r="H3" s="11" t="s">
        <v>1689</v>
      </c>
      <c r="I3" t="s">
        <v>1321</v>
      </c>
      <c r="J3" t="s">
        <v>1690</v>
      </c>
      <c r="K3" t="s">
        <v>741</v>
      </c>
      <c r="L3" t="s">
        <v>120</v>
      </c>
      <c r="M3" s="32" t="str">
        <f>VLOOKUP(Requests[[#This Row],[Ticket ID]],[2]Requests!$A$2:$D$649,4,FALSE)</f>
        <v>4 - Low</v>
      </c>
      <c r="N3" s="32">
        <f>VLOOKUP(Requests[[#This Row],[Priority]],'SLA Config'!$B$3:$C$6,2,FALSE)</f>
        <v>25</v>
      </c>
      <c r="O3" s="32" t="str">
        <f ca="1">IF(Requests[[#This Row],[Age (days)]]&gt;Requests[[#This Row],[SLA Threshold]],"Yes","No")</f>
        <v>No</v>
      </c>
    </row>
    <row r="4" spans="1:15" ht="30.75" hidden="1" x14ac:dyDescent="0.3">
      <c r="A4" t="s">
        <v>1691</v>
      </c>
      <c r="B4" s="1">
        <v>44738</v>
      </c>
      <c r="C4" s="1">
        <v>44745</v>
      </c>
      <c r="D4" t="s">
        <v>29</v>
      </c>
      <c r="E4" t="s">
        <v>104</v>
      </c>
      <c r="F4" s="7">
        <f t="shared" ca="1" si="0"/>
        <v>5</v>
      </c>
      <c r="G4" t="s">
        <v>51</v>
      </c>
      <c r="H4" s="11" t="s">
        <v>1692</v>
      </c>
      <c r="I4" t="s">
        <v>1693</v>
      </c>
      <c r="J4" t="s">
        <v>1694</v>
      </c>
      <c r="K4" t="s">
        <v>1695</v>
      </c>
      <c r="L4" t="s">
        <v>71</v>
      </c>
      <c r="M4" s="32" t="str">
        <f>VLOOKUP(Requests[[#This Row],[Ticket ID]],[2]Requests!$A$2:$D$649,4,FALSE)</f>
        <v>4 - Low</v>
      </c>
      <c r="N4" s="38">
        <f>VLOOKUP(Requests[[#This Row],[Priority]],'SLA Config'!$B$3:$C$6,2,FALSE)</f>
        <v>25</v>
      </c>
      <c r="O4" s="38" t="str">
        <f ca="1">IF(Requests[[#This Row],[Age (days)]]&gt;Requests[[#This Row],[SLA Threshold]],"Yes","No")</f>
        <v>No</v>
      </c>
    </row>
    <row r="5" spans="1:15" ht="15.75" hidden="1" x14ac:dyDescent="0.3">
      <c r="A5" t="s">
        <v>1696</v>
      </c>
      <c r="B5" s="1">
        <v>44761</v>
      </c>
      <c r="C5" s="1">
        <v>44807</v>
      </c>
      <c r="D5" t="s">
        <v>29</v>
      </c>
      <c r="E5" t="s">
        <v>54</v>
      </c>
      <c r="F5" s="7">
        <f t="shared" ca="1" si="0"/>
        <v>34</v>
      </c>
      <c r="G5" t="s">
        <v>31</v>
      </c>
      <c r="H5" s="11" t="s">
        <v>1697</v>
      </c>
      <c r="I5" t="s">
        <v>1336</v>
      </c>
      <c r="J5" t="s">
        <v>1698</v>
      </c>
      <c r="K5" t="s">
        <v>231</v>
      </c>
      <c r="L5" t="s">
        <v>120</v>
      </c>
      <c r="M5" s="32" t="str">
        <f>VLOOKUP(Requests[[#This Row],[Ticket ID]],[2]Requests!$A$2:$D$649,4,FALSE)</f>
        <v>4 - Low</v>
      </c>
      <c r="N5" s="38">
        <f>VLOOKUP(Requests[[#This Row],[Priority]],'SLA Config'!$B$3:$C$6,2,FALSE)</f>
        <v>25</v>
      </c>
      <c r="O5" s="38" t="str">
        <f ca="1">IF(Requests[[#This Row],[Age (days)]]&gt;Requests[[#This Row],[SLA Threshold]],"Yes","No")</f>
        <v>Yes</v>
      </c>
    </row>
    <row r="6" spans="1:15" ht="15.75" hidden="1" x14ac:dyDescent="0.3">
      <c r="A6" t="s">
        <v>1699</v>
      </c>
      <c r="B6" s="1">
        <v>44770</v>
      </c>
      <c r="C6" s="1">
        <v>44788</v>
      </c>
      <c r="D6" t="s">
        <v>29</v>
      </c>
      <c r="E6" t="s">
        <v>38</v>
      </c>
      <c r="F6" s="7">
        <f t="shared" ca="1" si="0"/>
        <v>13</v>
      </c>
      <c r="G6" t="s">
        <v>31</v>
      </c>
      <c r="H6" s="11" t="s">
        <v>1700</v>
      </c>
      <c r="I6" t="s">
        <v>1321</v>
      </c>
      <c r="J6" s="2" t="s">
        <v>1690</v>
      </c>
      <c r="K6" t="s">
        <v>218</v>
      </c>
      <c r="L6" s="2" t="s">
        <v>120</v>
      </c>
      <c r="M6" s="32" t="str">
        <f>VLOOKUP(Requests[[#This Row],[Ticket ID]],[2]Requests!$A$2:$D$649,4,FALSE)</f>
        <v>4 - Low</v>
      </c>
      <c r="N6" s="38">
        <f>VLOOKUP(Requests[[#This Row],[Priority]],'SLA Config'!$B$3:$C$6,2,FALSE)</f>
        <v>25</v>
      </c>
      <c r="O6" s="38" t="str">
        <f ca="1">IF(Requests[[#This Row],[Age (days)]]&gt;Requests[[#This Row],[SLA Threshold]],"Yes","No")</f>
        <v>No</v>
      </c>
    </row>
    <row r="7" spans="1:15" ht="15.75" hidden="1" x14ac:dyDescent="0.3">
      <c r="A7" t="s">
        <v>1701</v>
      </c>
      <c r="B7" s="1">
        <v>44778</v>
      </c>
      <c r="C7" s="1">
        <v>44789</v>
      </c>
      <c r="D7" t="s">
        <v>29</v>
      </c>
      <c r="E7" t="s">
        <v>54</v>
      </c>
      <c r="F7" s="7">
        <f t="shared" ca="1" si="0"/>
        <v>8</v>
      </c>
      <c r="G7" t="s">
        <v>31</v>
      </c>
      <c r="H7" s="11" t="s">
        <v>1702</v>
      </c>
      <c r="I7" t="s">
        <v>1336</v>
      </c>
      <c r="J7" t="s">
        <v>1405</v>
      </c>
      <c r="K7" t="s">
        <v>231</v>
      </c>
      <c r="L7" t="s">
        <v>120</v>
      </c>
      <c r="M7" s="32" t="str">
        <f>VLOOKUP(Requests[[#This Row],[Ticket ID]],[2]Requests!$A$2:$D$649,4,FALSE)</f>
        <v>4 - Low</v>
      </c>
      <c r="N7" s="38">
        <f>VLOOKUP(Requests[[#This Row],[Priority]],'SLA Config'!$B$3:$C$6,2,FALSE)</f>
        <v>25</v>
      </c>
      <c r="O7" s="38" t="str">
        <f ca="1">IF(Requests[[#This Row],[Age (days)]]&gt;Requests[[#This Row],[SLA Threshold]],"Yes","No")</f>
        <v>No</v>
      </c>
    </row>
    <row r="8" spans="1:15" ht="15.75" hidden="1" x14ac:dyDescent="0.3">
      <c r="A8" t="s">
        <v>1703</v>
      </c>
      <c r="B8" s="1">
        <v>44792</v>
      </c>
      <c r="C8" s="1">
        <v>44802</v>
      </c>
      <c r="D8" t="s">
        <v>29</v>
      </c>
      <c r="E8" t="s">
        <v>54</v>
      </c>
      <c r="F8" s="7">
        <f t="shared" ca="1" si="0"/>
        <v>7</v>
      </c>
      <c r="G8" t="s">
        <v>31</v>
      </c>
      <c r="H8" s="11" t="s">
        <v>1704</v>
      </c>
      <c r="I8" t="s">
        <v>1336</v>
      </c>
      <c r="J8" t="s">
        <v>1705</v>
      </c>
      <c r="K8" t="s">
        <v>44</v>
      </c>
      <c r="L8" t="s">
        <v>71</v>
      </c>
      <c r="M8" s="32" t="str">
        <f>VLOOKUP(Requests[[#This Row],[Ticket ID]],[2]Requests!$A$2:$D$649,4,FALSE)</f>
        <v>3 - Medium</v>
      </c>
      <c r="N8" s="38">
        <f>VLOOKUP(Requests[[#This Row],[Priority]],'SLA Config'!$B$3:$C$6,2,FALSE)</f>
        <v>15</v>
      </c>
      <c r="O8" s="38" t="str">
        <f ca="1">IF(Requests[[#This Row],[Age (days)]]&gt;Requests[[#This Row],[SLA Threshold]],"Yes","No")</f>
        <v>No</v>
      </c>
    </row>
    <row r="9" spans="1:15" ht="15.75" hidden="1" x14ac:dyDescent="0.3">
      <c r="A9" t="s">
        <v>1706</v>
      </c>
      <c r="B9" s="1">
        <v>44798</v>
      </c>
      <c r="C9" s="1">
        <v>44816</v>
      </c>
      <c r="D9" t="s">
        <v>29</v>
      </c>
      <c r="E9" t="s">
        <v>54</v>
      </c>
      <c r="F9" s="7">
        <f t="shared" ca="1" si="0"/>
        <v>13</v>
      </c>
      <c r="G9" t="s">
        <v>51</v>
      </c>
      <c r="H9" s="11" t="s">
        <v>1707</v>
      </c>
      <c r="I9" t="s">
        <v>394</v>
      </c>
      <c r="J9" t="s">
        <v>584</v>
      </c>
      <c r="K9" t="s">
        <v>119</v>
      </c>
      <c r="L9" t="s">
        <v>120</v>
      </c>
      <c r="M9" s="32" t="str">
        <f>VLOOKUP(Requests[[#This Row],[Ticket ID]],[2]Requests!$A$2:$D$649,4,FALSE)</f>
        <v>4 - Low</v>
      </c>
      <c r="N9" s="38">
        <f>VLOOKUP(Requests[[#This Row],[Priority]],'SLA Config'!$B$3:$C$6,2,FALSE)</f>
        <v>25</v>
      </c>
      <c r="O9" s="38" t="str">
        <f ca="1">IF(Requests[[#This Row],[Age (days)]]&gt;Requests[[#This Row],[SLA Threshold]],"Yes","No")</f>
        <v>No</v>
      </c>
    </row>
    <row r="10" spans="1:15" ht="15.75" hidden="1" x14ac:dyDescent="0.3">
      <c r="A10" t="s">
        <v>1708</v>
      </c>
      <c r="B10" s="1">
        <v>44805</v>
      </c>
      <c r="C10" s="1">
        <v>44815</v>
      </c>
      <c r="D10" t="s">
        <v>29</v>
      </c>
      <c r="E10" t="s">
        <v>54</v>
      </c>
      <c r="F10" s="7">
        <f t="shared" ca="1" si="0"/>
        <v>7</v>
      </c>
      <c r="G10" s="16" t="s">
        <v>51</v>
      </c>
      <c r="H10" s="11" t="s">
        <v>1709</v>
      </c>
      <c r="I10" t="s">
        <v>1336</v>
      </c>
      <c r="J10" t="s">
        <v>1405</v>
      </c>
      <c r="K10" t="s">
        <v>119</v>
      </c>
      <c r="L10" t="s">
        <v>120</v>
      </c>
      <c r="M10" s="32" t="str">
        <f>VLOOKUP(Requests[[#This Row],[Ticket ID]],[2]Requests!$A$2:$D$649,4,FALSE)</f>
        <v>4 - Low</v>
      </c>
      <c r="N10" s="38">
        <f>VLOOKUP(Requests[[#This Row],[Priority]],'SLA Config'!$B$3:$C$6,2,FALSE)</f>
        <v>25</v>
      </c>
      <c r="O10" s="38" t="str">
        <f ca="1">IF(Requests[[#This Row],[Age (days)]]&gt;Requests[[#This Row],[SLA Threshold]],"Yes","No")</f>
        <v>No</v>
      </c>
    </row>
    <row r="11" spans="1:15" ht="15.75" hidden="1" x14ac:dyDescent="0.3">
      <c r="A11" t="s">
        <v>1710</v>
      </c>
      <c r="B11" s="1">
        <v>44805</v>
      </c>
      <c r="C11" s="1">
        <v>44816</v>
      </c>
      <c r="D11" t="s">
        <v>29</v>
      </c>
      <c r="E11" t="s">
        <v>54</v>
      </c>
      <c r="F11" s="7">
        <f t="shared" ca="1" si="0"/>
        <v>8</v>
      </c>
      <c r="G11" s="16" t="s">
        <v>51</v>
      </c>
      <c r="H11" s="11" t="s">
        <v>1711</v>
      </c>
      <c r="I11" t="s">
        <v>1336</v>
      </c>
      <c r="J11" t="s">
        <v>1405</v>
      </c>
      <c r="K11" t="s">
        <v>1409</v>
      </c>
      <c r="L11" t="s">
        <v>71</v>
      </c>
      <c r="M11" s="32" t="str">
        <f>VLOOKUP(Requests[[#This Row],[Ticket ID]],[2]Requests!$A$2:$D$649,4,FALSE)</f>
        <v>4 - Low</v>
      </c>
      <c r="N11" s="38">
        <f>VLOOKUP(Requests[[#This Row],[Priority]],'SLA Config'!$B$3:$C$6,2,FALSE)</f>
        <v>25</v>
      </c>
      <c r="O11" s="38" t="str">
        <f ca="1">IF(Requests[[#This Row],[Age (days)]]&gt;Requests[[#This Row],[SLA Threshold]],"Yes","No")</f>
        <v>No</v>
      </c>
    </row>
    <row r="12" spans="1:15" ht="15.75" hidden="1" x14ac:dyDescent="0.3">
      <c r="A12" t="s">
        <v>1712</v>
      </c>
      <c r="B12" s="1">
        <v>44806</v>
      </c>
      <c r="C12" s="1">
        <v>44818</v>
      </c>
      <c r="D12" t="s">
        <v>29</v>
      </c>
      <c r="E12" t="s">
        <v>54</v>
      </c>
      <c r="F12" s="7">
        <f t="shared" ca="1" si="0"/>
        <v>9</v>
      </c>
      <c r="G12" s="16" t="s">
        <v>51</v>
      </c>
      <c r="H12" s="11" t="s">
        <v>1713</v>
      </c>
      <c r="I12" t="s">
        <v>1336</v>
      </c>
      <c r="J12" t="s">
        <v>1714</v>
      </c>
      <c r="K12" t="s">
        <v>119</v>
      </c>
      <c r="L12" t="s">
        <v>120</v>
      </c>
      <c r="M12" s="32" t="str">
        <f>VLOOKUP(Requests[[#This Row],[Ticket ID]],[2]Requests!$A$2:$D$649,4,FALSE)</f>
        <v>4 - Low</v>
      </c>
      <c r="N12" s="38">
        <f>VLOOKUP(Requests[[#This Row],[Priority]],'SLA Config'!$B$3:$C$6,2,FALSE)</f>
        <v>25</v>
      </c>
      <c r="O12" s="38" t="str">
        <f ca="1">IF(Requests[[#This Row],[Age (days)]]&gt;Requests[[#This Row],[SLA Threshold]],"Yes","No")</f>
        <v>No</v>
      </c>
    </row>
    <row r="13" spans="1:15" ht="15.75" hidden="1" x14ac:dyDescent="0.3">
      <c r="A13" t="s">
        <v>1715</v>
      </c>
      <c r="B13" s="1">
        <v>44806</v>
      </c>
      <c r="C13" s="1">
        <v>44818</v>
      </c>
      <c r="D13" t="s">
        <v>29</v>
      </c>
      <c r="E13" t="s">
        <v>54</v>
      </c>
      <c r="F13" s="7">
        <f t="shared" ca="1" si="0"/>
        <v>9</v>
      </c>
      <c r="G13" s="16" t="s">
        <v>51</v>
      </c>
      <c r="H13" s="11" t="s">
        <v>1716</v>
      </c>
      <c r="I13" t="s">
        <v>1336</v>
      </c>
      <c r="J13" t="s">
        <v>1717</v>
      </c>
      <c r="K13" t="s">
        <v>119</v>
      </c>
      <c r="L13" t="s">
        <v>120</v>
      </c>
      <c r="M13" s="32" t="str">
        <f>VLOOKUP(Requests[[#This Row],[Ticket ID]],[2]Requests!$A$2:$D$649,4,FALSE)</f>
        <v>4 - Low</v>
      </c>
      <c r="N13" s="38">
        <f>VLOOKUP(Requests[[#This Row],[Priority]],'SLA Config'!$B$3:$C$6,2,FALSE)</f>
        <v>25</v>
      </c>
      <c r="O13" s="38" t="str">
        <f ca="1">IF(Requests[[#This Row],[Age (days)]]&gt;Requests[[#This Row],[SLA Threshold]],"Yes","No")</f>
        <v>No</v>
      </c>
    </row>
    <row r="14" spans="1:15" ht="15.75" hidden="1" x14ac:dyDescent="0.3">
      <c r="A14" t="s">
        <v>1718</v>
      </c>
      <c r="B14" s="1">
        <v>44810</v>
      </c>
      <c r="C14" s="1">
        <v>44821</v>
      </c>
      <c r="D14" t="s">
        <v>29</v>
      </c>
      <c r="E14" t="s">
        <v>54</v>
      </c>
      <c r="F14" s="7">
        <f t="shared" ca="1" si="0"/>
        <v>9</v>
      </c>
      <c r="G14" s="16" t="s">
        <v>31</v>
      </c>
      <c r="H14" s="11" t="s">
        <v>1719</v>
      </c>
      <c r="I14" t="s">
        <v>589</v>
      </c>
      <c r="J14" t="s">
        <v>397</v>
      </c>
      <c r="K14" t="s">
        <v>1720</v>
      </c>
      <c r="L14" t="s">
        <v>71</v>
      </c>
      <c r="M14" s="32" t="str">
        <f>VLOOKUP(Requests[[#This Row],[Ticket ID]],[2]Requests!$A$2:$D$649,4,FALSE)</f>
        <v>4 - Low</v>
      </c>
      <c r="N14" s="38">
        <f>VLOOKUP(Requests[[#This Row],[Priority]],'SLA Config'!$B$3:$C$6,2,FALSE)</f>
        <v>25</v>
      </c>
      <c r="O14" s="38" t="str">
        <f ca="1">IF(Requests[[#This Row],[Age (days)]]&gt;Requests[[#This Row],[SLA Threshold]],"Yes","No")</f>
        <v>No</v>
      </c>
    </row>
    <row r="15" spans="1:15" ht="15.75" hidden="1" x14ac:dyDescent="0.3">
      <c r="A15" t="s">
        <v>1721</v>
      </c>
      <c r="B15" s="1">
        <v>44811</v>
      </c>
      <c r="C15" s="1">
        <v>44818</v>
      </c>
      <c r="D15" t="s">
        <v>29</v>
      </c>
      <c r="E15" t="s">
        <v>54</v>
      </c>
      <c r="F15" s="7">
        <f t="shared" ca="1" si="0"/>
        <v>6</v>
      </c>
      <c r="G15" s="16" t="s">
        <v>1493</v>
      </c>
      <c r="H15" s="11" t="s">
        <v>1722</v>
      </c>
      <c r="I15" t="s">
        <v>1336</v>
      </c>
      <c r="J15" t="s">
        <v>1405</v>
      </c>
      <c r="K15" t="s">
        <v>1723</v>
      </c>
      <c r="L15" t="s">
        <v>71</v>
      </c>
      <c r="M15" s="32" t="str">
        <f>VLOOKUP(Requests[[#This Row],[Ticket ID]],[2]Requests!$A$2:$D$649,4,FALSE)</f>
        <v>4 - Low</v>
      </c>
      <c r="N15" s="38">
        <f>VLOOKUP(Requests[[#This Row],[Priority]],'SLA Config'!$B$3:$C$6,2,FALSE)</f>
        <v>25</v>
      </c>
      <c r="O15" s="38" t="str">
        <f ca="1">IF(Requests[[#This Row],[Age (days)]]&gt;Requests[[#This Row],[SLA Threshold]],"Yes","No")</f>
        <v>No</v>
      </c>
    </row>
    <row r="16" spans="1:15" ht="15.75" hidden="1" x14ac:dyDescent="0.3">
      <c r="A16" t="s">
        <v>1724</v>
      </c>
      <c r="B16" s="1">
        <v>44812</v>
      </c>
      <c r="C16" s="1">
        <v>44823</v>
      </c>
      <c r="D16" t="s">
        <v>29</v>
      </c>
      <c r="E16" t="s">
        <v>54</v>
      </c>
      <c r="F16" s="7">
        <f t="shared" ca="1" si="0"/>
        <v>8</v>
      </c>
      <c r="G16" s="16" t="s">
        <v>51</v>
      </c>
      <c r="H16" s="11" t="s">
        <v>1725</v>
      </c>
      <c r="I16" t="s">
        <v>394</v>
      </c>
      <c r="J16" t="s">
        <v>584</v>
      </c>
      <c r="K16" t="s">
        <v>119</v>
      </c>
      <c r="L16" t="s">
        <v>120</v>
      </c>
      <c r="M16" s="32" t="str">
        <f>VLOOKUP(Requests[[#This Row],[Ticket ID]],[2]Requests!$A$2:$D$649,4,FALSE)</f>
        <v>4 - Low</v>
      </c>
      <c r="N16" s="38">
        <f>VLOOKUP(Requests[[#This Row],[Priority]],'SLA Config'!$B$3:$C$6,2,FALSE)</f>
        <v>25</v>
      </c>
      <c r="O16" s="38" t="str">
        <f ca="1">IF(Requests[[#This Row],[Age (days)]]&gt;Requests[[#This Row],[SLA Threshold]],"Yes","No")</f>
        <v>No</v>
      </c>
    </row>
    <row r="17" spans="1:15" ht="15.75" hidden="1" x14ac:dyDescent="0.3">
      <c r="A17" t="s">
        <v>1726</v>
      </c>
      <c r="B17" s="1">
        <v>44813</v>
      </c>
      <c r="C17" s="1">
        <v>44871</v>
      </c>
      <c r="D17" t="s">
        <v>29</v>
      </c>
      <c r="E17" t="s">
        <v>54</v>
      </c>
      <c r="F17" s="7">
        <f t="shared" ca="1" si="0"/>
        <v>41</v>
      </c>
      <c r="G17" s="16" t="s">
        <v>31</v>
      </c>
      <c r="H17" s="11" t="s">
        <v>1727</v>
      </c>
      <c r="I17" t="s">
        <v>394</v>
      </c>
      <c r="J17" t="s">
        <v>584</v>
      </c>
      <c r="K17" t="s">
        <v>218</v>
      </c>
      <c r="L17" t="s">
        <v>120</v>
      </c>
      <c r="M17" s="32" t="str">
        <f>VLOOKUP(Requests[[#This Row],[Ticket ID]],[2]Requests!$A$2:$D$649,4,FALSE)</f>
        <v>4 - Low</v>
      </c>
      <c r="N17" s="38">
        <f>VLOOKUP(Requests[[#This Row],[Priority]],'SLA Config'!$B$3:$C$6,2,FALSE)</f>
        <v>25</v>
      </c>
      <c r="O17" s="38" t="str">
        <f ca="1">IF(Requests[[#This Row],[Age (days)]]&gt;Requests[[#This Row],[SLA Threshold]],"Yes","No")</f>
        <v>Yes</v>
      </c>
    </row>
    <row r="18" spans="1:15" ht="15.75" hidden="1" x14ac:dyDescent="0.3">
      <c r="A18" t="s">
        <v>1728</v>
      </c>
      <c r="B18" s="1">
        <v>44813</v>
      </c>
      <c r="C18" s="1">
        <v>44836</v>
      </c>
      <c r="D18" t="s">
        <v>29</v>
      </c>
      <c r="E18" t="s">
        <v>54</v>
      </c>
      <c r="F18" s="7">
        <f t="shared" ca="1" si="0"/>
        <v>16</v>
      </c>
      <c r="G18" s="16" t="s">
        <v>31</v>
      </c>
      <c r="H18" s="11" t="s">
        <v>1729</v>
      </c>
      <c r="I18" t="s">
        <v>394</v>
      </c>
      <c r="J18" t="s">
        <v>584</v>
      </c>
      <c r="K18" t="s">
        <v>218</v>
      </c>
      <c r="L18" t="s">
        <v>120</v>
      </c>
      <c r="M18" s="32" t="str">
        <f>VLOOKUP(Requests[[#This Row],[Ticket ID]],[2]Requests!$A$2:$D$649,4,FALSE)</f>
        <v>4 - Low</v>
      </c>
      <c r="N18" s="38">
        <f>VLOOKUP(Requests[[#This Row],[Priority]],'SLA Config'!$B$3:$C$6,2,FALSE)</f>
        <v>25</v>
      </c>
      <c r="O18" s="38" t="str">
        <f ca="1">IF(Requests[[#This Row],[Age (days)]]&gt;Requests[[#This Row],[SLA Threshold]],"Yes","No")</f>
        <v>No</v>
      </c>
    </row>
    <row r="19" spans="1:15" ht="15.75" hidden="1" x14ac:dyDescent="0.3">
      <c r="A19" t="s">
        <v>1730</v>
      </c>
      <c r="B19" s="1">
        <v>44818</v>
      </c>
      <c r="C19" s="1">
        <v>44849</v>
      </c>
      <c r="D19" t="s">
        <v>29</v>
      </c>
      <c r="E19" t="s">
        <v>38</v>
      </c>
      <c r="F19" s="7">
        <f t="shared" ca="1" si="0"/>
        <v>23</v>
      </c>
      <c r="G19" s="16" t="s">
        <v>51</v>
      </c>
      <c r="H19" s="11" t="s">
        <v>1731</v>
      </c>
      <c r="I19" t="s">
        <v>1327</v>
      </c>
      <c r="J19" t="s">
        <v>1732</v>
      </c>
      <c r="K19" t="s">
        <v>44</v>
      </c>
      <c r="L19" t="s">
        <v>36</v>
      </c>
      <c r="M19" s="32" t="str">
        <f>VLOOKUP(Requests[[#This Row],[Ticket ID]],[2]Requests!$A$2:$D$649,4,FALSE)</f>
        <v>4 - Low</v>
      </c>
      <c r="N19" s="38">
        <f>VLOOKUP(Requests[[#This Row],[Priority]],'SLA Config'!$B$3:$C$6,2,FALSE)</f>
        <v>25</v>
      </c>
      <c r="O19" s="38" t="str">
        <f ca="1">IF(Requests[[#This Row],[Age (days)]]&gt;Requests[[#This Row],[SLA Threshold]],"Yes","No")</f>
        <v>No</v>
      </c>
    </row>
    <row r="20" spans="1:15" ht="15.75" hidden="1" x14ac:dyDescent="0.3">
      <c r="A20" t="s">
        <v>1733</v>
      </c>
      <c r="B20" s="1">
        <v>44819</v>
      </c>
      <c r="C20" s="1">
        <v>44840</v>
      </c>
      <c r="D20" t="s">
        <v>29</v>
      </c>
      <c r="E20" t="s">
        <v>54</v>
      </c>
      <c r="F20" s="7">
        <f t="shared" ca="1" si="0"/>
        <v>16</v>
      </c>
      <c r="G20" s="16" t="s">
        <v>51</v>
      </c>
      <c r="H20" s="11" t="s">
        <v>1725</v>
      </c>
      <c r="I20" t="s">
        <v>394</v>
      </c>
      <c r="J20" t="s">
        <v>584</v>
      </c>
      <c r="K20" t="s">
        <v>119</v>
      </c>
      <c r="L20" t="s">
        <v>120</v>
      </c>
      <c r="M20" s="32" t="str">
        <f>VLOOKUP(Requests[[#This Row],[Ticket ID]],[2]Requests!$A$2:$D$649,4,FALSE)</f>
        <v>4 - Low</v>
      </c>
      <c r="N20" s="38">
        <f>VLOOKUP(Requests[[#This Row],[Priority]],'SLA Config'!$B$3:$C$6,2,FALSE)</f>
        <v>25</v>
      </c>
      <c r="O20" s="38" t="str">
        <f ca="1">IF(Requests[[#This Row],[Age (days)]]&gt;Requests[[#This Row],[SLA Threshold]],"Yes","No")</f>
        <v>No</v>
      </c>
    </row>
    <row r="21" spans="1:15" ht="15.75" hidden="1" x14ac:dyDescent="0.3">
      <c r="A21" t="s">
        <v>1734</v>
      </c>
      <c r="B21" s="1">
        <v>44832</v>
      </c>
      <c r="C21" s="1">
        <v>44852</v>
      </c>
      <c r="D21" t="s">
        <v>29</v>
      </c>
      <c r="E21" t="s">
        <v>54</v>
      </c>
      <c r="F21" s="7">
        <f t="shared" ca="1" si="0"/>
        <v>15</v>
      </c>
      <c r="G21" t="s">
        <v>31</v>
      </c>
      <c r="H21" s="11" t="s">
        <v>1735</v>
      </c>
      <c r="I21" t="s">
        <v>1321</v>
      </c>
      <c r="J21" t="s">
        <v>1690</v>
      </c>
      <c r="K21" t="s">
        <v>201</v>
      </c>
      <c r="L21" t="s">
        <v>120</v>
      </c>
      <c r="M21" s="32" t="str">
        <f>VLOOKUP(Requests[[#This Row],[Ticket ID]],[2]Requests!$A$2:$D$649,4,FALSE)</f>
        <v>4 - Low</v>
      </c>
      <c r="N21" s="38">
        <f>VLOOKUP(Requests[[#This Row],[Priority]],'SLA Config'!$B$3:$C$6,2,FALSE)</f>
        <v>25</v>
      </c>
      <c r="O21" s="38" t="str">
        <f ca="1">IF(Requests[[#This Row],[Age (days)]]&gt;Requests[[#This Row],[SLA Threshold]],"Yes","No")</f>
        <v>No</v>
      </c>
    </row>
    <row r="22" spans="1:15" ht="15.75" hidden="1" x14ac:dyDescent="0.3">
      <c r="A22" t="s">
        <v>1736</v>
      </c>
      <c r="B22" s="1">
        <v>44833</v>
      </c>
      <c r="C22" s="1">
        <v>44840</v>
      </c>
      <c r="D22" t="s">
        <v>29</v>
      </c>
      <c r="E22" t="s">
        <v>54</v>
      </c>
      <c r="F22" s="7">
        <f t="shared" ca="1" si="0"/>
        <v>6</v>
      </c>
      <c r="G22" s="16" t="s">
        <v>31</v>
      </c>
      <c r="H22" s="11" t="s">
        <v>1737</v>
      </c>
      <c r="I22" t="s">
        <v>1336</v>
      </c>
      <c r="J22" t="s">
        <v>1405</v>
      </c>
      <c r="K22" t="s">
        <v>1738</v>
      </c>
      <c r="L22" t="s">
        <v>71</v>
      </c>
      <c r="M22" s="32" t="str">
        <f>VLOOKUP(Requests[[#This Row],[Ticket ID]],[2]Requests!$A$2:$D$649,4,FALSE)</f>
        <v>4 - Low</v>
      </c>
      <c r="N22" s="38">
        <f>VLOOKUP(Requests[[#This Row],[Priority]],'SLA Config'!$B$3:$C$6,2,FALSE)</f>
        <v>25</v>
      </c>
      <c r="O22" s="38" t="str">
        <f ca="1">IF(Requests[[#This Row],[Age (days)]]&gt;Requests[[#This Row],[SLA Threshold]],"Yes","No")</f>
        <v>No</v>
      </c>
    </row>
    <row r="23" spans="1:15" ht="15.75" hidden="1" x14ac:dyDescent="0.3">
      <c r="A23" t="s">
        <v>1739</v>
      </c>
      <c r="B23" s="1">
        <v>44833</v>
      </c>
      <c r="C23" s="1">
        <v>44852</v>
      </c>
      <c r="D23" t="s">
        <v>29</v>
      </c>
      <c r="E23" t="s">
        <v>54</v>
      </c>
      <c r="F23" s="7">
        <f t="shared" ca="1" si="0"/>
        <v>14</v>
      </c>
      <c r="G23" t="s">
        <v>31</v>
      </c>
      <c r="H23" s="11" t="s">
        <v>1735</v>
      </c>
      <c r="I23" t="s">
        <v>1321</v>
      </c>
      <c r="J23" t="s">
        <v>1690</v>
      </c>
      <c r="K23" t="s">
        <v>201</v>
      </c>
      <c r="L23" t="s">
        <v>120</v>
      </c>
      <c r="M23" s="32" t="str">
        <f>VLOOKUP(Requests[[#This Row],[Ticket ID]],[2]Requests!$A$2:$D$649,4,FALSE)</f>
        <v>4 - Low</v>
      </c>
      <c r="N23" s="38">
        <f>VLOOKUP(Requests[[#This Row],[Priority]],'SLA Config'!$B$3:$C$6,2,FALSE)</f>
        <v>25</v>
      </c>
      <c r="O23" s="38" t="str">
        <f ca="1">IF(Requests[[#This Row],[Age (days)]]&gt;Requests[[#This Row],[SLA Threshold]],"Yes","No")</f>
        <v>No</v>
      </c>
    </row>
    <row r="24" spans="1:15" ht="15.75" hidden="1" x14ac:dyDescent="0.3">
      <c r="A24" t="s">
        <v>1740</v>
      </c>
      <c r="B24" s="1">
        <v>44833</v>
      </c>
      <c r="C24" s="1">
        <v>44852</v>
      </c>
      <c r="D24" t="s">
        <v>29</v>
      </c>
      <c r="E24" t="s">
        <v>54</v>
      </c>
      <c r="F24" s="7">
        <f t="shared" ca="1" si="0"/>
        <v>14</v>
      </c>
      <c r="G24" t="s">
        <v>31</v>
      </c>
      <c r="H24" s="11" t="s">
        <v>1735</v>
      </c>
      <c r="I24" t="s">
        <v>1321</v>
      </c>
      <c r="J24" t="s">
        <v>1690</v>
      </c>
      <c r="K24" t="s">
        <v>201</v>
      </c>
      <c r="L24" t="s">
        <v>120</v>
      </c>
      <c r="M24" s="32" t="str">
        <f>VLOOKUP(Requests[[#This Row],[Ticket ID]],[2]Requests!$A$2:$D$649,4,FALSE)</f>
        <v>4 - Low</v>
      </c>
      <c r="N24" s="38">
        <f>VLOOKUP(Requests[[#This Row],[Priority]],'SLA Config'!$B$3:$C$6,2,FALSE)</f>
        <v>25</v>
      </c>
      <c r="O24" s="38" t="str">
        <f ca="1">IF(Requests[[#This Row],[Age (days)]]&gt;Requests[[#This Row],[SLA Threshold]],"Yes","No")</f>
        <v>No</v>
      </c>
    </row>
    <row r="25" spans="1:15" ht="15.75" hidden="1" x14ac:dyDescent="0.3">
      <c r="A25" t="s">
        <v>1741</v>
      </c>
      <c r="B25" s="1">
        <v>44834</v>
      </c>
      <c r="C25" s="1">
        <v>44863</v>
      </c>
      <c r="D25" t="s">
        <v>29</v>
      </c>
      <c r="E25" t="s">
        <v>54</v>
      </c>
      <c r="F25" s="7">
        <f t="shared" ca="1" si="0"/>
        <v>21</v>
      </c>
      <c r="G25" s="16" t="s">
        <v>31</v>
      </c>
      <c r="H25" s="11" t="s">
        <v>1742</v>
      </c>
      <c r="I25" t="s">
        <v>1321</v>
      </c>
      <c r="J25" t="s">
        <v>1743</v>
      </c>
      <c r="K25" t="s">
        <v>201</v>
      </c>
      <c r="L25" t="s">
        <v>120</v>
      </c>
      <c r="M25" s="32" t="str">
        <f>VLOOKUP(Requests[[#This Row],[Ticket ID]],[2]Requests!$A$2:$D$649,4,FALSE)</f>
        <v>4 - Low</v>
      </c>
      <c r="N25" s="38">
        <f>VLOOKUP(Requests[[#This Row],[Priority]],'SLA Config'!$B$3:$C$6,2,FALSE)</f>
        <v>25</v>
      </c>
      <c r="O25" s="38" t="str">
        <f ca="1">IF(Requests[[#This Row],[Age (days)]]&gt;Requests[[#This Row],[SLA Threshold]],"Yes","No")</f>
        <v>No</v>
      </c>
    </row>
    <row r="26" spans="1:15" ht="15.75" hidden="1" x14ac:dyDescent="0.3">
      <c r="A26" t="s">
        <v>1744</v>
      </c>
      <c r="B26" s="1">
        <v>44838</v>
      </c>
      <c r="C26" s="1">
        <v>44853</v>
      </c>
      <c r="D26" t="s">
        <v>29</v>
      </c>
      <c r="E26" t="s">
        <v>54</v>
      </c>
      <c r="F26" s="7">
        <f t="shared" ca="1" si="0"/>
        <v>12</v>
      </c>
      <c r="G26" t="s">
        <v>51</v>
      </c>
      <c r="H26" s="11" t="s">
        <v>1745</v>
      </c>
      <c r="I26" t="s">
        <v>394</v>
      </c>
      <c r="J26" t="s">
        <v>584</v>
      </c>
      <c r="K26" t="s">
        <v>119</v>
      </c>
      <c r="L26" t="s">
        <v>120</v>
      </c>
      <c r="M26" s="32" t="str">
        <f>VLOOKUP(Requests[[#This Row],[Ticket ID]],[2]Requests!$A$2:$D$649,4,FALSE)</f>
        <v>4 - Low</v>
      </c>
      <c r="N26" s="38">
        <f>VLOOKUP(Requests[[#This Row],[Priority]],'SLA Config'!$B$3:$C$6,2,FALSE)</f>
        <v>25</v>
      </c>
      <c r="O26" s="38" t="str">
        <f ca="1">IF(Requests[[#This Row],[Age (days)]]&gt;Requests[[#This Row],[SLA Threshold]],"Yes","No")</f>
        <v>No</v>
      </c>
    </row>
    <row r="27" spans="1:15" ht="15.75" hidden="1" x14ac:dyDescent="0.3">
      <c r="A27" t="s">
        <v>1746</v>
      </c>
      <c r="B27" s="1">
        <v>44845</v>
      </c>
      <c r="C27" s="1">
        <v>44856</v>
      </c>
      <c r="D27" t="s">
        <v>29</v>
      </c>
      <c r="E27" t="s">
        <v>104</v>
      </c>
      <c r="F27" s="7">
        <f t="shared" ca="1" si="0"/>
        <v>9</v>
      </c>
      <c r="G27" t="s">
        <v>31</v>
      </c>
      <c r="H27" s="11" t="s">
        <v>1725</v>
      </c>
      <c r="I27" t="s">
        <v>394</v>
      </c>
      <c r="J27" t="s">
        <v>1747</v>
      </c>
      <c r="K27" t="s">
        <v>201</v>
      </c>
      <c r="L27" t="s">
        <v>120</v>
      </c>
      <c r="M27" s="32" t="str">
        <f>VLOOKUP(Requests[[#This Row],[Ticket ID]],[2]Requests!$A$2:$D$649,4,FALSE)</f>
        <v>4 - Low</v>
      </c>
      <c r="N27" s="38">
        <f>VLOOKUP(Requests[[#This Row],[Priority]],'SLA Config'!$B$3:$C$6,2,FALSE)</f>
        <v>25</v>
      </c>
      <c r="O27" s="38" t="str">
        <f ca="1">IF(Requests[[#This Row],[Age (days)]]&gt;Requests[[#This Row],[SLA Threshold]],"Yes","No")</f>
        <v>No</v>
      </c>
    </row>
    <row r="28" spans="1:15" hidden="1" x14ac:dyDescent="0.25">
      <c r="A28" t="s">
        <v>1748</v>
      </c>
      <c r="B28" s="1">
        <v>44845</v>
      </c>
      <c r="C28" s="1">
        <v>44858</v>
      </c>
      <c r="D28" t="s">
        <v>29</v>
      </c>
      <c r="E28" t="s">
        <v>54</v>
      </c>
      <c r="F28" s="7">
        <f t="shared" ca="1" si="0"/>
        <v>10</v>
      </c>
      <c r="G28" t="s">
        <v>51</v>
      </c>
      <c r="H28" s="11" t="s">
        <v>1735</v>
      </c>
      <c r="I28" t="s">
        <v>1321</v>
      </c>
      <c r="J28" t="s">
        <v>1690</v>
      </c>
      <c r="K28" t="s">
        <v>201</v>
      </c>
      <c r="L28" t="s">
        <v>120</v>
      </c>
      <c r="M28" t="str">
        <f>VLOOKUP(Requests[[#This Row],[Ticket ID]],[2]Requests!$A$2:$D$649,4,FALSE)</f>
        <v>4 - Low</v>
      </c>
      <c r="N28">
        <f>VLOOKUP(Requests[[#This Row],[Priority]],'SLA Config'!$B$3:$C$6,2,FALSE)</f>
        <v>25</v>
      </c>
      <c r="O28" t="str">
        <f ca="1">IF(Requests[[#This Row],[Age (days)]]&gt;Requests[[#This Row],[SLA Threshold]],"Yes","No")</f>
        <v>No</v>
      </c>
    </row>
    <row r="29" spans="1:15" hidden="1" x14ac:dyDescent="0.25">
      <c r="A29" t="s">
        <v>1749</v>
      </c>
      <c r="B29" s="1">
        <v>44848</v>
      </c>
      <c r="C29" s="1">
        <v>44879</v>
      </c>
      <c r="D29" t="s">
        <v>29</v>
      </c>
      <c r="E29" t="s">
        <v>54</v>
      </c>
      <c r="F29" s="7">
        <f t="shared" ca="1" si="0"/>
        <v>22</v>
      </c>
      <c r="G29" t="s">
        <v>51</v>
      </c>
      <c r="H29" s="11" t="s">
        <v>1750</v>
      </c>
      <c r="I29" t="s">
        <v>394</v>
      </c>
      <c r="J29" t="s">
        <v>584</v>
      </c>
      <c r="K29" t="s">
        <v>119</v>
      </c>
      <c r="L29" t="s">
        <v>120</v>
      </c>
      <c r="M29" t="str">
        <f>VLOOKUP(Requests[[#This Row],[Ticket ID]],[2]Requests!$A$2:$D$649,4,FALSE)</f>
        <v>4 - Low</v>
      </c>
      <c r="N29">
        <f>VLOOKUP(Requests[[#This Row],[Priority]],'SLA Config'!$B$3:$C$6,2,FALSE)</f>
        <v>25</v>
      </c>
      <c r="O29" t="str">
        <f ca="1">IF(Requests[[#This Row],[Age (days)]]&gt;Requests[[#This Row],[SLA Threshold]],"Yes","No")</f>
        <v>No</v>
      </c>
    </row>
    <row r="30" spans="1:15" hidden="1" x14ac:dyDescent="0.25">
      <c r="A30" t="s">
        <v>1751</v>
      </c>
      <c r="B30" s="1">
        <v>44852</v>
      </c>
      <c r="C30" s="1">
        <v>44860</v>
      </c>
      <c r="D30" t="s">
        <v>29</v>
      </c>
      <c r="E30" t="s">
        <v>54</v>
      </c>
      <c r="F30" s="7">
        <f t="shared" ca="1" si="0"/>
        <v>7</v>
      </c>
      <c r="G30" t="s">
        <v>31</v>
      </c>
      <c r="H30" s="11" t="s">
        <v>1752</v>
      </c>
      <c r="I30" t="s">
        <v>1336</v>
      </c>
      <c r="J30" t="s">
        <v>1405</v>
      </c>
      <c r="K30" t="s">
        <v>1753</v>
      </c>
      <c r="L30" t="s">
        <v>120</v>
      </c>
      <c r="M30" t="str">
        <f>VLOOKUP(Requests[[#This Row],[Ticket ID]],[2]Requests!$A$2:$D$649,4,FALSE)</f>
        <v>4 - Low</v>
      </c>
      <c r="N30">
        <f>VLOOKUP(Requests[[#This Row],[Priority]],'SLA Config'!$B$3:$C$6,2,FALSE)</f>
        <v>25</v>
      </c>
      <c r="O30" t="str">
        <f ca="1">IF(Requests[[#This Row],[Age (days)]]&gt;Requests[[#This Row],[SLA Threshold]],"Yes","No")</f>
        <v>No</v>
      </c>
    </row>
    <row r="31" spans="1:15" hidden="1" x14ac:dyDescent="0.25">
      <c r="A31" t="s">
        <v>1754</v>
      </c>
      <c r="B31" s="1">
        <v>44861</v>
      </c>
      <c r="C31" s="1">
        <v>44888</v>
      </c>
      <c r="D31" t="s">
        <v>29</v>
      </c>
      <c r="E31" t="s">
        <v>54</v>
      </c>
      <c r="F31" s="7">
        <f t="shared" ca="1" si="0"/>
        <v>20</v>
      </c>
      <c r="G31" t="s">
        <v>31</v>
      </c>
      <c r="H31" s="11" t="s">
        <v>1755</v>
      </c>
      <c r="I31" t="s">
        <v>1321</v>
      </c>
      <c r="J31" t="s">
        <v>1690</v>
      </c>
      <c r="K31" t="s">
        <v>201</v>
      </c>
      <c r="L31" t="s">
        <v>120</v>
      </c>
      <c r="M31" t="str">
        <f>VLOOKUP(Requests[[#This Row],[Ticket ID]],[2]Requests!$A$2:$D$649,4,FALSE)</f>
        <v>4 - Low</v>
      </c>
      <c r="N31">
        <f>VLOOKUP(Requests[[#This Row],[Priority]],'SLA Config'!$B$3:$C$6,2,FALSE)</f>
        <v>25</v>
      </c>
      <c r="O31" t="str">
        <f ca="1">IF(Requests[[#This Row],[Age (days)]]&gt;Requests[[#This Row],[SLA Threshold]],"Yes","No")</f>
        <v>No</v>
      </c>
    </row>
    <row r="32" spans="1:15" hidden="1" x14ac:dyDescent="0.25">
      <c r="A32" t="s">
        <v>1756</v>
      </c>
      <c r="B32" s="1">
        <v>44865</v>
      </c>
      <c r="C32" s="1">
        <v>44879</v>
      </c>
      <c r="D32" t="s">
        <v>29</v>
      </c>
      <c r="E32" t="s">
        <v>54</v>
      </c>
      <c r="F32" s="7">
        <f t="shared" ca="1" si="0"/>
        <v>11</v>
      </c>
      <c r="G32" t="s">
        <v>31</v>
      </c>
      <c r="H32" s="11" t="s">
        <v>1757</v>
      </c>
      <c r="I32" t="s">
        <v>1336</v>
      </c>
      <c r="J32" t="s">
        <v>1405</v>
      </c>
      <c r="K32" t="s">
        <v>1758</v>
      </c>
      <c r="L32" t="s">
        <v>120</v>
      </c>
      <c r="M32" t="str">
        <f>VLOOKUP(Requests[[#This Row],[Ticket ID]],[2]Requests!$A$2:$D$649,4,FALSE)</f>
        <v>4 - Low</v>
      </c>
      <c r="N32">
        <f>VLOOKUP(Requests[[#This Row],[Priority]],'SLA Config'!$B$3:$C$6,2,FALSE)</f>
        <v>25</v>
      </c>
      <c r="O32" t="str">
        <f ca="1">IF(Requests[[#This Row],[Age (days)]]&gt;Requests[[#This Row],[SLA Threshold]],"Yes","No")</f>
        <v>No</v>
      </c>
    </row>
    <row r="33" spans="1:15" hidden="1" x14ac:dyDescent="0.25">
      <c r="A33" t="s">
        <v>1759</v>
      </c>
      <c r="B33" s="1">
        <v>44867</v>
      </c>
      <c r="C33" s="1">
        <v>44874</v>
      </c>
      <c r="D33" t="s">
        <v>29</v>
      </c>
      <c r="E33" t="s">
        <v>54</v>
      </c>
      <c r="F33" s="7">
        <f t="shared" ca="1" si="0"/>
        <v>6</v>
      </c>
      <c r="G33" t="s">
        <v>51</v>
      </c>
      <c r="H33" s="11" t="s">
        <v>1760</v>
      </c>
      <c r="I33" t="s">
        <v>1327</v>
      </c>
      <c r="J33" t="s">
        <v>40</v>
      </c>
      <c r="K33" t="s">
        <v>44</v>
      </c>
      <c r="L33" t="s">
        <v>71</v>
      </c>
      <c r="M33" t="str">
        <f>VLOOKUP(Requests[[#This Row],[Ticket ID]],[2]Requests!$A$2:$D$649,4,FALSE)</f>
        <v>4 - Low</v>
      </c>
      <c r="N33">
        <f>VLOOKUP(Requests[[#This Row],[Priority]],'SLA Config'!$B$3:$C$6,2,FALSE)</f>
        <v>25</v>
      </c>
      <c r="O33" t="str">
        <f ca="1">IF(Requests[[#This Row],[Age (days)]]&gt;Requests[[#This Row],[SLA Threshold]],"Yes","No")</f>
        <v>No</v>
      </c>
    </row>
    <row r="34" spans="1:15" hidden="1" x14ac:dyDescent="0.25">
      <c r="A34" t="s">
        <v>1761</v>
      </c>
      <c r="B34" s="1">
        <v>44869</v>
      </c>
      <c r="C34" s="1">
        <v>44885</v>
      </c>
      <c r="D34" t="s">
        <v>29</v>
      </c>
      <c r="E34" t="s">
        <v>54</v>
      </c>
      <c r="F34" s="7">
        <f t="shared" ca="1" si="0"/>
        <v>11</v>
      </c>
      <c r="G34" t="s">
        <v>31</v>
      </c>
      <c r="H34" s="11" t="s">
        <v>1762</v>
      </c>
      <c r="I34" t="s">
        <v>1336</v>
      </c>
      <c r="J34" t="s">
        <v>1405</v>
      </c>
      <c r="K34" t="s">
        <v>215</v>
      </c>
      <c r="L34" t="s">
        <v>120</v>
      </c>
      <c r="M34" t="str">
        <f>VLOOKUP(Requests[[#This Row],[Ticket ID]],[2]Requests!$A$2:$D$649,4,FALSE)</f>
        <v>4 - Low</v>
      </c>
      <c r="N34">
        <f>VLOOKUP(Requests[[#This Row],[Priority]],'SLA Config'!$B$3:$C$6,2,FALSE)</f>
        <v>25</v>
      </c>
      <c r="O34" t="str">
        <f ca="1">IF(Requests[[#This Row],[Age (days)]]&gt;Requests[[#This Row],[SLA Threshold]],"Yes","No")</f>
        <v>No</v>
      </c>
    </row>
    <row r="35" spans="1:15" hidden="1" x14ac:dyDescent="0.25">
      <c r="A35" t="s">
        <v>1763</v>
      </c>
      <c r="B35" s="1">
        <v>44883</v>
      </c>
      <c r="C35" s="1">
        <v>44898</v>
      </c>
      <c r="D35" t="s">
        <v>29</v>
      </c>
      <c r="E35" t="s">
        <v>54</v>
      </c>
      <c r="F35" s="7">
        <f t="shared" ca="1" si="0"/>
        <v>11</v>
      </c>
      <c r="G35" t="s">
        <v>51</v>
      </c>
      <c r="H35" s="11" t="s">
        <v>1764</v>
      </c>
      <c r="I35" t="s">
        <v>1336</v>
      </c>
      <c r="J35" t="s">
        <v>1405</v>
      </c>
      <c r="K35" t="s">
        <v>503</v>
      </c>
      <c r="L35" t="s">
        <v>71</v>
      </c>
      <c r="M35" t="str">
        <f>VLOOKUP(Requests[[#This Row],[Ticket ID]],[2]Requests!$A$2:$D$649,4,FALSE)</f>
        <v>4 - Low</v>
      </c>
      <c r="N35">
        <f>VLOOKUP(Requests[[#This Row],[Priority]],'SLA Config'!$B$3:$C$6,2,FALSE)</f>
        <v>25</v>
      </c>
      <c r="O35" t="str">
        <f ca="1">IF(Requests[[#This Row],[Age (days)]]&gt;Requests[[#This Row],[SLA Threshold]],"Yes","No")</f>
        <v>No</v>
      </c>
    </row>
    <row r="36" spans="1:15" hidden="1" x14ac:dyDescent="0.25">
      <c r="A36" t="s">
        <v>1765</v>
      </c>
      <c r="B36" s="1">
        <v>44883</v>
      </c>
      <c r="C36" s="1">
        <v>44902</v>
      </c>
      <c r="D36" t="s">
        <v>29</v>
      </c>
      <c r="E36" t="s">
        <v>54</v>
      </c>
      <c r="F36" s="7">
        <f t="shared" ca="1" si="0"/>
        <v>14</v>
      </c>
      <c r="G36" t="s">
        <v>51</v>
      </c>
      <c r="H36" s="11" t="s">
        <v>1766</v>
      </c>
      <c r="I36" t="s">
        <v>394</v>
      </c>
      <c r="J36" t="s">
        <v>584</v>
      </c>
      <c r="K36" t="s">
        <v>119</v>
      </c>
      <c r="L36" t="s">
        <v>120</v>
      </c>
      <c r="M36" t="str">
        <f>VLOOKUP(Requests[[#This Row],[Ticket ID]],[2]Requests!$A$2:$D$649,4,FALSE)</f>
        <v>4 - Low</v>
      </c>
      <c r="N36">
        <f>VLOOKUP(Requests[[#This Row],[Priority]],'SLA Config'!$B$3:$C$6,2,FALSE)</f>
        <v>25</v>
      </c>
      <c r="O36" t="str">
        <f ca="1">IF(Requests[[#This Row],[Age (days)]]&gt;Requests[[#This Row],[SLA Threshold]],"Yes","No")</f>
        <v>No</v>
      </c>
    </row>
    <row r="37" spans="1:15" hidden="1" x14ac:dyDescent="0.25">
      <c r="A37" t="s">
        <v>1767</v>
      </c>
      <c r="B37" s="1">
        <v>44883</v>
      </c>
      <c r="C37" s="1">
        <v>44902</v>
      </c>
      <c r="D37" t="s">
        <v>29</v>
      </c>
      <c r="E37" t="s">
        <v>54</v>
      </c>
      <c r="F37" s="7">
        <f t="shared" ca="1" si="0"/>
        <v>14</v>
      </c>
      <c r="G37" t="s">
        <v>51</v>
      </c>
      <c r="H37" s="11" t="s">
        <v>1768</v>
      </c>
      <c r="I37" t="s">
        <v>394</v>
      </c>
      <c r="J37" t="s">
        <v>584</v>
      </c>
      <c r="K37" t="s">
        <v>119</v>
      </c>
      <c r="L37" t="s">
        <v>120</v>
      </c>
      <c r="M37" t="str">
        <f>VLOOKUP(Requests[[#This Row],[Ticket ID]],[2]Requests!$A$2:$D$649,4,FALSE)</f>
        <v>4 - Low</v>
      </c>
      <c r="N37">
        <f>VLOOKUP(Requests[[#This Row],[Priority]],'SLA Config'!$B$3:$C$6,2,FALSE)</f>
        <v>25</v>
      </c>
      <c r="O37" t="str">
        <f ca="1">IF(Requests[[#This Row],[Age (days)]]&gt;Requests[[#This Row],[SLA Threshold]],"Yes","No")</f>
        <v>No</v>
      </c>
    </row>
    <row r="38" spans="1:15" hidden="1" x14ac:dyDescent="0.25">
      <c r="A38" t="s">
        <v>1769</v>
      </c>
      <c r="B38" s="1">
        <v>44888</v>
      </c>
      <c r="C38" s="1">
        <v>45080</v>
      </c>
      <c r="D38" t="s">
        <v>29</v>
      </c>
      <c r="E38" t="s">
        <v>54</v>
      </c>
      <c r="F38" s="7">
        <f t="shared" ca="1" si="0"/>
        <v>138</v>
      </c>
      <c r="G38" t="s">
        <v>31</v>
      </c>
      <c r="H38" s="11" t="s">
        <v>1770</v>
      </c>
      <c r="I38" t="s">
        <v>394</v>
      </c>
      <c r="J38" t="s">
        <v>584</v>
      </c>
      <c r="K38" t="s">
        <v>201</v>
      </c>
      <c r="L38" t="s">
        <v>120</v>
      </c>
      <c r="M38" t="str">
        <f>VLOOKUP(Requests[[#This Row],[Ticket ID]],[2]Requests!$A$2:$D$649,4,FALSE)</f>
        <v>3 - Medium</v>
      </c>
      <c r="N38">
        <f>VLOOKUP(Requests[[#This Row],[Priority]],'SLA Config'!$B$3:$C$6,2,FALSE)</f>
        <v>15</v>
      </c>
      <c r="O38" t="str">
        <f ca="1">IF(Requests[[#This Row],[Age (days)]]&gt;Requests[[#This Row],[SLA Threshold]],"Yes","No")</f>
        <v>Yes</v>
      </c>
    </row>
    <row r="39" spans="1:15" hidden="1" x14ac:dyDescent="0.25">
      <c r="A39" t="s">
        <v>1771</v>
      </c>
      <c r="B39" s="1">
        <v>44894</v>
      </c>
      <c r="C39" s="1">
        <v>45298</v>
      </c>
      <c r="D39" t="s">
        <v>29</v>
      </c>
      <c r="E39" t="s">
        <v>104</v>
      </c>
      <c r="F39" s="7">
        <f t="shared" ca="1" si="0"/>
        <v>289</v>
      </c>
      <c r="G39" t="s">
        <v>31</v>
      </c>
      <c r="H39" s="11" t="s">
        <v>1772</v>
      </c>
      <c r="I39" t="s">
        <v>394</v>
      </c>
      <c r="J39" t="s">
        <v>40</v>
      </c>
      <c r="K39" t="s">
        <v>201</v>
      </c>
      <c r="L39" t="s">
        <v>120</v>
      </c>
      <c r="M39" t="str">
        <f>VLOOKUP(Requests[[#This Row],[Ticket ID]],[2]Requests!$A$2:$D$649,4,FALSE)</f>
        <v>3 - Medium</v>
      </c>
      <c r="N39">
        <f>VLOOKUP(Requests[[#This Row],[Priority]],'SLA Config'!$B$3:$C$6,2,FALSE)</f>
        <v>15</v>
      </c>
      <c r="O39" t="str">
        <f ca="1">IF(Requests[[#This Row],[Age (days)]]&gt;Requests[[#This Row],[SLA Threshold]],"Yes","No")</f>
        <v>Yes</v>
      </c>
    </row>
    <row r="40" spans="1:15" hidden="1" x14ac:dyDescent="0.25">
      <c r="A40" t="s">
        <v>1773</v>
      </c>
      <c r="B40" s="1">
        <v>44894</v>
      </c>
      <c r="C40" s="1">
        <v>44928</v>
      </c>
      <c r="D40" t="s">
        <v>29</v>
      </c>
      <c r="E40" t="s">
        <v>54</v>
      </c>
      <c r="F40" s="7">
        <f t="shared" ca="1" si="0"/>
        <v>25</v>
      </c>
      <c r="G40" t="s">
        <v>51</v>
      </c>
      <c r="H40" s="11" t="s">
        <v>1774</v>
      </c>
      <c r="I40" t="s">
        <v>394</v>
      </c>
      <c r="J40" t="s">
        <v>584</v>
      </c>
      <c r="K40" t="s">
        <v>119</v>
      </c>
      <c r="L40" t="s">
        <v>120</v>
      </c>
      <c r="M40" t="str">
        <f>VLOOKUP(Requests[[#This Row],[Ticket ID]],[2]Requests!$A$2:$D$649,4,FALSE)</f>
        <v>4 - Low</v>
      </c>
      <c r="N40">
        <f>VLOOKUP(Requests[[#This Row],[Priority]],'SLA Config'!$B$3:$C$6,2,FALSE)</f>
        <v>25</v>
      </c>
      <c r="O40" t="str">
        <f ca="1">IF(Requests[[#This Row],[Age (days)]]&gt;Requests[[#This Row],[SLA Threshold]],"Yes","No")</f>
        <v>No</v>
      </c>
    </row>
    <row r="41" spans="1:15" hidden="1" x14ac:dyDescent="0.25">
      <c r="A41" t="s">
        <v>1775</v>
      </c>
      <c r="B41" s="1">
        <v>44894</v>
      </c>
      <c r="C41" s="1">
        <v>44909</v>
      </c>
      <c r="D41" t="s">
        <v>29</v>
      </c>
      <c r="E41" t="s">
        <v>54</v>
      </c>
      <c r="F41" s="7">
        <f t="shared" ca="1" si="0"/>
        <v>12</v>
      </c>
      <c r="G41" t="s">
        <v>31</v>
      </c>
      <c r="H41" s="11" t="s">
        <v>1776</v>
      </c>
      <c r="I41" t="s">
        <v>1336</v>
      </c>
      <c r="J41" t="s">
        <v>1405</v>
      </c>
      <c r="K41" t="s">
        <v>1758</v>
      </c>
      <c r="L41" t="s">
        <v>120</v>
      </c>
      <c r="M41" t="str">
        <f>VLOOKUP(Requests[[#This Row],[Ticket ID]],[2]Requests!$A$2:$D$649,4,FALSE)</f>
        <v>4 - Low</v>
      </c>
      <c r="N41">
        <f>VLOOKUP(Requests[[#This Row],[Priority]],'SLA Config'!$B$3:$C$6,2,FALSE)</f>
        <v>25</v>
      </c>
      <c r="O41" t="str">
        <f ca="1">IF(Requests[[#This Row],[Age (days)]]&gt;Requests[[#This Row],[SLA Threshold]],"Yes","No")</f>
        <v>No</v>
      </c>
    </row>
    <row r="42" spans="1:15" hidden="1" x14ac:dyDescent="0.25">
      <c r="A42" t="s">
        <v>1777</v>
      </c>
      <c r="B42" s="1">
        <v>44903</v>
      </c>
      <c r="C42" s="1">
        <v>44940</v>
      </c>
      <c r="D42" t="s">
        <v>29</v>
      </c>
      <c r="E42" t="s">
        <v>54</v>
      </c>
      <c r="F42" s="7">
        <f t="shared" ca="1" si="0"/>
        <v>27</v>
      </c>
      <c r="G42" t="s">
        <v>51</v>
      </c>
      <c r="H42" s="11" t="s">
        <v>1778</v>
      </c>
      <c r="I42" t="s">
        <v>1336</v>
      </c>
      <c r="J42" t="s">
        <v>1705</v>
      </c>
      <c r="K42" t="s">
        <v>119</v>
      </c>
      <c r="L42" t="s">
        <v>120</v>
      </c>
      <c r="M42" t="str">
        <f>VLOOKUP(Requests[[#This Row],[Ticket ID]],[2]Requests!$A$2:$D$649,4,FALSE)</f>
        <v>4 - Low</v>
      </c>
      <c r="N42">
        <f>VLOOKUP(Requests[[#This Row],[Priority]],'SLA Config'!$B$3:$C$6,2,FALSE)</f>
        <v>25</v>
      </c>
      <c r="O42" t="str">
        <f ca="1">IF(Requests[[#This Row],[Age (days)]]&gt;Requests[[#This Row],[SLA Threshold]],"Yes","No")</f>
        <v>Yes</v>
      </c>
    </row>
    <row r="43" spans="1:15" hidden="1" x14ac:dyDescent="0.25">
      <c r="A43" t="s">
        <v>1779</v>
      </c>
      <c r="B43" s="1">
        <v>44904</v>
      </c>
      <c r="C43" s="1">
        <v>44912</v>
      </c>
      <c r="D43" t="s">
        <v>29</v>
      </c>
      <c r="E43" t="s">
        <v>54</v>
      </c>
      <c r="F43" s="7">
        <f t="shared" ca="1" si="0"/>
        <v>6</v>
      </c>
      <c r="G43" t="s">
        <v>31</v>
      </c>
      <c r="H43" s="11" t="s">
        <v>1780</v>
      </c>
      <c r="I43" t="s">
        <v>1336</v>
      </c>
      <c r="J43" t="s">
        <v>1405</v>
      </c>
      <c r="K43" t="s">
        <v>218</v>
      </c>
      <c r="L43" t="s">
        <v>120</v>
      </c>
      <c r="M43" t="str">
        <f>VLOOKUP(Requests[[#This Row],[Ticket ID]],[2]Requests!$A$2:$D$649,4,FALSE)</f>
        <v>4 - Low</v>
      </c>
      <c r="N43">
        <f>VLOOKUP(Requests[[#This Row],[Priority]],'SLA Config'!$B$3:$C$6,2,FALSE)</f>
        <v>25</v>
      </c>
      <c r="O43" t="str">
        <f ca="1">IF(Requests[[#This Row],[Age (days)]]&gt;Requests[[#This Row],[SLA Threshold]],"Yes","No")</f>
        <v>No</v>
      </c>
    </row>
    <row r="44" spans="1:15" hidden="1" x14ac:dyDescent="0.25">
      <c r="A44" t="s">
        <v>1781</v>
      </c>
      <c r="B44" s="1">
        <v>44904</v>
      </c>
      <c r="C44" s="1">
        <v>44949</v>
      </c>
      <c r="D44" t="s">
        <v>29</v>
      </c>
      <c r="E44" t="s">
        <v>54</v>
      </c>
      <c r="F44" s="7">
        <f t="shared" ca="1" si="0"/>
        <v>32</v>
      </c>
      <c r="G44" t="s">
        <v>31</v>
      </c>
      <c r="H44" s="11" t="s">
        <v>1725</v>
      </c>
      <c r="I44" t="s">
        <v>394</v>
      </c>
      <c r="J44" t="s">
        <v>40</v>
      </c>
      <c r="K44" t="s">
        <v>215</v>
      </c>
      <c r="L44" t="s">
        <v>120</v>
      </c>
      <c r="M44" t="str">
        <f>VLOOKUP(Requests[[#This Row],[Ticket ID]],[2]Requests!$A$2:$D$649,4,FALSE)</f>
        <v>4 - Low</v>
      </c>
      <c r="N44">
        <f>VLOOKUP(Requests[[#This Row],[Priority]],'SLA Config'!$B$3:$C$6,2,FALSE)</f>
        <v>25</v>
      </c>
      <c r="O44" t="str">
        <f ca="1">IF(Requests[[#This Row],[Age (days)]]&gt;Requests[[#This Row],[SLA Threshold]],"Yes","No")</f>
        <v>Yes</v>
      </c>
    </row>
    <row r="45" spans="1:15" hidden="1" x14ac:dyDescent="0.25">
      <c r="A45" t="s">
        <v>1782</v>
      </c>
      <c r="B45" s="1">
        <v>44922</v>
      </c>
      <c r="C45" s="1">
        <v>44940</v>
      </c>
      <c r="D45" t="s">
        <v>29</v>
      </c>
      <c r="E45" t="s">
        <v>54</v>
      </c>
      <c r="F45" s="7">
        <f t="shared" ca="1" si="0"/>
        <v>14</v>
      </c>
      <c r="G45" s="16" t="s">
        <v>51</v>
      </c>
      <c r="H45" s="11" t="s">
        <v>1783</v>
      </c>
      <c r="I45" t="s">
        <v>394</v>
      </c>
      <c r="J45" t="s">
        <v>584</v>
      </c>
      <c r="K45" t="s">
        <v>119</v>
      </c>
      <c r="L45" t="s">
        <v>120</v>
      </c>
      <c r="M45" t="str">
        <f>VLOOKUP(Requests[[#This Row],[Ticket ID]],[2]Requests!$A$2:$D$649,4,FALSE)</f>
        <v>4 - Low</v>
      </c>
      <c r="N45">
        <f>VLOOKUP(Requests[[#This Row],[Priority]],'SLA Config'!$B$3:$C$6,2,FALSE)</f>
        <v>25</v>
      </c>
      <c r="O45" t="str">
        <f ca="1">IF(Requests[[#This Row],[Age (days)]]&gt;Requests[[#This Row],[SLA Threshold]],"Yes","No")</f>
        <v>No</v>
      </c>
    </row>
    <row r="46" spans="1:15" hidden="1" x14ac:dyDescent="0.25">
      <c r="A46" t="s">
        <v>1784</v>
      </c>
      <c r="B46" s="1">
        <v>44931</v>
      </c>
      <c r="C46" s="1">
        <v>45150</v>
      </c>
      <c r="D46" t="s">
        <v>29</v>
      </c>
      <c r="E46" t="s">
        <v>38</v>
      </c>
      <c r="F46" s="7">
        <f t="shared" ca="1" si="0"/>
        <v>157</v>
      </c>
      <c r="G46" s="16" t="s">
        <v>31</v>
      </c>
      <c r="H46" s="11" t="s">
        <v>1785</v>
      </c>
      <c r="I46" t="s">
        <v>394</v>
      </c>
      <c r="J46" t="s">
        <v>1786</v>
      </c>
      <c r="K46" t="s">
        <v>44</v>
      </c>
      <c r="L46" t="s">
        <v>36</v>
      </c>
      <c r="M46" t="str">
        <f>VLOOKUP(Requests[[#This Row],[Ticket ID]],[2]Requests!$A$2:$D$649,4,FALSE)</f>
        <v>4 - Low</v>
      </c>
      <c r="N46">
        <f>VLOOKUP(Requests[[#This Row],[Priority]],'SLA Config'!$B$3:$C$6,2,FALSE)</f>
        <v>25</v>
      </c>
      <c r="O46" t="str">
        <f ca="1">IF(Requests[[#This Row],[Age (days)]]&gt;Requests[[#This Row],[SLA Threshold]],"Yes","No")</f>
        <v>Yes</v>
      </c>
    </row>
    <row r="47" spans="1:15" hidden="1" x14ac:dyDescent="0.25">
      <c r="A47" t="s">
        <v>1787</v>
      </c>
      <c r="B47" s="1">
        <v>44935</v>
      </c>
      <c r="C47" s="1">
        <v>44969</v>
      </c>
      <c r="D47" t="s">
        <v>29</v>
      </c>
      <c r="E47" t="s">
        <v>54</v>
      </c>
      <c r="F47" s="7">
        <f t="shared" ca="1" si="0"/>
        <v>25</v>
      </c>
      <c r="G47" s="16" t="s">
        <v>31</v>
      </c>
      <c r="H47" s="11" t="s">
        <v>1788</v>
      </c>
      <c r="I47" t="s">
        <v>1321</v>
      </c>
      <c r="J47" t="s">
        <v>1690</v>
      </c>
      <c r="K47" t="s">
        <v>201</v>
      </c>
      <c r="L47" t="s">
        <v>120</v>
      </c>
      <c r="M47" t="str">
        <f>VLOOKUP(Requests[[#This Row],[Ticket ID]],[2]Requests!$A$2:$D$649,4,FALSE)</f>
        <v>4 - Low</v>
      </c>
      <c r="N47">
        <f>VLOOKUP(Requests[[#This Row],[Priority]],'SLA Config'!$B$3:$C$6,2,FALSE)</f>
        <v>25</v>
      </c>
      <c r="O47" t="str">
        <f ca="1">IF(Requests[[#This Row],[Age (days)]]&gt;Requests[[#This Row],[SLA Threshold]],"Yes","No")</f>
        <v>No</v>
      </c>
    </row>
    <row r="48" spans="1:15" hidden="1" x14ac:dyDescent="0.25">
      <c r="A48" s="17" t="s">
        <v>1789</v>
      </c>
      <c r="B48" s="1">
        <v>44945</v>
      </c>
      <c r="C48" s="8">
        <v>44976</v>
      </c>
      <c r="D48" t="s">
        <v>29</v>
      </c>
      <c r="E48" t="s">
        <v>54</v>
      </c>
      <c r="F48" s="7">
        <f t="shared" ca="1" si="0"/>
        <v>22</v>
      </c>
      <c r="G48" s="16" t="s">
        <v>31</v>
      </c>
      <c r="H48" s="11" t="s">
        <v>1790</v>
      </c>
      <c r="I48" t="s">
        <v>394</v>
      </c>
      <c r="J48" t="s">
        <v>584</v>
      </c>
      <c r="K48" t="s">
        <v>44</v>
      </c>
      <c r="L48" t="s">
        <v>36</v>
      </c>
      <c r="M48" t="str">
        <f>VLOOKUP(Requests[[#This Row],[Ticket ID]],[2]Requests!$A$2:$D$649,4,FALSE)</f>
        <v>3 - Medium</v>
      </c>
      <c r="N48">
        <f>VLOOKUP(Requests[[#This Row],[Priority]],'SLA Config'!$B$3:$C$6,2,FALSE)</f>
        <v>15</v>
      </c>
      <c r="O48" t="str">
        <f ca="1">IF(Requests[[#This Row],[Age (days)]]&gt;Requests[[#This Row],[SLA Threshold]],"Yes","No")</f>
        <v>Yes</v>
      </c>
    </row>
    <row r="49" spans="1:15" hidden="1" x14ac:dyDescent="0.25">
      <c r="A49" s="17" t="s">
        <v>1791</v>
      </c>
      <c r="B49" s="1">
        <v>44950</v>
      </c>
      <c r="C49" s="8">
        <v>44975</v>
      </c>
      <c r="D49" t="s">
        <v>29</v>
      </c>
      <c r="E49" t="s">
        <v>54</v>
      </c>
      <c r="F49" s="7">
        <f t="shared" ca="1" si="0"/>
        <v>19</v>
      </c>
      <c r="G49" s="16" t="s">
        <v>51</v>
      </c>
      <c r="H49" s="11" t="s">
        <v>1792</v>
      </c>
      <c r="I49" t="s">
        <v>394</v>
      </c>
      <c r="J49" t="s">
        <v>584</v>
      </c>
      <c r="K49" t="s">
        <v>119</v>
      </c>
      <c r="L49" t="s">
        <v>120</v>
      </c>
      <c r="M49" t="str">
        <f>VLOOKUP(Requests[[#This Row],[Ticket ID]],[2]Requests!$A$2:$D$649,4,FALSE)</f>
        <v>4 - Low</v>
      </c>
      <c r="N49">
        <f>VLOOKUP(Requests[[#This Row],[Priority]],'SLA Config'!$B$3:$C$6,2,FALSE)</f>
        <v>25</v>
      </c>
      <c r="O49" t="str">
        <f ca="1">IF(Requests[[#This Row],[Age (days)]]&gt;Requests[[#This Row],[SLA Threshold]],"Yes","No")</f>
        <v>No</v>
      </c>
    </row>
    <row r="50" spans="1:15" hidden="1" x14ac:dyDescent="0.25">
      <c r="A50" s="17" t="s">
        <v>1793</v>
      </c>
      <c r="B50" s="1">
        <v>44951</v>
      </c>
      <c r="C50" s="8">
        <v>45146</v>
      </c>
      <c r="D50" t="s">
        <v>29</v>
      </c>
      <c r="E50" t="s">
        <v>54</v>
      </c>
      <c r="F50" s="7">
        <f t="shared" ca="1" si="0"/>
        <v>140</v>
      </c>
      <c r="G50" s="16" t="s">
        <v>51</v>
      </c>
      <c r="H50" s="11" t="s">
        <v>1794</v>
      </c>
      <c r="I50" t="s">
        <v>394</v>
      </c>
      <c r="J50" t="s">
        <v>584</v>
      </c>
      <c r="K50" t="s">
        <v>218</v>
      </c>
      <c r="L50" t="s">
        <v>120</v>
      </c>
      <c r="M50" t="str">
        <f>VLOOKUP(Requests[[#This Row],[Ticket ID]],[2]Requests!$A$2:$D$649,4,FALSE)</f>
        <v>4 - Low</v>
      </c>
      <c r="N50">
        <f>VLOOKUP(Requests[[#This Row],[Priority]],'SLA Config'!$B$3:$C$6,2,FALSE)</f>
        <v>25</v>
      </c>
      <c r="O50" t="str">
        <f ca="1">IF(Requests[[#This Row],[Age (days)]]&gt;Requests[[#This Row],[SLA Threshold]],"Yes","No")</f>
        <v>Yes</v>
      </c>
    </row>
    <row r="51" spans="1:15" hidden="1" x14ac:dyDescent="0.25">
      <c r="A51" s="17" t="s">
        <v>1795</v>
      </c>
      <c r="B51" s="1">
        <v>44952</v>
      </c>
      <c r="C51" s="8">
        <v>44970</v>
      </c>
      <c r="D51" t="s">
        <v>29</v>
      </c>
      <c r="E51" t="s">
        <v>324</v>
      </c>
      <c r="F51" s="7">
        <f t="shared" ca="1" si="0"/>
        <v>13</v>
      </c>
      <c r="G51" s="16" t="s">
        <v>51</v>
      </c>
      <c r="H51" s="11" t="s">
        <v>1796</v>
      </c>
      <c r="I51" t="s">
        <v>394</v>
      </c>
      <c r="J51" t="s">
        <v>304</v>
      </c>
      <c r="K51" t="s">
        <v>119</v>
      </c>
      <c r="L51" t="s">
        <v>120</v>
      </c>
      <c r="M51" t="str">
        <f>VLOOKUP(Requests[[#This Row],[Ticket ID]],[2]Requests!$A$2:$D$649,4,FALSE)</f>
        <v>4 - Low</v>
      </c>
      <c r="N51">
        <f>VLOOKUP(Requests[[#This Row],[Priority]],'SLA Config'!$B$3:$C$6,2,FALSE)</f>
        <v>25</v>
      </c>
      <c r="O51" t="str">
        <f ca="1">IF(Requests[[#This Row],[Age (days)]]&gt;Requests[[#This Row],[SLA Threshold]],"Yes","No")</f>
        <v>No</v>
      </c>
    </row>
    <row r="52" spans="1:15" hidden="1" x14ac:dyDescent="0.25">
      <c r="A52" s="17" t="s">
        <v>1797</v>
      </c>
      <c r="B52" s="1">
        <v>44953</v>
      </c>
      <c r="C52" s="8">
        <v>44975</v>
      </c>
      <c r="D52" t="s">
        <v>29</v>
      </c>
      <c r="E52" t="s">
        <v>54</v>
      </c>
      <c r="F52" s="7">
        <f t="shared" ca="1" si="0"/>
        <v>16</v>
      </c>
      <c r="G52" s="16" t="s">
        <v>51</v>
      </c>
      <c r="H52" s="11" t="s">
        <v>1798</v>
      </c>
      <c r="I52" t="s">
        <v>394</v>
      </c>
      <c r="J52" t="s">
        <v>584</v>
      </c>
      <c r="K52" t="s">
        <v>119</v>
      </c>
      <c r="L52" t="s">
        <v>120</v>
      </c>
      <c r="M52" t="str">
        <f>VLOOKUP(Requests[[#This Row],[Ticket ID]],[2]Requests!$A$2:$D$649,4,FALSE)</f>
        <v>4 - Low</v>
      </c>
      <c r="N52">
        <f>VLOOKUP(Requests[[#This Row],[Priority]],'SLA Config'!$B$3:$C$6,2,FALSE)</f>
        <v>25</v>
      </c>
      <c r="O52" t="str">
        <f ca="1">IF(Requests[[#This Row],[Age (days)]]&gt;Requests[[#This Row],[SLA Threshold]],"Yes","No")</f>
        <v>No</v>
      </c>
    </row>
    <row r="53" spans="1:15" hidden="1" x14ac:dyDescent="0.25">
      <c r="A53" s="17" t="s">
        <v>1799</v>
      </c>
      <c r="B53" s="1">
        <v>44956</v>
      </c>
      <c r="C53" s="8">
        <v>45144</v>
      </c>
      <c r="D53" t="s">
        <v>29</v>
      </c>
      <c r="E53" t="s">
        <v>104</v>
      </c>
      <c r="F53" s="7">
        <f t="shared" ca="1" si="0"/>
        <v>135</v>
      </c>
      <c r="G53" s="16" t="s">
        <v>51</v>
      </c>
      <c r="H53" s="11" t="s">
        <v>1800</v>
      </c>
      <c r="I53" t="s">
        <v>394</v>
      </c>
      <c r="J53" t="s">
        <v>304</v>
      </c>
      <c r="K53" t="s">
        <v>119</v>
      </c>
      <c r="L53" t="s">
        <v>120</v>
      </c>
      <c r="M53" t="str">
        <f>VLOOKUP(Requests[[#This Row],[Ticket ID]],[2]Requests!$A$2:$D$649,4,FALSE)</f>
        <v>4 - Low</v>
      </c>
      <c r="N53">
        <f>VLOOKUP(Requests[[#This Row],[Priority]],'SLA Config'!$B$3:$C$6,2,FALSE)</f>
        <v>25</v>
      </c>
      <c r="O53" t="str">
        <f ca="1">IF(Requests[[#This Row],[Age (days)]]&gt;Requests[[#This Row],[SLA Threshold]],"Yes","No")</f>
        <v>Yes</v>
      </c>
    </row>
    <row r="54" spans="1:15" hidden="1" x14ac:dyDescent="0.25">
      <c r="A54" s="17" t="s">
        <v>1801</v>
      </c>
      <c r="B54" s="1">
        <v>44956</v>
      </c>
      <c r="C54" s="8">
        <v>45192</v>
      </c>
      <c r="D54" t="s">
        <v>29</v>
      </c>
      <c r="E54" t="s">
        <v>104</v>
      </c>
      <c r="F54" s="7">
        <f t="shared" ca="1" si="0"/>
        <v>170</v>
      </c>
      <c r="G54" s="16" t="s">
        <v>31</v>
      </c>
      <c r="H54" s="11" t="s">
        <v>1802</v>
      </c>
      <c r="I54" t="s">
        <v>394</v>
      </c>
      <c r="J54" t="s">
        <v>33</v>
      </c>
      <c r="K54" t="s">
        <v>231</v>
      </c>
      <c r="L54" t="s">
        <v>120</v>
      </c>
      <c r="M54" t="str">
        <f>VLOOKUP(Requests[[#This Row],[Ticket ID]],[2]Requests!$A$2:$D$649,4,FALSE)</f>
        <v>4 - Low</v>
      </c>
      <c r="N54">
        <f>VLOOKUP(Requests[[#This Row],[Priority]],'SLA Config'!$B$3:$C$6,2,FALSE)</f>
        <v>25</v>
      </c>
      <c r="O54" t="str">
        <f ca="1">IF(Requests[[#This Row],[Age (days)]]&gt;Requests[[#This Row],[SLA Threshold]],"Yes","No")</f>
        <v>Yes</v>
      </c>
    </row>
    <row r="55" spans="1:15" hidden="1" x14ac:dyDescent="0.25">
      <c r="A55" t="s">
        <v>1803</v>
      </c>
      <c r="B55" s="1">
        <v>44959</v>
      </c>
      <c r="C55" s="8">
        <v>44972</v>
      </c>
      <c r="D55" t="s">
        <v>29</v>
      </c>
      <c r="E55" t="s">
        <v>38</v>
      </c>
      <c r="F55" s="7">
        <f t="shared" ca="1" si="0"/>
        <v>10</v>
      </c>
      <c r="G55" t="s">
        <v>31</v>
      </c>
      <c r="H55" s="11" t="s">
        <v>1804</v>
      </c>
      <c r="I55" t="s">
        <v>1336</v>
      </c>
      <c r="J55" t="s">
        <v>40</v>
      </c>
      <c r="K55" t="s">
        <v>1758</v>
      </c>
      <c r="L55" t="s">
        <v>120</v>
      </c>
      <c r="M55" t="str">
        <f>VLOOKUP(Requests[[#This Row],[Ticket ID]],[2]Requests!$A$2:$D$649,4,FALSE)</f>
        <v>4 - Low</v>
      </c>
      <c r="N55">
        <f>VLOOKUP(Requests[[#This Row],[Priority]],'SLA Config'!$B$3:$C$6,2,FALSE)</f>
        <v>25</v>
      </c>
      <c r="O55" t="str">
        <f ca="1">IF(Requests[[#This Row],[Age (days)]]&gt;Requests[[#This Row],[SLA Threshold]],"Yes","No")</f>
        <v>No</v>
      </c>
    </row>
    <row r="56" spans="1:15" hidden="1" x14ac:dyDescent="0.25">
      <c r="A56" t="s">
        <v>1805</v>
      </c>
      <c r="B56" s="1">
        <v>44960</v>
      </c>
      <c r="C56" s="8">
        <v>44979</v>
      </c>
      <c r="D56" t="s">
        <v>29</v>
      </c>
      <c r="E56" t="s">
        <v>54</v>
      </c>
      <c r="F56" s="7">
        <f t="shared" ca="1" si="0"/>
        <v>14</v>
      </c>
      <c r="G56" t="s">
        <v>31</v>
      </c>
      <c r="H56" s="11" t="s">
        <v>1806</v>
      </c>
      <c r="I56" t="s">
        <v>727</v>
      </c>
      <c r="J56" t="s">
        <v>34</v>
      </c>
      <c r="K56" t="s">
        <v>231</v>
      </c>
      <c r="L56" t="s">
        <v>120</v>
      </c>
      <c r="M56" t="str">
        <f>VLOOKUP(Requests[[#This Row],[Ticket ID]],[2]Requests!$A$2:$D$649,4,FALSE)</f>
        <v>4 - Low</v>
      </c>
      <c r="N56">
        <f>VLOOKUP(Requests[[#This Row],[Priority]],'SLA Config'!$B$3:$C$6,2,FALSE)</f>
        <v>25</v>
      </c>
      <c r="O56" t="str">
        <f ca="1">IF(Requests[[#This Row],[Age (days)]]&gt;Requests[[#This Row],[SLA Threshold]],"Yes","No")</f>
        <v>No</v>
      </c>
    </row>
    <row r="57" spans="1:15" hidden="1" x14ac:dyDescent="0.25">
      <c r="A57" t="s">
        <v>1807</v>
      </c>
      <c r="B57" s="1">
        <v>44960</v>
      </c>
      <c r="C57" s="8">
        <v>44975</v>
      </c>
      <c r="D57" t="s">
        <v>29</v>
      </c>
      <c r="E57" t="s">
        <v>54</v>
      </c>
      <c r="F57" s="7">
        <f t="shared" ca="1" si="0"/>
        <v>11</v>
      </c>
      <c r="G57" t="s">
        <v>51</v>
      </c>
      <c r="H57" s="11" t="s">
        <v>1808</v>
      </c>
      <c r="I57" t="s">
        <v>394</v>
      </c>
      <c r="J57" t="s">
        <v>584</v>
      </c>
      <c r="K57" t="s">
        <v>1758</v>
      </c>
      <c r="L57" t="s">
        <v>120</v>
      </c>
      <c r="M57" t="str">
        <f>VLOOKUP(Requests[[#This Row],[Ticket ID]],[2]Requests!$A$2:$D$649,4,FALSE)</f>
        <v>4 - Low</v>
      </c>
      <c r="N57">
        <f>VLOOKUP(Requests[[#This Row],[Priority]],'SLA Config'!$B$3:$C$6,2,FALSE)</f>
        <v>25</v>
      </c>
      <c r="O57" t="str">
        <f ca="1">IF(Requests[[#This Row],[Age (days)]]&gt;Requests[[#This Row],[SLA Threshold]],"Yes","No")</f>
        <v>No</v>
      </c>
    </row>
    <row r="58" spans="1:15" hidden="1" x14ac:dyDescent="0.25">
      <c r="A58" t="s">
        <v>1809</v>
      </c>
      <c r="B58" s="1">
        <v>44965</v>
      </c>
      <c r="C58" s="8">
        <v>44975</v>
      </c>
      <c r="D58" t="s">
        <v>29</v>
      </c>
      <c r="E58" t="s">
        <v>54</v>
      </c>
      <c r="F58" s="7">
        <f t="shared" ca="1" si="0"/>
        <v>8</v>
      </c>
      <c r="G58" t="s">
        <v>51</v>
      </c>
      <c r="H58" s="11" t="s">
        <v>1810</v>
      </c>
      <c r="I58" t="s">
        <v>394</v>
      </c>
      <c r="J58" t="s">
        <v>584</v>
      </c>
      <c r="K58" t="s">
        <v>119</v>
      </c>
      <c r="L58" t="s">
        <v>120</v>
      </c>
      <c r="M58" t="str">
        <f>VLOOKUP(Requests[[#This Row],[Ticket ID]],[2]Requests!$A$2:$D$649,4,FALSE)</f>
        <v>4 - Low</v>
      </c>
      <c r="N58">
        <f>VLOOKUP(Requests[[#This Row],[Priority]],'SLA Config'!$B$3:$C$6,2,FALSE)</f>
        <v>25</v>
      </c>
      <c r="O58" t="str">
        <f ca="1">IF(Requests[[#This Row],[Age (days)]]&gt;Requests[[#This Row],[SLA Threshold]],"Yes","No")</f>
        <v>No</v>
      </c>
    </row>
    <row r="59" spans="1:15" hidden="1" x14ac:dyDescent="0.25">
      <c r="A59" t="s">
        <v>1811</v>
      </c>
      <c r="B59" s="1">
        <v>44970</v>
      </c>
      <c r="C59" s="8">
        <v>44983</v>
      </c>
      <c r="D59" t="s">
        <v>29</v>
      </c>
      <c r="E59" t="s">
        <v>54</v>
      </c>
      <c r="F59" s="7">
        <f t="shared" ca="1" si="0"/>
        <v>10</v>
      </c>
      <c r="G59" t="s">
        <v>31</v>
      </c>
      <c r="H59" s="11" t="s">
        <v>1812</v>
      </c>
      <c r="I59" t="s">
        <v>1336</v>
      </c>
      <c r="J59" t="s">
        <v>40</v>
      </c>
      <c r="K59" t="s">
        <v>1391</v>
      </c>
      <c r="L59" t="s">
        <v>120</v>
      </c>
      <c r="M59" t="str">
        <f>VLOOKUP(Requests[[#This Row],[Ticket ID]],[2]Requests!$A$2:$D$649,4,FALSE)</f>
        <v>4 - Low</v>
      </c>
      <c r="N59">
        <f>VLOOKUP(Requests[[#This Row],[Priority]],'SLA Config'!$B$3:$C$6,2,FALSE)</f>
        <v>25</v>
      </c>
      <c r="O59" t="str">
        <f ca="1">IF(Requests[[#This Row],[Age (days)]]&gt;Requests[[#This Row],[SLA Threshold]],"Yes","No")</f>
        <v>No</v>
      </c>
    </row>
    <row r="60" spans="1:15" hidden="1" x14ac:dyDescent="0.25">
      <c r="A60" t="s">
        <v>1813</v>
      </c>
      <c r="B60" s="1">
        <v>44970</v>
      </c>
      <c r="C60" s="8">
        <v>44976</v>
      </c>
      <c r="D60" t="s">
        <v>29</v>
      </c>
      <c r="E60" t="s">
        <v>54</v>
      </c>
      <c r="F60" s="7">
        <f t="shared" ca="1" si="0"/>
        <v>5</v>
      </c>
      <c r="G60" t="s">
        <v>31</v>
      </c>
      <c r="H60" s="11" t="s">
        <v>1814</v>
      </c>
      <c r="I60" t="s">
        <v>1336</v>
      </c>
      <c r="J60" t="s">
        <v>40</v>
      </c>
      <c r="K60" t="s">
        <v>1815</v>
      </c>
      <c r="L60" t="s">
        <v>120</v>
      </c>
      <c r="M60" t="str">
        <f>VLOOKUP(Requests[[#This Row],[Ticket ID]],[2]Requests!$A$2:$D$649,4,FALSE)</f>
        <v>4 - Low</v>
      </c>
      <c r="N60">
        <f>VLOOKUP(Requests[[#This Row],[Priority]],'SLA Config'!$B$3:$C$6,2,FALSE)</f>
        <v>25</v>
      </c>
      <c r="O60" t="str">
        <f ca="1">IF(Requests[[#This Row],[Age (days)]]&gt;Requests[[#This Row],[SLA Threshold]],"Yes","No")</f>
        <v>No</v>
      </c>
    </row>
    <row r="61" spans="1:15" hidden="1" x14ac:dyDescent="0.25">
      <c r="A61" t="s">
        <v>1816</v>
      </c>
      <c r="B61" s="1">
        <v>44973</v>
      </c>
      <c r="C61" s="8">
        <v>44985</v>
      </c>
      <c r="D61" t="s">
        <v>29</v>
      </c>
      <c r="E61" t="s">
        <v>104</v>
      </c>
      <c r="F61" s="7">
        <f t="shared" ca="1" si="0"/>
        <v>9</v>
      </c>
      <c r="G61" t="s">
        <v>51</v>
      </c>
      <c r="H61" s="11" t="s">
        <v>1817</v>
      </c>
      <c r="I61" t="s">
        <v>1336</v>
      </c>
      <c r="J61" t="s">
        <v>1705</v>
      </c>
      <c r="K61" t="s">
        <v>281</v>
      </c>
      <c r="L61" t="s">
        <v>120</v>
      </c>
      <c r="M61" t="str">
        <f>VLOOKUP(Requests[[#This Row],[Ticket ID]],[2]Requests!$A$2:$D$649,4,FALSE)</f>
        <v>4 - Low</v>
      </c>
      <c r="N61">
        <f>VLOOKUP(Requests[[#This Row],[Priority]],'SLA Config'!$B$3:$C$6,2,FALSE)</f>
        <v>25</v>
      </c>
      <c r="O61" t="str">
        <f ca="1">IF(Requests[[#This Row],[Age (days)]]&gt;Requests[[#This Row],[SLA Threshold]],"Yes","No")</f>
        <v>No</v>
      </c>
    </row>
    <row r="62" spans="1:15" hidden="1" x14ac:dyDescent="0.25">
      <c r="A62" t="s">
        <v>1818</v>
      </c>
      <c r="B62" s="1">
        <v>44985</v>
      </c>
      <c r="C62" s="8">
        <v>45054</v>
      </c>
      <c r="D62" t="s">
        <v>29</v>
      </c>
      <c r="E62" t="s">
        <v>324</v>
      </c>
      <c r="F62" s="7">
        <f t="shared" ca="1" si="0"/>
        <v>50</v>
      </c>
      <c r="G62" t="s">
        <v>31</v>
      </c>
      <c r="H62" s="11" t="s">
        <v>1819</v>
      </c>
      <c r="I62" t="s">
        <v>1327</v>
      </c>
      <c r="J62" t="s">
        <v>40</v>
      </c>
      <c r="K62" t="s">
        <v>44</v>
      </c>
      <c r="L62" t="s">
        <v>36</v>
      </c>
      <c r="M62" t="str">
        <f>VLOOKUP(Requests[[#This Row],[Ticket ID]],[2]Requests!$A$2:$D$649,4,FALSE)</f>
        <v>4 - Low</v>
      </c>
      <c r="N62">
        <f>VLOOKUP(Requests[[#This Row],[Priority]],'SLA Config'!$B$3:$C$6,2,FALSE)</f>
        <v>25</v>
      </c>
      <c r="O62" t="str">
        <f ca="1">IF(Requests[[#This Row],[Age (days)]]&gt;Requests[[#This Row],[SLA Threshold]],"Yes","No")</f>
        <v>Yes</v>
      </c>
    </row>
    <row r="63" spans="1:15" hidden="1" x14ac:dyDescent="0.25">
      <c r="A63" t="s">
        <v>1820</v>
      </c>
      <c r="B63" s="1">
        <v>44995</v>
      </c>
      <c r="C63" s="8">
        <v>45027</v>
      </c>
      <c r="D63" t="s">
        <v>29</v>
      </c>
      <c r="E63" t="s">
        <v>54</v>
      </c>
      <c r="F63" s="7">
        <f t="shared" ca="1" si="0"/>
        <v>23</v>
      </c>
      <c r="G63" t="s">
        <v>31</v>
      </c>
      <c r="H63" s="11" t="s">
        <v>1821</v>
      </c>
      <c r="I63" t="s">
        <v>1336</v>
      </c>
      <c r="J63" t="s">
        <v>40</v>
      </c>
      <c r="K63" t="s">
        <v>1822</v>
      </c>
      <c r="L63" t="s">
        <v>120</v>
      </c>
      <c r="M63" t="str">
        <f>VLOOKUP(Requests[[#This Row],[Ticket ID]],[2]Requests!$A$2:$D$649,4,FALSE)</f>
        <v>4 - Low</v>
      </c>
      <c r="N63">
        <f>VLOOKUP(Requests[[#This Row],[Priority]],'SLA Config'!$B$3:$C$6,2,FALSE)</f>
        <v>25</v>
      </c>
      <c r="O63" t="str">
        <f ca="1">IF(Requests[[#This Row],[Age (days)]]&gt;Requests[[#This Row],[SLA Threshold]],"Yes","No")</f>
        <v>No</v>
      </c>
    </row>
    <row r="64" spans="1:15" hidden="1" x14ac:dyDescent="0.25">
      <c r="A64" t="s">
        <v>1823</v>
      </c>
      <c r="B64" s="1">
        <v>44998</v>
      </c>
      <c r="C64" s="8">
        <v>45053</v>
      </c>
      <c r="D64" t="s">
        <v>29</v>
      </c>
      <c r="E64" t="s">
        <v>324</v>
      </c>
      <c r="F64" s="7">
        <f t="shared" ca="1" si="0"/>
        <v>40</v>
      </c>
      <c r="G64" t="s">
        <v>31</v>
      </c>
      <c r="H64" s="11" t="s">
        <v>1824</v>
      </c>
      <c r="I64" t="s">
        <v>1336</v>
      </c>
      <c r="J64" t="s">
        <v>1705</v>
      </c>
      <c r="K64" t="s">
        <v>44</v>
      </c>
      <c r="L64" t="s">
        <v>36</v>
      </c>
      <c r="M64" t="str">
        <f>VLOOKUP(Requests[[#This Row],[Ticket ID]],[2]Requests!$A$2:$D$649,4,FALSE)</f>
        <v>4 - Low</v>
      </c>
      <c r="N64">
        <f>VLOOKUP(Requests[[#This Row],[Priority]],'SLA Config'!$B$3:$C$6,2,FALSE)</f>
        <v>25</v>
      </c>
      <c r="O64" t="str">
        <f ca="1">IF(Requests[[#This Row],[Age (days)]]&gt;Requests[[#This Row],[SLA Threshold]],"Yes","No")</f>
        <v>Yes</v>
      </c>
    </row>
    <row r="65" spans="1:15" hidden="1" x14ac:dyDescent="0.25">
      <c r="A65" t="s">
        <v>1825</v>
      </c>
      <c r="B65" s="1">
        <v>44998</v>
      </c>
      <c r="C65" s="8">
        <v>45011</v>
      </c>
      <c r="D65" t="s">
        <v>29</v>
      </c>
      <c r="E65" t="s">
        <v>54</v>
      </c>
      <c r="F65" s="7">
        <f t="shared" ca="1" si="0"/>
        <v>10</v>
      </c>
      <c r="G65" t="s">
        <v>51</v>
      </c>
      <c r="H65" s="11" t="s">
        <v>1826</v>
      </c>
      <c r="I65" t="s">
        <v>1321</v>
      </c>
      <c r="J65" t="s">
        <v>1827</v>
      </c>
      <c r="K65" t="s">
        <v>201</v>
      </c>
      <c r="L65" t="s">
        <v>120</v>
      </c>
      <c r="M65" t="str">
        <f>VLOOKUP(Requests[[#This Row],[Ticket ID]],[2]Requests!$A$2:$D$649,4,FALSE)</f>
        <v>4 - Low</v>
      </c>
      <c r="N65">
        <f>VLOOKUP(Requests[[#This Row],[Priority]],'SLA Config'!$B$3:$C$6,2,FALSE)</f>
        <v>25</v>
      </c>
      <c r="O65" t="str">
        <f ca="1">IF(Requests[[#This Row],[Age (days)]]&gt;Requests[[#This Row],[SLA Threshold]],"Yes","No")</f>
        <v>No</v>
      </c>
    </row>
    <row r="66" spans="1:15" hidden="1" x14ac:dyDescent="0.25">
      <c r="A66" t="s">
        <v>1828</v>
      </c>
      <c r="B66" s="1">
        <v>44999</v>
      </c>
      <c r="C66" s="8">
        <v>45011</v>
      </c>
      <c r="D66" t="s">
        <v>29</v>
      </c>
      <c r="E66" t="s">
        <v>54</v>
      </c>
      <c r="F66" s="7">
        <f t="shared" ref="F66:F129" ca="1" si="1">IF(ISBLANK(C66), NETWORKDAYS(B66,TODAY()), NETWORKDAYS(B66,C66))</f>
        <v>9</v>
      </c>
      <c r="G66" t="s">
        <v>31</v>
      </c>
      <c r="H66" s="11" t="s">
        <v>1829</v>
      </c>
      <c r="I66" t="s">
        <v>1321</v>
      </c>
      <c r="J66" t="s">
        <v>1827</v>
      </c>
      <c r="K66" t="s">
        <v>218</v>
      </c>
      <c r="L66" t="s">
        <v>120</v>
      </c>
      <c r="M66" t="str">
        <f>VLOOKUP(Requests[[#This Row],[Ticket ID]],[2]Requests!$A$2:$D$649,4,FALSE)</f>
        <v>4 - Low</v>
      </c>
      <c r="N66">
        <f>VLOOKUP(Requests[[#This Row],[Priority]],'SLA Config'!$B$3:$C$6,2,FALSE)</f>
        <v>25</v>
      </c>
      <c r="O66" t="str">
        <f ca="1">IF(Requests[[#This Row],[Age (days)]]&gt;Requests[[#This Row],[SLA Threshold]],"Yes","No")</f>
        <v>No</v>
      </c>
    </row>
    <row r="67" spans="1:15" hidden="1" x14ac:dyDescent="0.25">
      <c r="A67" t="s">
        <v>1830</v>
      </c>
      <c r="B67" s="1">
        <v>45000</v>
      </c>
      <c r="C67" s="8">
        <v>45031</v>
      </c>
      <c r="D67" t="s">
        <v>29</v>
      </c>
      <c r="E67" t="s">
        <v>38</v>
      </c>
      <c r="F67" s="7">
        <f t="shared" ca="1" si="1"/>
        <v>23</v>
      </c>
      <c r="G67" t="s">
        <v>31</v>
      </c>
      <c r="H67" s="11" t="s">
        <v>1831</v>
      </c>
      <c r="I67" t="s">
        <v>1327</v>
      </c>
      <c r="J67" t="s">
        <v>1732</v>
      </c>
      <c r="K67" t="s">
        <v>44</v>
      </c>
      <c r="L67" t="s">
        <v>36</v>
      </c>
      <c r="M67" t="str">
        <f>VLOOKUP(Requests[[#This Row],[Ticket ID]],[2]Requests!$A$2:$D$649,4,FALSE)</f>
        <v>4 - Low</v>
      </c>
      <c r="N67">
        <f>VLOOKUP(Requests[[#This Row],[Priority]],'SLA Config'!$B$3:$C$6,2,FALSE)</f>
        <v>25</v>
      </c>
      <c r="O67" t="str">
        <f ca="1">IF(Requests[[#This Row],[Age (days)]]&gt;Requests[[#This Row],[SLA Threshold]],"Yes","No")</f>
        <v>No</v>
      </c>
    </row>
    <row r="68" spans="1:15" hidden="1" x14ac:dyDescent="0.25">
      <c r="A68" t="s">
        <v>1832</v>
      </c>
      <c r="B68" s="1">
        <v>45005</v>
      </c>
      <c r="C68" s="8">
        <v>45073</v>
      </c>
      <c r="D68" t="s">
        <v>29</v>
      </c>
      <c r="E68" t="s">
        <v>324</v>
      </c>
      <c r="F68" s="7">
        <f t="shared" ca="1" si="1"/>
        <v>50</v>
      </c>
      <c r="G68" t="s">
        <v>31</v>
      </c>
      <c r="H68" s="11" t="s">
        <v>1833</v>
      </c>
      <c r="I68" t="s">
        <v>394</v>
      </c>
      <c r="J68" t="s">
        <v>40</v>
      </c>
      <c r="K68" t="s">
        <v>255</v>
      </c>
      <c r="L68" t="s">
        <v>120</v>
      </c>
      <c r="M68" t="str">
        <f>VLOOKUP(Requests[[#This Row],[Ticket ID]],[2]Requests!$A$2:$D$649,4,FALSE)</f>
        <v>4 - Low</v>
      </c>
      <c r="N68">
        <f>VLOOKUP(Requests[[#This Row],[Priority]],'SLA Config'!$B$3:$C$6,2,FALSE)</f>
        <v>25</v>
      </c>
      <c r="O68" t="str">
        <f ca="1">IF(Requests[[#This Row],[Age (days)]]&gt;Requests[[#This Row],[SLA Threshold]],"Yes","No")</f>
        <v>Yes</v>
      </c>
    </row>
    <row r="69" spans="1:15" hidden="1" x14ac:dyDescent="0.25">
      <c r="A69" t="s">
        <v>1834</v>
      </c>
      <c r="B69" s="1">
        <v>45012</v>
      </c>
      <c r="C69" s="8">
        <v>45186</v>
      </c>
      <c r="D69" t="s">
        <v>29</v>
      </c>
      <c r="E69" t="s">
        <v>273</v>
      </c>
      <c r="F69" s="7">
        <f t="shared" ca="1" si="1"/>
        <v>125</v>
      </c>
      <c r="G69" t="s">
        <v>31</v>
      </c>
      <c r="H69" s="11" t="s">
        <v>1835</v>
      </c>
      <c r="I69" t="s">
        <v>727</v>
      </c>
      <c r="J69" t="s">
        <v>40</v>
      </c>
      <c r="K69" t="s">
        <v>215</v>
      </c>
      <c r="L69" t="s">
        <v>120</v>
      </c>
      <c r="M69" t="str">
        <f>VLOOKUP(Requests[[#This Row],[Ticket ID]],[2]Requests!$A$2:$D$649,4,FALSE)</f>
        <v>3 - Medium</v>
      </c>
      <c r="N69">
        <f>VLOOKUP(Requests[[#This Row],[Priority]],'SLA Config'!$B$3:$C$6,2,FALSE)</f>
        <v>15</v>
      </c>
      <c r="O69" t="str">
        <f ca="1">IF(Requests[[#This Row],[Age (days)]]&gt;Requests[[#This Row],[SLA Threshold]],"Yes","No")</f>
        <v>Yes</v>
      </c>
    </row>
    <row r="70" spans="1:15" hidden="1" x14ac:dyDescent="0.25">
      <c r="A70" t="s">
        <v>1836</v>
      </c>
      <c r="B70" s="1">
        <v>45012</v>
      </c>
      <c r="C70" s="8">
        <v>45243</v>
      </c>
      <c r="D70" t="s">
        <v>29</v>
      </c>
      <c r="E70" t="s">
        <v>104</v>
      </c>
      <c r="F70" s="7">
        <f t="shared" ca="1" si="1"/>
        <v>166</v>
      </c>
      <c r="G70" t="s">
        <v>51</v>
      </c>
      <c r="H70" s="11" t="s">
        <v>1837</v>
      </c>
      <c r="I70" t="s">
        <v>394</v>
      </c>
      <c r="J70" t="s">
        <v>40</v>
      </c>
      <c r="K70" t="s">
        <v>119</v>
      </c>
      <c r="L70" t="s">
        <v>120</v>
      </c>
      <c r="M70" t="str">
        <f>VLOOKUP(Requests[[#This Row],[Ticket ID]],[2]Requests!$A$2:$D$649,4,FALSE)</f>
        <v>4 - Low</v>
      </c>
      <c r="N70">
        <f>VLOOKUP(Requests[[#This Row],[Priority]],'SLA Config'!$B$3:$C$6,2,FALSE)</f>
        <v>25</v>
      </c>
      <c r="O70" t="str">
        <f ca="1">IF(Requests[[#This Row],[Age (days)]]&gt;Requests[[#This Row],[SLA Threshold]],"Yes","No")</f>
        <v>Yes</v>
      </c>
    </row>
    <row r="71" spans="1:15" hidden="1" x14ac:dyDescent="0.25">
      <c r="A71" t="s">
        <v>1838</v>
      </c>
      <c r="B71" s="1">
        <v>45014</v>
      </c>
      <c r="C71" s="8">
        <v>45094</v>
      </c>
      <c r="D71" t="s">
        <v>29</v>
      </c>
      <c r="E71" t="s">
        <v>54</v>
      </c>
      <c r="F71" s="7">
        <f t="shared" ca="1" si="1"/>
        <v>58</v>
      </c>
      <c r="G71" t="s">
        <v>31</v>
      </c>
      <c r="H71" s="11" t="s">
        <v>1735</v>
      </c>
      <c r="I71" t="s">
        <v>1321</v>
      </c>
      <c r="J71" t="s">
        <v>1690</v>
      </c>
      <c r="K71" t="s">
        <v>201</v>
      </c>
      <c r="L71" t="s">
        <v>120</v>
      </c>
      <c r="M71" t="str">
        <f>VLOOKUP(Requests[[#This Row],[Ticket ID]],[2]Requests!$A$2:$D$649,4,FALSE)</f>
        <v>3 - Medium</v>
      </c>
      <c r="N71">
        <f>VLOOKUP(Requests[[#This Row],[Priority]],'SLA Config'!$B$3:$C$6,2,FALSE)</f>
        <v>15</v>
      </c>
      <c r="O71" t="str">
        <f ca="1">IF(Requests[[#This Row],[Age (days)]]&gt;Requests[[#This Row],[SLA Threshold]],"Yes","No")</f>
        <v>Yes</v>
      </c>
    </row>
    <row r="72" spans="1:15" hidden="1" x14ac:dyDescent="0.25">
      <c r="A72" t="s">
        <v>1839</v>
      </c>
      <c r="B72" s="1">
        <v>45015</v>
      </c>
      <c r="C72" s="8">
        <v>45104</v>
      </c>
      <c r="D72" t="s">
        <v>29</v>
      </c>
      <c r="E72" t="s">
        <v>324</v>
      </c>
      <c r="F72" s="7">
        <f t="shared" ca="1" si="1"/>
        <v>64</v>
      </c>
      <c r="G72" t="s">
        <v>31</v>
      </c>
      <c r="H72" s="11" t="s">
        <v>1840</v>
      </c>
      <c r="I72" t="s">
        <v>1336</v>
      </c>
      <c r="J72" t="s">
        <v>1841</v>
      </c>
      <c r="K72" t="s">
        <v>44</v>
      </c>
      <c r="L72" t="s">
        <v>36</v>
      </c>
      <c r="M72" t="str">
        <f>VLOOKUP(Requests[[#This Row],[Ticket ID]],[2]Requests!$A$2:$D$649,4,FALSE)</f>
        <v>4 - Low</v>
      </c>
      <c r="N72">
        <f>VLOOKUP(Requests[[#This Row],[Priority]],'SLA Config'!$B$3:$C$6,2,FALSE)</f>
        <v>25</v>
      </c>
      <c r="O72" t="str">
        <f ca="1">IF(Requests[[#This Row],[Age (days)]]&gt;Requests[[#This Row],[SLA Threshold]],"Yes","No")</f>
        <v>Yes</v>
      </c>
    </row>
    <row r="73" spans="1:15" hidden="1" x14ac:dyDescent="0.25">
      <c r="A73" t="s">
        <v>1842</v>
      </c>
      <c r="B73" s="1">
        <v>45016</v>
      </c>
      <c r="C73" s="8">
        <v>45034</v>
      </c>
      <c r="D73" t="s">
        <v>29</v>
      </c>
      <c r="E73" t="s">
        <v>54</v>
      </c>
      <c r="F73" s="7">
        <f t="shared" ca="1" si="1"/>
        <v>13</v>
      </c>
      <c r="G73" t="s">
        <v>31</v>
      </c>
      <c r="H73" s="11" t="s">
        <v>1843</v>
      </c>
      <c r="I73" t="s">
        <v>1336</v>
      </c>
      <c r="J73" t="s">
        <v>1348</v>
      </c>
      <c r="K73" t="s">
        <v>657</v>
      </c>
      <c r="L73" t="s">
        <v>36</v>
      </c>
      <c r="M73" t="str">
        <f>VLOOKUP(Requests[[#This Row],[Ticket ID]],[2]Requests!$A$2:$D$649,4,FALSE)</f>
        <v>4 - Low</v>
      </c>
      <c r="N73">
        <f>VLOOKUP(Requests[[#This Row],[Priority]],'SLA Config'!$B$3:$C$6,2,FALSE)</f>
        <v>25</v>
      </c>
      <c r="O73" t="str">
        <f ca="1">IF(Requests[[#This Row],[Age (days)]]&gt;Requests[[#This Row],[SLA Threshold]],"Yes","No")</f>
        <v>No</v>
      </c>
    </row>
    <row r="74" spans="1:15" hidden="1" x14ac:dyDescent="0.25">
      <c r="A74" t="s">
        <v>1844</v>
      </c>
      <c r="B74" s="1">
        <v>45020</v>
      </c>
      <c r="C74" s="8">
        <v>45025</v>
      </c>
      <c r="D74" t="s">
        <v>29</v>
      </c>
      <c r="E74" t="s">
        <v>104</v>
      </c>
      <c r="F74" s="7">
        <f t="shared" ca="1" si="1"/>
        <v>4</v>
      </c>
      <c r="G74" s="16" t="s">
        <v>51</v>
      </c>
      <c r="H74" s="11" t="s">
        <v>1845</v>
      </c>
      <c r="I74" t="s">
        <v>1693</v>
      </c>
      <c r="J74" t="s">
        <v>1694</v>
      </c>
      <c r="K74" t="s">
        <v>44</v>
      </c>
      <c r="L74" t="s">
        <v>36</v>
      </c>
      <c r="M74" t="str">
        <f>VLOOKUP(Requests[[#This Row],[Ticket ID]],[2]Requests!$A$2:$D$649,4,FALSE)</f>
        <v>4 - Low</v>
      </c>
      <c r="N74">
        <f>VLOOKUP(Requests[[#This Row],[Priority]],'SLA Config'!$B$3:$C$6,2,FALSE)</f>
        <v>25</v>
      </c>
      <c r="O74" t="str">
        <f ca="1">IF(Requests[[#This Row],[Age (days)]]&gt;Requests[[#This Row],[SLA Threshold]],"Yes","No")</f>
        <v>No</v>
      </c>
    </row>
    <row r="75" spans="1:15" ht="30" hidden="1" x14ac:dyDescent="0.25">
      <c r="A75" t="s">
        <v>1846</v>
      </c>
      <c r="B75" s="1">
        <v>45020</v>
      </c>
      <c r="C75" s="8">
        <v>45025</v>
      </c>
      <c r="D75" t="s">
        <v>29</v>
      </c>
      <c r="E75" t="s">
        <v>104</v>
      </c>
      <c r="F75" s="7">
        <f t="shared" ca="1" si="1"/>
        <v>4</v>
      </c>
      <c r="G75" s="16" t="s">
        <v>31</v>
      </c>
      <c r="H75" s="11" t="s">
        <v>1847</v>
      </c>
      <c r="I75" t="s">
        <v>1693</v>
      </c>
      <c r="J75" t="s">
        <v>1694</v>
      </c>
      <c r="K75" t="s">
        <v>44</v>
      </c>
      <c r="L75" t="s">
        <v>36</v>
      </c>
      <c r="M75" t="str">
        <f>VLOOKUP(Requests[[#This Row],[Ticket ID]],[2]Requests!$A$2:$D$649,4,FALSE)</f>
        <v>4 - Low</v>
      </c>
      <c r="N75">
        <f>VLOOKUP(Requests[[#This Row],[Priority]],'SLA Config'!$B$3:$C$6,2,FALSE)</f>
        <v>25</v>
      </c>
      <c r="O75" t="str">
        <f ca="1">IF(Requests[[#This Row],[Age (days)]]&gt;Requests[[#This Row],[SLA Threshold]],"Yes","No")</f>
        <v>No</v>
      </c>
    </row>
    <row r="76" spans="1:15" ht="30" hidden="1" x14ac:dyDescent="0.25">
      <c r="A76" t="s">
        <v>1848</v>
      </c>
      <c r="B76" s="1">
        <v>45020</v>
      </c>
      <c r="C76" s="8">
        <v>45025</v>
      </c>
      <c r="D76" t="s">
        <v>29</v>
      </c>
      <c r="E76" t="s">
        <v>104</v>
      </c>
      <c r="F76" s="7">
        <f t="shared" ca="1" si="1"/>
        <v>4</v>
      </c>
      <c r="G76" s="16" t="s">
        <v>31</v>
      </c>
      <c r="H76" s="11" t="s">
        <v>1849</v>
      </c>
      <c r="I76" t="s">
        <v>1693</v>
      </c>
      <c r="J76" t="s">
        <v>1694</v>
      </c>
      <c r="K76" t="s">
        <v>44</v>
      </c>
      <c r="L76" t="s">
        <v>36</v>
      </c>
      <c r="M76" t="str">
        <f>VLOOKUP(Requests[[#This Row],[Ticket ID]],[2]Requests!$A$2:$D$649,4,FALSE)</f>
        <v>4 - Low</v>
      </c>
      <c r="N76">
        <f>VLOOKUP(Requests[[#This Row],[Priority]],'SLA Config'!$B$3:$C$6,2,FALSE)</f>
        <v>25</v>
      </c>
      <c r="O76" t="str">
        <f ca="1">IF(Requests[[#This Row],[Age (days)]]&gt;Requests[[#This Row],[SLA Threshold]],"Yes","No")</f>
        <v>No</v>
      </c>
    </row>
    <row r="77" spans="1:15" hidden="1" x14ac:dyDescent="0.25">
      <c r="A77" t="s">
        <v>1850</v>
      </c>
      <c r="B77" s="1">
        <v>45025</v>
      </c>
      <c r="C77" s="8">
        <v>45164</v>
      </c>
      <c r="D77" t="s">
        <v>29</v>
      </c>
      <c r="E77" t="s">
        <v>104</v>
      </c>
      <c r="F77" s="7">
        <f t="shared" ca="1" si="1"/>
        <v>100</v>
      </c>
      <c r="G77" s="16" t="s">
        <v>31</v>
      </c>
      <c r="H77" s="11" t="s">
        <v>1851</v>
      </c>
      <c r="I77" t="s">
        <v>1693</v>
      </c>
      <c r="J77" t="s">
        <v>1694</v>
      </c>
      <c r="K77" t="s">
        <v>1695</v>
      </c>
      <c r="L77" t="s">
        <v>71</v>
      </c>
      <c r="M77" t="str">
        <f>VLOOKUP(Requests[[#This Row],[Ticket ID]],[2]Requests!$A$2:$D$649,4,FALSE)</f>
        <v>4 - Low</v>
      </c>
      <c r="N77">
        <f>VLOOKUP(Requests[[#This Row],[Priority]],'SLA Config'!$B$3:$C$6,2,FALSE)</f>
        <v>25</v>
      </c>
      <c r="O77" t="str">
        <f ca="1">IF(Requests[[#This Row],[Age (days)]]&gt;Requests[[#This Row],[SLA Threshold]],"Yes","No")</f>
        <v>Yes</v>
      </c>
    </row>
    <row r="78" spans="1:15" hidden="1" x14ac:dyDescent="0.25">
      <c r="A78" t="s">
        <v>1852</v>
      </c>
      <c r="B78" s="1">
        <v>45026</v>
      </c>
      <c r="C78" s="8">
        <v>45040</v>
      </c>
      <c r="D78" t="s">
        <v>29</v>
      </c>
      <c r="E78" t="s">
        <v>54</v>
      </c>
      <c r="F78" s="7">
        <f t="shared" ca="1" si="1"/>
        <v>11</v>
      </c>
      <c r="G78" s="16" t="s">
        <v>31</v>
      </c>
      <c r="H78" s="11" t="s">
        <v>1853</v>
      </c>
      <c r="I78" t="s">
        <v>1336</v>
      </c>
      <c r="J78" t="s">
        <v>40</v>
      </c>
      <c r="K78" t="s">
        <v>1854</v>
      </c>
      <c r="L78" t="s">
        <v>120</v>
      </c>
      <c r="M78" t="str">
        <f>VLOOKUP(Requests[[#This Row],[Ticket ID]],[2]Requests!$A$2:$D$649,4,FALSE)</f>
        <v>3 - Medium</v>
      </c>
      <c r="N78">
        <f>VLOOKUP(Requests[[#This Row],[Priority]],'SLA Config'!$B$3:$C$6,2,FALSE)</f>
        <v>15</v>
      </c>
      <c r="O78" t="str">
        <f ca="1">IF(Requests[[#This Row],[Age (days)]]&gt;Requests[[#This Row],[SLA Threshold]],"Yes","No")</f>
        <v>No</v>
      </c>
    </row>
    <row r="79" spans="1:15" hidden="1" x14ac:dyDescent="0.25">
      <c r="A79" t="s">
        <v>1855</v>
      </c>
      <c r="B79" s="1">
        <v>45027</v>
      </c>
      <c r="C79" s="8">
        <v>45040</v>
      </c>
      <c r="D79" t="s">
        <v>29</v>
      </c>
      <c r="E79" t="s">
        <v>273</v>
      </c>
      <c r="F79" s="7">
        <f t="shared" ca="1" si="1"/>
        <v>10</v>
      </c>
      <c r="G79" s="16" t="s">
        <v>31</v>
      </c>
      <c r="H79" s="11" t="s">
        <v>1856</v>
      </c>
      <c r="I79" t="s">
        <v>1336</v>
      </c>
      <c r="J79" t="s">
        <v>40</v>
      </c>
      <c r="K79" t="s">
        <v>503</v>
      </c>
      <c r="L79" t="s">
        <v>71</v>
      </c>
      <c r="M79" t="str">
        <f>VLOOKUP(Requests[[#This Row],[Ticket ID]],[2]Requests!$A$2:$D$649,4,FALSE)</f>
        <v>4 - Low</v>
      </c>
      <c r="N79">
        <f>VLOOKUP(Requests[[#This Row],[Priority]],'SLA Config'!$B$3:$C$6,2,FALSE)</f>
        <v>25</v>
      </c>
      <c r="O79" t="str">
        <f ca="1">IF(Requests[[#This Row],[Age (days)]]&gt;Requests[[#This Row],[SLA Threshold]],"Yes","No")</f>
        <v>No</v>
      </c>
    </row>
    <row r="80" spans="1:15" hidden="1" x14ac:dyDescent="0.25">
      <c r="A80" t="s">
        <v>1857</v>
      </c>
      <c r="B80" s="1">
        <v>45029</v>
      </c>
      <c r="C80" s="8">
        <v>45048</v>
      </c>
      <c r="D80" t="s">
        <v>29</v>
      </c>
      <c r="E80" t="s">
        <v>54</v>
      </c>
      <c r="F80" s="7">
        <f t="shared" ca="1" si="1"/>
        <v>14</v>
      </c>
      <c r="G80" s="16" t="s">
        <v>31</v>
      </c>
      <c r="H80" s="11" t="s">
        <v>1858</v>
      </c>
      <c r="I80" t="s">
        <v>1336</v>
      </c>
      <c r="J80" t="s">
        <v>40</v>
      </c>
      <c r="K80" t="s">
        <v>1859</v>
      </c>
      <c r="L80" t="s">
        <v>120</v>
      </c>
      <c r="M80" t="str">
        <f>VLOOKUP(Requests[[#This Row],[Ticket ID]],[2]Requests!$A$2:$D$649,4,FALSE)</f>
        <v>4 - Low</v>
      </c>
      <c r="N80">
        <f>VLOOKUP(Requests[[#This Row],[Priority]],'SLA Config'!$B$3:$C$6,2,FALSE)</f>
        <v>25</v>
      </c>
      <c r="O80" t="str">
        <f ca="1">IF(Requests[[#This Row],[Age (days)]]&gt;Requests[[#This Row],[SLA Threshold]],"Yes","No")</f>
        <v>No</v>
      </c>
    </row>
    <row r="81" spans="1:15" hidden="1" x14ac:dyDescent="0.25">
      <c r="A81" t="s">
        <v>1860</v>
      </c>
      <c r="B81" s="1">
        <v>45029</v>
      </c>
      <c r="C81" s="8">
        <v>45048</v>
      </c>
      <c r="D81" t="s">
        <v>29</v>
      </c>
      <c r="E81" t="s">
        <v>54</v>
      </c>
      <c r="F81" s="7">
        <f t="shared" ca="1" si="1"/>
        <v>14</v>
      </c>
      <c r="G81" s="16" t="s">
        <v>31</v>
      </c>
      <c r="H81" s="11" t="s">
        <v>1861</v>
      </c>
      <c r="I81" t="s">
        <v>1336</v>
      </c>
      <c r="J81" t="s">
        <v>40</v>
      </c>
      <c r="K81" t="s">
        <v>1862</v>
      </c>
      <c r="L81" t="s">
        <v>120</v>
      </c>
      <c r="M81" t="str">
        <f>VLOOKUP(Requests[[#This Row],[Ticket ID]],[2]Requests!$A$2:$D$649,4,FALSE)</f>
        <v>4 - Low</v>
      </c>
      <c r="N81">
        <f>VLOOKUP(Requests[[#This Row],[Priority]],'SLA Config'!$B$3:$C$6,2,FALSE)</f>
        <v>25</v>
      </c>
      <c r="O81" t="str">
        <f ca="1">IF(Requests[[#This Row],[Age (days)]]&gt;Requests[[#This Row],[SLA Threshold]],"Yes","No")</f>
        <v>No</v>
      </c>
    </row>
    <row r="82" spans="1:15" hidden="1" x14ac:dyDescent="0.25">
      <c r="A82" t="s">
        <v>1863</v>
      </c>
      <c r="B82" s="1">
        <v>45030</v>
      </c>
      <c r="C82" s="8">
        <v>45066</v>
      </c>
      <c r="D82" t="s">
        <v>29</v>
      </c>
      <c r="E82" t="s">
        <v>273</v>
      </c>
      <c r="F82" s="7">
        <f t="shared" ca="1" si="1"/>
        <v>26</v>
      </c>
      <c r="G82" s="16" t="s">
        <v>31</v>
      </c>
      <c r="H82" s="11" t="s">
        <v>1864</v>
      </c>
      <c r="I82" t="s">
        <v>394</v>
      </c>
      <c r="J82" t="s">
        <v>40</v>
      </c>
      <c r="K82" t="s">
        <v>215</v>
      </c>
      <c r="L82" t="s">
        <v>120</v>
      </c>
      <c r="M82" t="str">
        <f>VLOOKUP(Requests[[#This Row],[Ticket ID]],[2]Requests!$A$2:$D$649,4,FALSE)</f>
        <v>4 - Low</v>
      </c>
      <c r="N82">
        <f>VLOOKUP(Requests[[#This Row],[Priority]],'SLA Config'!$B$3:$C$6,2,FALSE)</f>
        <v>25</v>
      </c>
      <c r="O82" t="str">
        <f ca="1">IF(Requests[[#This Row],[Age (days)]]&gt;Requests[[#This Row],[SLA Threshold]],"Yes","No")</f>
        <v>Yes</v>
      </c>
    </row>
    <row r="83" spans="1:15" hidden="1" x14ac:dyDescent="0.25">
      <c r="A83" t="s">
        <v>1865</v>
      </c>
      <c r="B83" s="1">
        <v>45035</v>
      </c>
      <c r="C83" s="8">
        <v>45165</v>
      </c>
      <c r="D83" t="s">
        <v>29</v>
      </c>
      <c r="E83" t="s">
        <v>104</v>
      </c>
      <c r="F83" s="7">
        <f t="shared" ca="1" si="1"/>
        <v>93</v>
      </c>
      <c r="G83" s="16" t="s">
        <v>51</v>
      </c>
      <c r="H83" s="11" t="s">
        <v>1866</v>
      </c>
      <c r="I83" t="s">
        <v>394</v>
      </c>
      <c r="J83" t="s">
        <v>40</v>
      </c>
      <c r="K83" t="s">
        <v>1758</v>
      </c>
      <c r="L83" t="s">
        <v>120</v>
      </c>
      <c r="M83" t="str">
        <f>VLOOKUP(Requests[[#This Row],[Ticket ID]],[2]Requests!$A$2:$D$649,4,FALSE)</f>
        <v>4 - Low</v>
      </c>
      <c r="N83">
        <f>VLOOKUP(Requests[[#This Row],[Priority]],'SLA Config'!$B$3:$C$6,2,FALSE)</f>
        <v>25</v>
      </c>
      <c r="O83" t="str">
        <f ca="1">IF(Requests[[#This Row],[Age (days)]]&gt;Requests[[#This Row],[SLA Threshold]],"Yes","No")</f>
        <v>Yes</v>
      </c>
    </row>
    <row r="84" spans="1:15" hidden="1" x14ac:dyDescent="0.25">
      <c r="A84" t="s">
        <v>1867</v>
      </c>
      <c r="B84" s="1">
        <v>45036</v>
      </c>
      <c r="C84" s="8">
        <v>45054</v>
      </c>
      <c r="D84" t="s">
        <v>29</v>
      </c>
      <c r="E84" t="s">
        <v>324</v>
      </c>
      <c r="F84" s="7">
        <f t="shared" ca="1" si="1"/>
        <v>13</v>
      </c>
      <c r="G84" s="16" t="s">
        <v>31</v>
      </c>
      <c r="H84" s="11" t="s">
        <v>1868</v>
      </c>
      <c r="I84" t="s">
        <v>1336</v>
      </c>
      <c r="J84" t="s">
        <v>40</v>
      </c>
      <c r="K84" t="s">
        <v>1869</v>
      </c>
      <c r="L84" t="s">
        <v>71</v>
      </c>
      <c r="M84" t="str">
        <f>VLOOKUP(Requests[[#This Row],[Ticket ID]],[2]Requests!$A$2:$D$649,4,FALSE)</f>
        <v>4 - Low</v>
      </c>
      <c r="N84">
        <f>VLOOKUP(Requests[[#This Row],[Priority]],'SLA Config'!$B$3:$C$6,2,FALSE)</f>
        <v>25</v>
      </c>
      <c r="O84" t="str">
        <f ca="1">IF(Requests[[#This Row],[Age (days)]]&gt;Requests[[#This Row],[SLA Threshold]],"Yes","No")</f>
        <v>No</v>
      </c>
    </row>
    <row r="85" spans="1:15" hidden="1" x14ac:dyDescent="0.25">
      <c r="A85" t="s">
        <v>1870</v>
      </c>
      <c r="B85" s="1">
        <v>45049</v>
      </c>
      <c r="C85" s="8">
        <v>45067</v>
      </c>
      <c r="D85" t="s">
        <v>29</v>
      </c>
      <c r="E85" t="s">
        <v>38</v>
      </c>
      <c r="F85" s="7">
        <f t="shared" ca="1" si="1"/>
        <v>13</v>
      </c>
      <c r="G85" s="16" t="s">
        <v>31</v>
      </c>
      <c r="H85" s="11" t="s">
        <v>1871</v>
      </c>
      <c r="I85" t="s">
        <v>727</v>
      </c>
      <c r="J85" t="s">
        <v>1872</v>
      </c>
      <c r="K85" t="s">
        <v>44</v>
      </c>
      <c r="L85" t="s">
        <v>36</v>
      </c>
      <c r="M85" t="str">
        <f>VLOOKUP(Requests[[#This Row],[Ticket ID]],[2]Requests!$A$2:$D$649,4,FALSE)</f>
        <v>4 - Low</v>
      </c>
      <c r="N85">
        <f>VLOOKUP(Requests[[#This Row],[Priority]],'SLA Config'!$B$3:$C$6,2,FALSE)</f>
        <v>25</v>
      </c>
      <c r="O85" t="str">
        <f ca="1">IF(Requests[[#This Row],[Age (days)]]&gt;Requests[[#This Row],[SLA Threshold]],"Yes","No")</f>
        <v>No</v>
      </c>
    </row>
    <row r="86" spans="1:15" hidden="1" x14ac:dyDescent="0.25">
      <c r="A86" s="17" t="s">
        <v>1873</v>
      </c>
      <c r="B86" s="1">
        <v>45054</v>
      </c>
      <c r="C86" s="8">
        <v>45073</v>
      </c>
      <c r="D86" t="s">
        <v>29</v>
      </c>
      <c r="E86" t="s">
        <v>273</v>
      </c>
      <c r="F86" s="7">
        <f t="shared" ca="1" si="1"/>
        <v>15</v>
      </c>
      <c r="G86" s="16" t="s">
        <v>31</v>
      </c>
      <c r="H86" s="11" t="s">
        <v>1874</v>
      </c>
      <c r="I86" t="s">
        <v>727</v>
      </c>
      <c r="J86" t="s">
        <v>1872</v>
      </c>
      <c r="K86" t="s">
        <v>231</v>
      </c>
      <c r="L86" t="s">
        <v>120</v>
      </c>
      <c r="M86" t="str">
        <f>VLOOKUP(Requests[[#This Row],[Ticket ID]],[2]Requests!$A$2:$D$649,4,FALSE)</f>
        <v>4 - Low</v>
      </c>
      <c r="N86">
        <f>VLOOKUP(Requests[[#This Row],[Priority]],'SLA Config'!$B$3:$C$6,2,FALSE)</f>
        <v>25</v>
      </c>
      <c r="O86" t="str">
        <f ca="1">IF(Requests[[#This Row],[Age (days)]]&gt;Requests[[#This Row],[SLA Threshold]],"Yes","No")</f>
        <v>No</v>
      </c>
    </row>
    <row r="87" spans="1:15" hidden="1" x14ac:dyDescent="0.25">
      <c r="A87" s="17" t="s">
        <v>1875</v>
      </c>
      <c r="B87" s="1">
        <v>45056</v>
      </c>
      <c r="C87" s="8">
        <v>45068</v>
      </c>
      <c r="D87" t="s">
        <v>29</v>
      </c>
      <c r="E87" t="s">
        <v>104</v>
      </c>
      <c r="F87" s="7">
        <f t="shared" ca="1" si="1"/>
        <v>9</v>
      </c>
      <c r="G87" s="16" t="s">
        <v>51</v>
      </c>
      <c r="H87" s="11" t="s">
        <v>1876</v>
      </c>
      <c r="I87" t="s">
        <v>1321</v>
      </c>
      <c r="J87" t="s">
        <v>1877</v>
      </c>
      <c r="K87" t="s">
        <v>201</v>
      </c>
      <c r="L87" t="s">
        <v>120</v>
      </c>
      <c r="M87" t="str">
        <f>VLOOKUP(Requests[[#This Row],[Ticket ID]],[2]Requests!$A$2:$D$649,4,FALSE)</f>
        <v>4 - Low</v>
      </c>
      <c r="N87">
        <f>VLOOKUP(Requests[[#This Row],[Priority]],'SLA Config'!$B$3:$C$6,2,FALSE)</f>
        <v>25</v>
      </c>
      <c r="O87" t="str">
        <f ca="1">IF(Requests[[#This Row],[Age (days)]]&gt;Requests[[#This Row],[SLA Threshold]],"Yes","No")</f>
        <v>No</v>
      </c>
    </row>
    <row r="88" spans="1:15" hidden="1" x14ac:dyDescent="0.25">
      <c r="A88" s="17" t="s">
        <v>1878</v>
      </c>
      <c r="B88" s="1">
        <v>45058</v>
      </c>
      <c r="C88" s="8">
        <v>45089</v>
      </c>
      <c r="D88" t="s">
        <v>29</v>
      </c>
      <c r="E88" t="s">
        <v>324</v>
      </c>
      <c r="F88" s="7">
        <f t="shared" ca="1" si="1"/>
        <v>22</v>
      </c>
      <c r="G88" s="16" t="s">
        <v>31</v>
      </c>
      <c r="H88" s="11" t="s">
        <v>1879</v>
      </c>
      <c r="I88" t="s">
        <v>1327</v>
      </c>
      <c r="J88" t="s">
        <v>1880</v>
      </c>
      <c r="K88" t="s">
        <v>44</v>
      </c>
      <c r="L88" t="s">
        <v>36</v>
      </c>
      <c r="M88" t="str">
        <f>VLOOKUP(Requests[[#This Row],[Ticket ID]],[2]Requests!$A$2:$D$649,4,FALSE)</f>
        <v>4 - Low</v>
      </c>
      <c r="N88">
        <f>VLOOKUP(Requests[[#This Row],[Priority]],'SLA Config'!$B$3:$C$6,2,FALSE)</f>
        <v>25</v>
      </c>
      <c r="O88" t="str">
        <f ca="1">IF(Requests[[#This Row],[Age (days)]]&gt;Requests[[#This Row],[SLA Threshold]],"Yes","No")</f>
        <v>No</v>
      </c>
    </row>
    <row r="89" spans="1:15" ht="30" hidden="1" x14ac:dyDescent="0.25">
      <c r="A89" s="17" t="s">
        <v>1881</v>
      </c>
      <c r="B89" s="1">
        <v>45060</v>
      </c>
      <c r="C89" s="8">
        <v>45066</v>
      </c>
      <c r="D89" t="s">
        <v>29</v>
      </c>
      <c r="E89" t="s">
        <v>104</v>
      </c>
      <c r="F89" s="7">
        <f t="shared" ca="1" si="1"/>
        <v>5</v>
      </c>
      <c r="G89" s="16" t="s">
        <v>31</v>
      </c>
      <c r="H89" s="11" t="s">
        <v>1692</v>
      </c>
      <c r="I89" t="s">
        <v>1693</v>
      </c>
      <c r="J89" t="s">
        <v>1694</v>
      </c>
      <c r="K89" t="s">
        <v>1695</v>
      </c>
      <c r="L89" t="s">
        <v>71</v>
      </c>
      <c r="M89" t="str">
        <f>VLOOKUP(Requests[[#This Row],[Ticket ID]],[2]Requests!$A$2:$D$649,4,FALSE)</f>
        <v>4 - Low</v>
      </c>
      <c r="N89">
        <f>VLOOKUP(Requests[[#This Row],[Priority]],'SLA Config'!$B$3:$C$6,2,FALSE)</f>
        <v>25</v>
      </c>
      <c r="O89" t="str">
        <f ca="1">IF(Requests[[#This Row],[Age (days)]]&gt;Requests[[#This Row],[SLA Threshold]],"Yes","No")</f>
        <v>No</v>
      </c>
    </row>
    <row r="90" spans="1:15" ht="30" hidden="1" x14ac:dyDescent="0.25">
      <c r="A90" s="17" t="s">
        <v>1882</v>
      </c>
      <c r="B90" s="1">
        <v>45061</v>
      </c>
      <c r="C90" s="8">
        <v>45084</v>
      </c>
      <c r="D90" t="s">
        <v>29</v>
      </c>
      <c r="E90" t="s">
        <v>54</v>
      </c>
      <c r="F90" s="7">
        <f t="shared" ca="1" si="1"/>
        <v>18</v>
      </c>
      <c r="G90" s="16" t="s">
        <v>31</v>
      </c>
      <c r="H90" s="11" t="s">
        <v>1883</v>
      </c>
      <c r="I90" t="s">
        <v>727</v>
      </c>
      <c r="J90" t="s">
        <v>40</v>
      </c>
      <c r="K90" t="s">
        <v>201</v>
      </c>
      <c r="L90" t="s">
        <v>120</v>
      </c>
      <c r="M90" t="str">
        <f>VLOOKUP(Requests[[#This Row],[Ticket ID]],[2]Requests!$A$2:$D$649,4,FALSE)</f>
        <v>4 - Low</v>
      </c>
      <c r="N90">
        <f>VLOOKUP(Requests[[#This Row],[Priority]],'SLA Config'!$B$3:$C$6,2,FALSE)</f>
        <v>25</v>
      </c>
      <c r="O90" t="str">
        <f ca="1">IF(Requests[[#This Row],[Age (days)]]&gt;Requests[[#This Row],[SLA Threshold]],"Yes","No")</f>
        <v>No</v>
      </c>
    </row>
    <row r="91" spans="1:15" hidden="1" x14ac:dyDescent="0.25">
      <c r="A91" s="17" t="s">
        <v>1884</v>
      </c>
      <c r="B91" s="1">
        <v>45063</v>
      </c>
      <c r="C91" s="8">
        <v>45151</v>
      </c>
      <c r="D91" t="s">
        <v>29</v>
      </c>
      <c r="E91" t="s">
        <v>54</v>
      </c>
      <c r="F91" s="7">
        <f t="shared" ca="1" si="1"/>
        <v>63</v>
      </c>
      <c r="G91" s="16" t="s">
        <v>31</v>
      </c>
      <c r="H91" s="11" t="s">
        <v>1885</v>
      </c>
      <c r="I91" t="s">
        <v>1336</v>
      </c>
      <c r="J91" t="s">
        <v>40</v>
      </c>
      <c r="K91" t="s">
        <v>201</v>
      </c>
      <c r="L91" t="s">
        <v>120</v>
      </c>
      <c r="M91" t="str">
        <f>VLOOKUP(Requests[[#This Row],[Ticket ID]],[2]Requests!$A$2:$D$649,4,FALSE)</f>
        <v>4 - Low</v>
      </c>
      <c r="N91">
        <f>VLOOKUP(Requests[[#This Row],[Priority]],'SLA Config'!$B$3:$C$6,2,FALSE)</f>
        <v>25</v>
      </c>
      <c r="O91" t="str">
        <f ca="1">IF(Requests[[#This Row],[Age (days)]]&gt;Requests[[#This Row],[SLA Threshold]],"Yes","No")</f>
        <v>Yes</v>
      </c>
    </row>
    <row r="92" spans="1:15" hidden="1" x14ac:dyDescent="0.25">
      <c r="A92" s="17" t="s">
        <v>1886</v>
      </c>
      <c r="B92" s="1">
        <v>45065</v>
      </c>
      <c r="C92" s="8">
        <v>45083</v>
      </c>
      <c r="D92" t="s">
        <v>29</v>
      </c>
      <c r="E92" t="s">
        <v>324</v>
      </c>
      <c r="F92" s="7">
        <f t="shared" ca="1" si="1"/>
        <v>13</v>
      </c>
      <c r="G92" s="16" t="s">
        <v>51</v>
      </c>
      <c r="H92" s="11" t="s">
        <v>1887</v>
      </c>
      <c r="I92" t="s">
        <v>394</v>
      </c>
      <c r="J92" t="s">
        <v>584</v>
      </c>
      <c r="K92" t="s">
        <v>119</v>
      </c>
      <c r="L92" t="s">
        <v>120</v>
      </c>
      <c r="M92" t="str">
        <f>VLOOKUP(Requests[[#This Row],[Ticket ID]],[2]Requests!$A$2:$D$649,4,FALSE)</f>
        <v>4 - Low</v>
      </c>
      <c r="N92">
        <f>VLOOKUP(Requests[[#This Row],[Priority]],'SLA Config'!$B$3:$C$6,2,FALSE)</f>
        <v>25</v>
      </c>
      <c r="O92" t="str">
        <f ca="1">IF(Requests[[#This Row],[Age (days)]]&gt;Requests[[#This Row],[SLA Threshold]],"Yes","No")</f>
        <v>No</v>
      </c>
    </row>
    <row r="93" spans="1:15" ht="30" hidden="1" x14ac:dyDescent="0.25">
      <c r="A93" s="17" t="s">
        <v>1888</v>
      </c>
      <c r="B93" s="1">
        <v>45067</v>
      </c>
      <c r="C93" s="8">
        <v>45073</v>
      </c>
      <c r="D93" t="s">
        <v>29</v>
      </c>
      <c r="E93" t="s">
        <v>104</v>
      </c>
      <c r="F93" s="7">
        <f t="shared" ca="1" si="1"/>
        <v>5</v>
      </c>
      <c r="G93" s="16" t="s">
        <v>31</v>
      </c>
      <c r="H93" s="11" t="s">
        <v>1692</v>
      </c>
      <c r="I93" t="s">
        <v>1693</v>
      </c>
      <c r="J93" t="s">
        <v>1694</v>
      </c>
      <c r="K93" t="s">
        <v>1695</v>
      </c>
      <c r="L93" t="s">
        <v>71</v>
      </c>
      <c r="M93" t="str">
        <f>VLOOKUP(Requests[[#This Row],[Ticket ID]],[2]Requests!$A$2:$D$649,4,FALSE)</f>
        <v>4 - Low</v>
      </c>
      <c r="N93">
        <f>VLOOKUP(Requests[[#This Row],[Priority]],'SLA Config'!$B$3:$C$6,2,FALSE)</f>
        <v>25</v>
      </c>
      <c r="O93" t="str">
        <f ca="1">IF(Requests[[#This Row],[Age (days)]]&gt;Requests[[#This Row],[SLA Threshold]],"Yes","No")</f>
        <v>No</v>
      </c>
    </row>
    <row r="94" spans="1:15" hidden="1" x14ac:dyDescent="0.25">
      <c r="A94" s="17" t="s">
        <v>1889</v>
      </c>
      <c r="B94" s="1">
        <v>45072</v>
      </c>
      <c r="C94" s="8">
        <v>45199</v>
      </c>
      <c r="D94" t="s">
        <v>29</v>
      </c>
      <c r="E94" t="s">
        <v>273</v>
      </c>
      <c r="F94" s="7">
        <f t="shared" ca="1" si="1"/>
        <v>91</v>
      </c>
      <c r="G94" s="16" t="s">
        <v>31</v>
      </c>
      <c r="H94" s="11" t="s">
        <v>1890</v>
      </c>
      <c r="I94" t="s">
        <v>727</v>
      </c>
      <c r="J94" t="s">
        <v>40</v>
      </c>
      <c r="K94" t="s">
        <v>201</v>
      </c>
      <c r="L94" t="s">
        <v>120</v>
      </c>
      <c r="M94" t="str">
        <f>VLOOKUP(Requests[[#This Row],[Ticket ID]],[2]Requests!$A$2:$D$649,4,FALSE)</f>
        <v>4 - Low</v>
      </c>
      <c r="N94">
        <f>VLOOKUP(Requests[[#This Row],[Priority]],'SLA Config'!$B$3:$C$6,2,FALSE)</f>
        <v>25</v>
      </c>
      <c r="O94" t="str">
        <f ca="1">IF(Requests[[#This Row],[Age (days)]]&gt;Requests[[#This Row],[SLA Threshold]],"Yes","No")</f>
        <v>Yes</v>
      </c>
    </row>
    <row r="95" spans="1:15" hidden="1" x14ac:dyDescent="0.25">
      <c r="A95" s="17" t="s">
        <v>1891</v>
      </c>
      <c r="B95" s="1">
        <v>45072</v>
      </c>
      <c r="C95" s="8">
        <v>45147</v>
      </c>
      <c r="D95" t="s">
        <v>29</v>
      </c>
      <c r="E95" t="s">
        <v>273</v>
      </c>
      <c r="F95" s="7">
        <f t="shared" ca="1" si="1"/>
        <v>54</v>
      </c>
      <c r="G95" s="16" t="s">
        <v>31</v>
      </c>
      <c r="H95" s="11" t="s">
        <v>1892</v>
      </c>
      <c r="I95" t="s">
        <v>394</v>
      </c>
      <c r="J95" t="s">
        <v>40</v>
      </c>
      <c r="K95" t="s">
        <v>201</v>
      </c>
      <c r="L95" t="s">
        <v>120</v>
      </c>
      <c r="M95" t="str">
        <f>VLOOKUP(Requests[[#This Row],[Ticket ID]],[2]Requests!$A$2:$D$649,4,FALSE)</f>
        <v>4 - Low</v>
      </c>
      <c r="N95">
        <f>VLOOKUP(Requests[[#This Row],[Priority]],'SLA Config'!$B$3:$C$6,2,FALSE)</f>
        <v>25</v>
      </c>
      <c r="O95" t="str">
        <f ca="1">IF(Requests[[#This Row],[Age (days)]]&gt;Requests[[#This Row],[SLA Threshold]],"Yes","No")</f>
        <v>Yes</v>
      </c>
    </row>
    <row r="96" spans="1:15" ht="30" hidden="1" x14ac:dyDescent="0.25">
      <c r="A96" s="17" t="s">
        <v>1893</v>
      </c>
      <c r="B96" s="1">
        <v>45074</v>
      </c>
      <c r="C96" s="8">
        <v>45080</v>
      </c>
      <c r="D96" t="s">
        <v>29</v>
      </c>
      <c r="E96" t="s">
        <v>104</v>
      </c>
      <c r="F96" s="7">
        <f t="shared" ca="1" si="1"/>
        <v>5</v>
      </c>
      <c r="G96" s="16" t="s">
        <v>31</v>
      </c>
      <c r="H96" s="11" t="s">
        <v>1692</v>
      </c>
      <c r="I96" t="s">
        <v>1693</v>
      </c>
      <c r="J96" t="s">
        <v>1694</v>
      </c>
      <c r="K96" t="s">
        <v>1695</v>
      </c>
      <c r="L96" t="s">
        <v>71</v>
      </c>
      <c r="M96" t="str">
        <f>VLOOKUP(Requests[[#This Row],[Ticket ID]],[2]Requests!$A$2:$D$649,4,FALSE)</f>
        <v>4 - Low</v>
      </c>
      <c r="N96">
        <f>VLOOKUP(Requests[[#This Row],[Priority]],'SLA Config'!$B$3:$C$6,2,FALSE)</f>
        <v>25</v>
      </c>
      <c r="O96" t="str">
        <f ca="1">IF(Requests[[#This Row],[Age (days)]]&gt;Requests[[#This Row],[SLA Threshold]],"Yes","No")</f>
        <v>No</v>
      </c>
    </row>
    <row r="97" spans="1:15" hidden="1" x14ac:dyDescent="0.25">
      <c r="A97" s="17" t="s">
        <v>1894</v>
      </c>
      <c r="B97" s="1">
        <v>45081</v>
      </c>
      <c r="C97" s="8">
        <v>45097</v>
      </c>
      <c r="D97" t="s">
        <v>29</v>
      </c>
      <c r="E97" t="s">
        <v>104</v>
      </c>
      <c r="F97" s="7">
        <f t="shared" ca="1" si="1"/>
        <v>12</v>
      </c>
      <c r="G97" s="16" t="s">
        <v>31</v>
      </c>
      <c r="H97" s="11" t="s">
        <v>1895</v>
      </c>
      <c r="I97" t="s">
        <v>1693</v>
      </c>
      <c r="J97" t="s">
        <v>1694</v>
      </c>
      <c r="K97" t="s">
        <v>1695</v>
      </c>
      <c r="L97" t="s">
        <v>71</v>
      </c>
      <c r="M97" t="str">
        <f>VLOOKUP(Requests[[#This Row],[Ticket ID]],[2]Requests!$A$2:$D$649,4,FALSE)</f>
        <v>4 - Low</v>
      </c>
      <c r="N97">
        <f>VLOOKUP(Requests[[#This Row],[Priority]],'SLA Config'!$B$3:$C$6,2,FALSE)</f>
        <v>25</v>
      </c>
      <c r="O97" t="str">
        <f ca="1">IF(Requests[[#This Row],[Age (days)]]&gt;Requests[[#This Row],[SLA Threshold]],"Yes","No")</f>
        <v>No</v>
      </c>
    </row>
    <row r="98" spans="1:15" ht="30" hidden="1" x14ac:dyDescent="0.25">
      <c r="A98" s="17" t="s">
        <v>1896</v>
      </c>
      <c r="B98" s="1">
        <v>45083</v>
      </c>
      <c r="C98" s="8">
        <v>45094</v>
      </c>
      <c r="D98" t="s">
        <v>29</v>
      </c>
      <c r="E98" t="s">
        <v>324</v>
      </c>
      <c r="F98" s="7">
        <f t="shared" ca="1" si="1"/>
        <v>9</v>
      </c>
      <c r="G98" s="16" t="s">
        <v>31</v>
      </c>
      <c r="H98" s="11" t="s">
        <v>1897</v>
      </c>
      <c r="I98" t="s">
        <v>1336</v>
      </c>
      <c r="J98" t="s">
        <v>40</v>
      </c>
      <c r="K98" t="s">
        <v>432</v>
      </c>
      <c r="L98" t="s">
        <v>71</v>
      </c>
      <c r="M98" t="str">
        <f>VLOOKUP(Requests[[#This Row],[Ticket ID]],[2]Requests!$A$2:$D$649,4,FALSE)</f>
        <v>4 - Low</v>
      </c>
      <c r="N98">
        <f>VLOOKUP(Requests[[#This Row],[Priority]],'SLA Config'!$B$3:$C$6,2,FALSE)</f>
        <v>25</v>
      </c>
      <c r="O98" t="str">
        <f ca="1">IF(Requests[[#This Row],[Age (days)]]&gt;Requests[[#This Row],[SLA Threshold]],"Yes","No")</f>
        <v>No</v>
      </c>
    </row>
    <row r="99" spans="1:15" ht="30" hidden="1" x14ac:dyDescent="0.25">
      <c r="A99" s="17" t="s">
        <v>1898</v>
      </c>
      <c r="B99" s="1">
        <v>45083</v>
      </c>
      <c r="C99" s="8">
        <v>45090</v>
      </c>
      <c r="D99" t="s">
        <v>29</v>
      </c>
      <c r="E99" t="s">
        <v>54</v>
      </c>
      <c r="F99" s="7">
        <f t="shared" ca="1" si="1"/>
        <v>6</v>
      </c>
      <c r="G99" s="16" t="s">
        <v>31</v>
      </c>
      <c r="H99" s="11" t="s">
        <v>1899</v>
      </c>
      <c r="I99" t="s">
        <v>1336</v>
      </c>
      <c r="J99" t="s">
        <v>40</v>
      </c>
      <c r="K99" t="s">
        <v>201</v>
      </c>
      <c r="L99" t="s">
        <v>120</v>
      </c>
      <c r="M99" t="str">
        <f>VLOOKUP(Requests[[#This Row],[Ticket ID]],[2]Requests!$A$2:$D$649,4,FALSE)</f>
        <v>4 - Low</v>
      </c>
      <c r="N99">
        <f>VLOOKUP(Requests[[#This Row],[Priority]],'SLA Config'!$B$3:$C$6,2,FALSE)</f>
        <v>25</v>
      </c>
      <c r="O99" t="str">
        <f ca="1">IF(Requests[[#This Row],[Age (days)]]&gt;Requests[[#This Row],[SLA Threshold]],"Yes","No")</f>
        <v>No</v>
      </c>
    </row>
    <row r="100" spans="1:15" hidden="1" x14ac:dyDescent="0.25">
      <c r="A100" t="s">
        <v>1900</v>
      </c>
      <c r="B100" s="1">
        <v>45086</v>
      </c>
      <c r="C100" s="8">
        <v>45091</v>
      </c>
      <c r="D100" t="s">
        <v>29</v>
      </c>
      <c r="E100" t="s">
        <v>324</v>
      </c>
      <c r="F100" s="7">
        <f t="shared" ca="1" si="1"/>
        <v>4</v>
      </c>
      <c r="G100" t="s">
        <v>31</v>
      </c>
      <c r="H100" s="11" t="s">
        <v>1901</v>
      </c>
      <c r="I100" t="s">
        <v>589</v>
      </c>
      <c r="J100" t="s">
        <v>1902</v>
      </c>
      <c r="K100" t="s">
        <v>44</v>
      </c>
      <c r="L100" t="s">
        <v>36</v>
      </c>
      <c r="M100" t="str">
        <f>VLOOKUP(Requests[[#This Row],[Ticket ID]],[2]Requests!$A$2:$D$649,4,FALSE)</f>
        <v>4 - Low</v>
      </c>
      <c r="N100">
        <f>VLOOKUP(Requests[[#This Row],[Priority]],'SLA Config'!$B$3:$C$6,2,FALSE)</f>
        <v>25</v>
      </c>
      <c r="O100" t="str">
        <f ca="1">IF(Requests[[#This Row],[Age (days)]]&gt;Requests[[#This Row],[SLA Threshold]],"Yes","No")</f>
        <v>No</v>
      </c>
    </row>
    <row r="101" spans="1:15" hidden="1" x14ac:dyDescent="0.25">
      <c r="A101" t="s">
        <v>1903</v>
      </c>
      <c r="B101" s="1">
        <v>45086</v>
      </c>
      <c r="C101" s="8">
        <v>45094</v>
      </c>
      <c r="D101" t="s">
        <v>29</v>
      </c>
      <c r="E101" t="s">
        <v>324</v>
      </c>
      <c r="F101" s="7">
        <f t="shared" ca="1" si="1"/>
        <v>6</v>
      </c>
      <c r="G101" t="s">
        <v>31</v>
      </c>
      <c r="H101" s="11" t="s">
        <v>1904</v>
      </c>
      <c r="I101" t="s">
        <v>1336</v>
      </c>
      <c r="J101" t="s">
        <v>40</v>
      </c>
      <c r="K101" t="s">
        <v>1905</v>
      </c>
      <c r="L101" t="s">
        <v>120</v>
      </c>
      <c r="M101" t="str">
        <f>VLOOKUP(Requests[[#This Row],[Ticket ID]],[2]Requests!$A$2:$D$649,4,FALSE)</f>
        <v>4 - Low</v>
      </c>
      <c r="N101">
        <f>VLOOKUP(Requests[[#This Row],[Priority]],'SLA Config'!$B$3:$C$6,2,FALSE)</f>
        <v>25</v>
      </c>
      <c r="O101" t="str">
        <f ca="1">IF(Requests[[#This Row],[Age (days)]]&gt;Requests[[#This Row],[SLA Threshold]],"Yes","No")</f>
        <v>No</v>
      </c>
    </row>
    <row r="102" spans="1:15" hidden="1" x14ac:dyDescent="0.25">
      <c r="A102" t="s">
        <v>1906</v>
      </c>
      <c r="B102" s="1">
        <v>45086</v>
      </c>
      <c r="C102" s="8">
        <v>45104</v>
      </c>
      <c r="D102" t="s">
        <v>29</v>
      </c>
      <c r="E102" t="s">
        <v>54</v>
      </c>
      <c r="F102" s="7">
        <f t="shared" ca="1" si="1"/>
        <v>13</v>
      </c>
      <c r="G102" t="s">
        <v>51</v>
      </c>
      <c r="H102" s="11" t="s">
        <v>1907</v>
      </c>
      <c r="I102" t="s">
        <v>1321</v>
      </c>
      <c r="J102" t="s">
        <v>1743</v>
      </c>
      <c r="K102" t="s">
        <v>201</v>
      </c>
      <c r="L102" t="s">
        <v>120</v>
      </c>
      <c r="M102" t="str">
        <f>VLOOKUP(Requests[[#This Row],[Ticket ID]],[2]Requests!$A$2:$D$649,4,FALSE)</f>
        <v>4 - Low</v>
      </c>
      <c r="N102">
        <f>VLOOKUP(Requests[[#This Row],[Priority]],'SLA Config'!$B$3:$C$6,2,FALSE)</f>
        <v>25</v>
      </c>
      <c r="O102" t="str">
        <f ca="1">IF(Requests[[#This Row],[Age (days)]]&gt;Requests[[#This Row],[SLA Threshold]],"Yes","No")</f>
        <v>No</v>
      </c>
    </row>
    <row r="103" spans="1:15" hidden="1" x14ac:dyDescent="0.25">
      <c r="A103" t="s">
        <v>1908</v>
      </c>
      <c r="B103" s="1">
        <v>45089</v>
      </c>
      <c r="C103" s="8">
        <v>45096</v>
      </c>
      <c r="D103" t="s">
        <v>29</v>
      </c>
      <c r="E103" t="s">
        <v>324</v>
      </c>
      <c r="F103" s="7">
        <f t="shared" ca="1" si="1"/>
        <v>6</v>
      </c>
      <c r="G103" t="s">
        <v>51</v>
      </c>
      <c r="H103" s="11" t="s">
        <v>1909</v>
      </c>
      <c r="I103" t="s">
        <v>1336</v>
      </c>
      <c r="J103" t="s">
        <v>40</v>
      </c>
      <c r="K103" t="s">
        <v>1400</v>
      </c>
      <c r="L103" t="s">
        <v>71</v>
      </c>
      <c r="M103" t="str">
        <f>VLOOKUP(Requests[[#This Row],[Ticket ID]],[2]Requests!$A$2:$D$649,4,FALSE)</f>
        <v>4 - Low</v>
      </c>
      <c r="N103">
        <f>VLOOKUP(Requests[[#This Row],[Priority]],'SLA Config'!$B$3:$C$6,2,FALSE)</f>
        <v>25</v>
      </c>
      <c r="O103" t="str">
        <f ca="1">IF(Requests[[#This Row],[Age (days)]]&gt;Requests[[#This Row],[SLA Threshold]],"Yes","No")</f>
        <v>No</v>
      </c>
    </row>
    <row r="104" spans="1:15" hidden="1" x14ac:dyDescent="0.25">
      <c r="A104" t="s">
        <v>1910</v>
      </c>
      <c r="B104" s="1">
        <v>45089</v>
      </c>
      <c r="C104" s="8">
        <v>45103</v>
      </c>
      <c r="D104" t="s">
        <v>29</v>
      </c>
      <c r="E104" t="s">
        <v>324</v>
      </c>
      <c r="F104" s="7">
        <f t="shared" ca="1" si="1"/>
        <v>11</v>
      </c>
      <c r="G104" t="s">
        <v>51</v>
      </c>
      <c r="H104" s="11" t="s">
        <v>1911</v>
      </c>
      <c r="I104" t="s">
        <v>1336</v>
      </c>
      <c r="J104" t="s">
        <v>40</v>
      </c>
      <c r="K104" t="s">
        <v>1379</v>
      </c>
      <c r="L104" t="s">
        <v>71</v>
      </c>
      <c r="M104" t="str">
        <f>VLOOKUP(Requests[[#This Row],[Ticket ID]],[2]Requests!$A$2:$D$649,4,FALSE)</f>
        <v>4 - Low</v>
      </c>
      <c r="N104">
        <f>VLOOKUP(Requests[[#This Row],[Priority]],'SLA Config'!$B$3:$C$6,2,FALSE)</f>
        <v>25</v>
      </c>
      <c r="O104" t="str">
        <f ca="1">IF(Requests[[#This Row],[Age (days)]]&gt;Requests[[#This Row],[SLA Threshold]],"Yes","No")</f>
        <v>No</v>
      </c>
    </row>
    <row r="105" spans="1:15" hidden="1" x14ac:dyDescent="0.25">
      <c r="A105" t="s">
        <v>1912</v>
      </c>
      <c r="B105" s="1">
        <v>45089</v>
      </c>
      <c r="C105" s="8">
        <v>45096</v>
      </c>
      <c r="D105" t="s">
        <v>29</v>
      </c>
      <c r="E105" t="s">
        <v>324</v>
      </c>
      <c r="F105" s="7">
        <f t="shared" ca="1" si="1"/>
        <v>6</v>
      </c>
      <c r="G105" t="s">
        <v>51</v>
      </c>
      <c r="H105" s="11" t="s">
        <v>1913</v>
      </c>
      <c r="I105" t="s">
        <v>1336</v>
      </c>
      <c r="J105" t="s">
        <v>40</v>
      </c>
      <c r="K105" t="s">
        <v>398</v>
      </c>
      <c r="L105" t="s">
        <v>71</v>
      </c>
      <c r="M105" t="str">
        <f>VLOOKUP(Requests[[#This Row],[Ticket ID]],[2]Requests!$A$2:$D$649,4,FALSE)</f>
        <v>4 - Low</v>
      </c>
      <c r="N105">
        <f>VLOOKUP(Requests[[#This Row],[Priority]],'SLA Config'!$B$3:$C$6,2,FALSE)</f>
        <v>25</v>
      </c>
      <c r="O105" t="str">
        <f ca="1">IF(Requests[[#This Row],[Age (days)]]&gt;Requests[[#This Row],[SLA Threshold]],"Yes","No")</f>
        <v>No</v>
      </c>
    </row>
    <row r="106" spans="1:15" hidden="1" x14ac:dyDescent="0.25">
      <c r="A106" t="s">
        <v>1914</v>
      </c>
      <c r="B106" s="1">
        <v>45089</v>
      </c>
      <c r="C106" s="8">
        <v>45096</v>
      </c>
      <c r="D106" t="s">
        <v>29</v>
      </c>
      <c r="E106" t="s">
        <v>324</v>
      </c>
      <c r="F106" s="7">
        <f t="shared" ca="1" si="1"/>
        <v>6</v>
      </c>
      <c r="G106" t="s">
        <v>51</v>
      </c>
      <c r="H106" s="11" t="s">
        <v>1915</v>
      </c>
      <c r="I106" t="s">
        <v>1336</v>
      </c>
      <c r="J106" t="s">
        <v>40</v>
      </c>
      <c r="K106" t="s">
        <v>1433</v>
      </c>
      <c r="L106" t="s">
        <v>71</v>
      </c>
      <c r="M106" t="str">
        <f>VLOOKUP(Requests[[#This Row],[Ticket ID]],[2]Requests!$A$2:$D$649,4,FALSE)</f>
        <v>4 - Low</v>
      </c>
      <c r="N106">
        <f>VLOOKUP(Requests[[#This Row],[Priority]],'SLA Config'!$B$3:$C$6,2,FALSE)</f>
        <v>25</v>
      </c>
      <c r="O106" t="str">
        <f ca="1">IF(Requests[[#This Row],[Age (days)]]&gt;Requests[[#This Row],[SLA Threshold]],"Yes","No")</f>
        <v>No</v>
      </c>
    </row>
    <row r="107" spans="1:15" hidden="1" x14ac:dyDescent="0.25">
      <c r="A107" t="s">
        <v>1916</v>
      </c>
      <c r="B107" s="1">
        <v>45091</v>
      </c>
      <c r="C107" s="8">
        <v>45118</v>
      </c>
      <c r="D107" t="s">
        <v>29</v>
      </c>
      <c r="E107" t="s">
        <v>38</v>
      </c>
      <c r="F107" s="7">
        <f t="shared" ca="1" si="1"/>
        <v>20</v>
      </c>
      <c r="G107" t="s">
        <v>31</v>
      </c>
      <c r="H107" s="11" t="s">
        <v>1917</v>
      </c>
      <c r="I107" t="s">
        <v>1327</v>
      </c>
      <c r="J107" t="s">
        <v>1732</v>
      </c>
      <c r="K107" t="s">
        <v>44</v>
      </c>
      <c r="L107" t="s">
        <v>71</v>
      </c>
      <c r="M107" t="str">
        <f>VLOOKUP(Requests[[#This Row],[Ticket ID]],[2]Requests!$A$2:$D$649,4,FALSE)</f>
        <v>4 - Low</v>
      </c>
      <c r="N107">
        <f>VLOOKUP(Requests[[#This Row],[Priority]],'SLA Config'!$B$3:$C$6,2,FALSE)</f>
        <v>25</v>
      </c>
      <c r="O107" t="str">
        <f ca="1">IF(Requests[[#This Row],[Age (days)]]&gt;Requests[[#This Row],[SLA Threshold]],"Yes","No")</f>
        <v>No</v>
      </c>
    </row>
    <row r="108" spans="1:15" hidden="1" x14ac:dyDescent="0.25">
      <c r="A108" t="s">
        <v>1918</v>
      </c>
      <c r="B108" s="1">
        <v>45093</v>
      </c>
      <c r="C108" s="8">
        <v>45104</v>
      </c>
      <c r="D108" t="s">
        <v>29</v>
      </c>
      <c r="E108" t="s">
        <v>324</v>
      </c>
      <c r="F108" s="7">
        <f t="shared" ca="1" si="1"/>
        <v>8</v>
      </c>
      <c r="G108" t="s">
        <v>31</v>
      </c>
      <c r="H108" s="11" t="s">
        <v>1919</v>
      </c>
      <c r="I108" t="s">
        <v>1336</v>
      </c>
      <c r="J108" t="s">
        <v>40</v>
      </c>
      <c r="K108" t="s">
        <v>1920</v>
      </c>
      <c r="L108" t="s">
        <v>71</v>
      </c>
      <c r="M108" t="str">
        <f>VLOOKUP(Requests[[#This Row],[Ticket ID]],[2]Requests!$A$2:$D$649,4,FALSE)</f>
        <v>4 - Low</v>
      </c>
      <c r="N108">
        <f>VLOOKUP(Requests[[#This Row],[Priority]],'SLA Config'!$B$3:$C$6,2,FALSE)</f>
        <v>25</v>
      </c>
      <c r="O108" t="str">
        <f ca="1">IF(Requests[[#This Row],[Age (days)]]&gt;Requests[[#This Row],[SLA Threshold]],"Yes","No")</f>
        <v>No</v>
      </c>
    </row>
    <row r="109" spans="1:15" ht="30" hidden="1" x14ac:dyDescent="0.25">
      <c r="A109" t="s">
        <v>1921</v>
      </c>
      <c r="B109" s="1">
        <v>45099</v>
      </c>
      <c r="C109" s="8">
        <v>45105</v>
      </c>
      <c r="D109" t="s">
        <v>29</v>
      </c>
      <c r="E109" t="s">
        <v>54</v>
      </c>
      <c r="F109" s="7">
        <f t="shared" ca="1" si="1"/>
        <v>5</v>
      </c>
      <c r="G109" t="s">
        <v>51</v>
      </c>
      <c r="H109" s="11" t="s">
        <v>1922</v>
      </c>
      <c r="I109" t="s">
        <v>1321</v>
      </c>
      <c r="J109" t="s">
        <v>1743</v>
      </c>
      <c r="K109" t="s">
        <v>201</v>
      </c>
      <c r="L109" t="s">
        <v>120</v>
      </c>
      <c r="M109" t="str">
        <f>VLOOKUP(Requests[[#This Row],[Ticket ID]],[2]Requests!$A$2:$D$649,4,FALSE)</f>
        <v>4 - Low</v>
      </c>
      <c r="N109">
        <f>VLOOKUP(Requests[[#This Row],[Priority]],'SLA Config'!$B$3:$C$6,2,FALSE)</f>
        <v>25</v>
      </c>
      <c r="O109" t="str">
        <f ca="1">IF(Requests[[#This Row],[Age (days)]]&gt;Requests[[#This Row],[SLA Threshold]],"Yes","No")</f>
        <v>No</v>
      </c>
    </row>
    <row r="110" spans="1:15" hidden="1" x14ac:dyDescent="0.25">
      <c r="A110" t="s">
        <v>1923</v>
      </c>
      <c r="B110" s="1">
        <v>45100</v>
      </c>
      <c r="C110" s="8">
        <v>45118</v>
      </c>
      <c r="D110" t="s">
        <v>29</v>
      </c>
      <c r="E110" t="s">
        <v>324</v>
      </c>
      <c r="F110" s="7">
        <f t="shared" ca="1" si="1"/>
        <v>13</v>
      </c>
      <c r="G110" t="s">
        <v>51</v>
      </c>
      <c r="H110" s="11" t="s">
        <v>1924</v>
      </c>
      <c r="I110" t="s">
        <v>394</v>
      </c>
      <c r="J110" t="s">
        <v>584</v>
      </c>
      <c r="K110" t="s">
        <v>119</v>
      </c>
      <c r="L110" t="s">
        <v>120</v>
      </c>
      <c r="M110" t="str">
        <f>VLOOKUP(Requests[[#This Row],[Ticket ID]],[2]Requests!$A$2:$D$649,4,FALSE)</f>
        <v>4 - Low</v>
      </c>
      <c r="N110">
        <f>VLOOKUP(Requests[[#This Row],[Priority]],'SLA Config'!$B$3:$C$6,2,FALSE)</f>
        <v>25</v>
      </c>
      <c r="O110" t="str">
        <f ca="1">IF(Requests[[#This Row],[Age (days)]]&gt;Requests[[#This Row],[SLA Threshold]],"Yes","No")</f>
        <v>No</v>
      </c>
    </row>
    <row r="111" spans="1:15" hidden="1" x14ac:dyDescent="0.25">
      <c r="A111" t="s">
        <v>1925</v>
      </c>
      <c r="B111" s="1">
        <v>45104</v>
      </c>
      <c r="C111" s="8">
        <v>45298</v>
      </c>
      <c r="D111" t="s">
        <v>29</v>
      </c>
      <c r="E111" t="s">
        <v>104</v>
      </c>
      <c r="F111" s="7">
        <f t="shared" ca="1" si="1"/>
        <v>139</v>
      </c>
      <c r="G111" t="s">
        <v>31</v>
      </c>
      <c r="H111" s="11" t="s">
        <v>1926</v>
      </c>
      <c r="I111" t="s">
        <v>394</v>
      </c>
      <c r="J111" t="s">
        <v>40</v>
      </c>
      <c r="K111" t="s">
        <v>215</v>
      </c>
      <c r="L111" t="s">
        <v>120</v>
      </c>
      <c r="M111" t="str">
        <f>VLOOKUP(Requests[[#This Row],[Ticket ID]],[2]Requests!$A$2:$D$649,4,FALSE)</f>
        <v>4 - Low</v>
      </c>
      <c r="N111">
        <f>VLOOKUP(Requests[[#This Row],[Priority]],'SLA Config'!$B$3:$C$6,2,FALSE)</f>
        <v>25</v>
      </c>
      <c r="O111" t="str">
        <f ca="1">IF(Requests[[#This Row],[Age (days)]]&gt;Requests[[#This Row],[SLA Threshold]],"Yes","No")</f>
        <v>Yes</v>
      </c>
    </row>
    <row r="112" spans="1:15" hidden="1" x14ac:dyDescent="0.25">
      <c r="A112" t="s">
        <v>1927</v>
      </c>
      <c r="B112" s="1">
        <v>45105</v>
      </c>
      <c r="C112" s="8">
        <v>45115</v>
      </c>
      <c r="D112" t="s">
        <v>29</v>
      </c>
      <c r="E112" t="s">
        <v>324</v>
      </c>
      <c r="F112" s="7">
        <f t="shared" ca="1" si="1"/>
        <v>8</v>
      </c>
      <c r="G112" t="s">
        <v>51</v>
      </c>
      <c r="H112" s="11" t="s">
        <v>1928</v>
      </c>
      <c r="I112" t="s">
        <v>1336</v>
      </c>
      <c r="J112" t="s">
        <v>40</v>
      </c>
      <c r="K112" t="s">
        <v>1929</v>
      </c>
      <c r="L112" t="s">
        <v>71</v>
      </c>
      <c r="M112" t="str">
        <f>VLOOKUP(Requests[[#This Row],[Ticket ID]],[2]Requests!$A$2:$D$649,4,FALSE)</f>
        <v>4 - Low</v>
      </c>
      <c r="N112">
        <f>VLOOKUP(Requests[[#This Row],[Priority]],'SLA Config'!$B$3:$C$6,2,FALSE)</f>
        <v>25</v>
      </c>
      <c r="O112" t="str">
        <f ca="1">IF(Requests[[#This Row],[Age (days)]]&gt;Requests[[#This Row],[SLA Threshold]],"Yes","No")</f>
        <v>No</v>
      </c>
    </row>
    <row r="113" spans="1:15" hidden="1" x14ac:dyDescent="0.25">
      <c r="A113" t="s">
        <v>1930</v>
      </c>
      <c r="B113" s="1">
        <v>45105</v>
      </c>
      <c r="C113" s="8">
        <v>45118</v>
      </c>
      <c r="D113" t="s">
        <v>29</v>
      </c>
      <c r="E113" t="s">
        <v>324</v>
      </c>
      <c r="F113" s="7">
        <f t="shared" ca="1" si="1"/>
        <v>10</v>
      </c>
      <c r="G113" t="s">
        <v>31</v>
      </c>
      <c r="H113" s="11" t="s">
        <v>1931</v>
      </c>
      <c r="I113" t="s">
        <v>1336</v>
      </c>
      <c r="J113" t="s">
        <v>40</v>
      </c>
      <c r="K113" t="s">
        <v>1412</v>
      </c>
      <c r="L113" t="s">
        <v>71</v>
      </c>
      <c r="M113" t="str">
        <f>VLOOKUP(Requests[[#This Row],[Ticket ID]],[2]Requests!$A$2:$D$649,4,FALSE)</f>
        <v>4 - Low</v>
      </c>
      <c r="N113">
        <f>VLOOKUP(Requests[[#This Row],[Priority]],'SLA Config'!$B$3:$C$6,2,FALSE)</f>
        <v>25</v>
      </c>
      <c r="O113" t="str">
        <f ca="1">IF(Requests[[#This Row],[Age (days)]]&gt;Requests[[#This Row],[SLA Threshold]],"Yes","No")</f>
        <v>No</v>
      </c>
    </row>
    <row r="114" spans="1:15" hidden="1" x14ac:dyDescent="0.25">
      <c r="A114" t="s">
        <v>1932</v>
      </c>
      <c r="B114" s="1">
        <v>45105</v>
      </c>
      <c r="C114" s="8">
        <v>45118</v>
      </c>
      <c r="D114" t="s">
        <v>29</v>
      </c>
      <c r="E114" t="s">
        <v>324</v>
      </c>
      <c r="F114" s="7">
        <f t="shared" ca="1" si="1"/>
        <v>10</v>
      </c>
      <c r="G114" t="s">
        <v>31</v>
      </c>
      <c r="H114" s="11" t="s">
        <v>1933</v>
      </c>
      <c r="I114" t="s">
        <v>1336</v>
      </c>
      <c r="J114" t="s">
        <v>40</v>
      </c>
      <c r="K114" t="s">
        <v>1934</v>
      </c>
      <c r="L114" t="s">
        <v>71</v>
      </c>
      <c r="M114" t="str">
        <f>VLOOKUP(Requests[[#This Row],[Ticket ID]],[2]Requests!$A$2:$D$649,4,FALSE)</f>
        <v>4 - Low</v>
      </c>
      <c r="N114">
        <f>VLOOKUP(Requests[[#This Row],[Priority]],'SLA Config'!$B$3:$C$6,2,FALSE)</f>
        <v>25</v>
      </c>
      <c r="O114" t="str">
        <f ca="1">IF(Requests[[#This Row],[Age (days)]]&gt;Requests[[#This Row],[SLA Threshold]],"Yes","No")</f>
        <v>No</v>
      </c>
    </row>
    <row r="115" spans="1:15" hidden="1" x14ac:dyDescent="0.25">
      <c r="A115" t="s">
        <v>1935</v>
      </c>
      <c r="B115" s="1">
        <v>45105</v>
      </c>
      <c r="C115" s="8">
        <v>45118</v>
      </c>
      <c r="D115" t="s">
        <v>29</v>
      </c>
      <c r="E115" t="s">
        <v>324</v>
      </c>
      <c r="F115" s="7">
        <f t="shared" ca="1" si="1"/>
        <v>10</v>
      </c>
      <c r="G115" t="s">
        <v>31</v>
      </c>
      <c r="H115" s="11" t="s">
        <v>1936</v>
      </c>
      <c r="I115" t="s">
        <v>1336</v>
      </c>
      <c r="J115" t="s">
        <v>40</v>
      </c>
      <c r="K115" t="s">
        <v>1937</v>
      </c>
      <c r="L115" t="s">
        <v>71</v>
      </c>
      <c r="M115" t="str">
        <f>VLOOKUP(Requests[[#This Row],[Ticket ID]],[2]Requests!$A$2:$D$649,4,FALSE)</f>
        <v>4 - Low</v>
      </c>
      <c r="N115">
        <f>VLOOKUP(Requests[[#This Row],[Priority]],'SLA Config'!$B$3:$C$6,2,FALSE)</f>
        <v>25</v>
      </c>
      <c r="O115" t="str">
        <f ca="1">IF(Requests[[#This Row],[Age (days)]]&gt;Requests[[#This Row],[SLA Threshold]],"Yes","No")</f>
        <v>No</v>
      </c>
    </row>
    <row r="116" spans="1:15" hidden="1" x14ac:dyDescent="0.25">
      <c r="A116" t="s">
        <v>1938</v>
      </c>
      <c r="B116" s="1">
        <v>45112</v>
      </c>
      <c r="C116" s="8">
        <v>45308</v>
      </c>
      <c r="D116" t="s">
        <v>29</v>
      </c>
      <c r="E116" t="s">
        <v>104</v>
      </c>
      <c r="F116" s="7">
        <f t="shared" ca="1" si="1"/>
        <v>141</v>
      </c>
      <c r="G116" t="s">
        <v>31</v>
      </c>
      <c r="H116" s="11" t="s">
        <v>1939</v>
      </c>
      <c r="I116" t="s">
        <v>394</v>
      </c>
      <c r="J116" t="s">
        <v>40</v>
      </c>
      <c r="K116" t="s">
        <v>231</v>
      </c>
      <c r="L116" t="s">
        <v>120</v>
      </c>
      <c r="M116" t="str">
        <f>VLOOKUP(Requests[[#This Row],[Ticket ID]],[2]Requests!$A$2:$D$649,4,FALSE)</f>
        <v>4 - Low</v>
      </c>
      <c r="N116">
        <f>VLOOKUP(Requests[[#This Row],[Priority]],'SLA Config'!$B$3:$C$6,2,FALSE)</f>
        <v>25</v>
      </c>
      <c r="O116" t="str">
        <f ca="1">IF(Requests[[#This Row],[Age (days)]]&gt;Requests[[#This Row],[SLA Threshold]],"Yes","No")</f>
        <v>Yes</v>
      </c>
    </row>
    <row r="117" spans="1:15" hidden="1" x14ac:dyDescent="0.25">
      <c r="A117" t="s">
        <v>1940</v>
      </c>
      <c r="B117" s="1">
        <v>45117</v>
      </c>
      <c r="C117" s="8">
        <v>45144</v>
      </c>
      <c r="D117" t="s">
        <v>29</v>
      </c>
      <c r="E117" t="s">
        <v>324</v>
      </c>
      <c r="F117" s="7">
        <f t="shared" ca="1" si="1"/>
        <v>20</v>
      </c>
      <c r="G117" t="s">
        <v>31</v>
      </c>
      <c r="H117" s="11" t="s">
        <v>1941</v>
      </c>
      <c r="I117" t="s">
        <v>1336</v>
      </c>
      <c r="J117" t="s">
        <v>40</v>
      </c>
      <c r="K117" t="s">
        <v>1942</v>
      </c>
      <c r="L117" t="s">
        <v>71</v>
      </c>
      <c r="M117" t="str">
        <f>VLOOKUP(Requests[[#This Row],[Ticket ID]],[2]Requests!$A$2:$D$649,4,FALSE)</f>
        <v>4 - Low</v>
      </c>
      <c r="N117">
        <f>VLOOKUP(Requests[[#This Row],[Priority]],'SLA Config'!$B$3:$C$6,2,FALSE)</f>
        <v>25</v>
      </c>
      <c r="O117" t="str">
        <f ca="1">IF(Requests[[#This Row],[Age (days)]]&gt;Requests[[#This Row],[SLA Threshold]],"Yes","No")</f>
        <v>No</v>
      </c>
    </row>
    <row r="118" spans="1:15" hidden="1" x14ac:dyDescent="0.25">
      <c r="A118" t="s">
        <v>1943</v>
      </c>
      <c r="B118" s="1">
        <v>45119</v>
      </c>
      <c r="C118" s="8">
        <v>45125</v>
      </c>
      <c r="D118" t="s">
        <v>29</v>
      </c>
      <c r="E118" t="s">
        <v>324</v>
      </c>
      <c r="F118" s="7">
        <f t="shared" ca="1" si="1"/>
        <v>5</v>
      </c>
      <c r="G118" t="s">
        <v>31</v>
      </c>
      <c r="H118" s="11" t="s">
        <v>1944</v>
      </c>
      <c r="I118" t="s">
        <v>1336</v>
      </c>
      <c r="J118" t="s">
        <v>40</v>
      </c>
      <c r="K118" t="s">
        <v>432</v>
      </c>
      <c r="L118" t="s">
        <v>71</v>
      </c>
      <c r="M118" t="str">
        <f>VLOOKUP(Requests[[#This Row],[Ticket ID]],[2]Requests!$A$2:$D$649,4,FALSE)</f>
        <v>4 - Low</v>
      </c>
      <c r="N118">
        <f>VLOOKUP(Requests[[#This Row],[Priority]],'SLA Config'!$B$3:$C$6,2,FALSE)</f>
        <v>25</v>
      </c>
      <c r="O118" t="str">
        <f ca="1">IF(Requests[[#This Row],[Age (days)]]&gt;Requests[[#This Row],[SLA Threshold]],"Yes","No")</f>
        <v>No</v>
      </c>
    </row>
    <row r="119" spans="1:15" hidden="1" x14ac:dyDescent="0.25">
      <c r="A119" t="s">
        <v>1945</v>
      </c>
      <c r="B119" s="1">
        <v>45123</v>
      </c>
      <c r="C119" s="8">
        <v>45136</v>
      </c>
      <c r="D119" t="s">
        <v>29</v>
      </c>
      <c r="E119" t="s">
        <v>104</v>
      </c>
      <c r="F119" s="7">
        <f t="shared" ca="1" si="1"/>
        <v>10</v>
      </c>
      <c r="G119" t="s">
        <v>31</v>
      </c>
      <c r="H119" s="11" t="s">
        <v>1946</v>
      </c>
      <c r="I119" t="s">
        <v>1693</v>
      </c>
      <c r="J119" t="s">
        <v>1694</v>
      </c>
      <c r="K119" t="s">
        <v>1695</v>
      </c>
      <c r="L119" t="s">
        <v>71</v>
      </c>
      <c r="M119" t="str">
        <f>VLOOKUP(Requests[[#This Row],[Ticket ID]],[2]Requests!$A$2:$D$649,4,FALSE)</f>
        <v>4 - Low</v>
      </c>
      <c r="N119">
        <f>VLOOKUP(Requests[[#This Row],[Priority]],'SLA Config'!$B$3:$C$6,2,FALSE)</f>
        <v>25</v>
      </c>
      <c r="O119" t="str">
        <f ca="1">IF(Requests[[#This Row],[Age (days)]]&gt;Requests[[#This Row],[SLA Threshold]],"Yes","No")</f>
        <v>No</v>
      </c>
    </row>
    <row r="120" spans="1:15" hidden="1" x14ac:dyDescent="0.25">
      <c r="A120" t="s">
        <v>1947</v>
      </c>
      <c r="B120" s="1">
        <v>45131</v>
      </c>
      <c r="C120" s="8">
        <v>45136</v>
      </c>
      <c r="D120" t="s">
        <v>29</v>
      </c>
      <c r="E120" t="s">
        <v>324</v>
      </c>
      <c r="F120" s="7">
        <f t="shared" ca="1" si="1"/>
        <v>5</v>
      </c>
      <c r="G120" t="s">
        <v>51</v>
      </c>
      <c r="H120" s="11" t="s">
        <v>1948</v>
      </c>
      <c r="I120" t="s">
        <v>1336</v>
      </c>
      <c r="J120" t="s">
        <v>304</v>
      </c>
      <c r="K120" t="s">
        <v>1949</v>
      </c>
      <c r="L120" t="s">
        <v>71</v>
      </c>
      <c r="M120" t="str">
        <f>VLOOKUP(Requests[[#This Row],[Ticket ID]],[2]Requests!$A$2:$D$649,4,FALSE)</f>
        <v>4 - Low</v>
      </c>
      <c r="N120">
        <f>VLOOKUP(Requests[[#This Row],[Priority]],'SLA Config'!$B$3:$C$6,2,FALSE)</f>
        <v>25</v>
      </c>
      <c r="O120" t="str">
        <f ca="1">IF(Requests[[#This Row],[Age (days)]]&gt;Requests[[#This Row],[SLA Threshold]],"Yes","No")</f>
        <v>No</v>
      </c>
    </row>
    <row r="121" spans="1:15" hidden="1" x14ac:dyDescent="0.25">
      <c r="A121" t="s">
        <v>1950</v>
      </c>
      <c r="B121" s="1">
        <v>45132</v>
      </c>
      <c r="C121" s="8">
        <v>45138</v>
      </c>
      <c r="D121" t="s">
        <v>29</v>
      </c>
      <c r="E121" t="s">
        <v>104</v>
      </c>
      <c r="F121" s="7">
        <f t="shared" ca="1" si="1"/>
        <v>5</v>
      </c>
      <c r="G121" t="s">
        <v>31</v>
      </c>
      <c r="H121" s="11" t="s">
        <v>1951</v>
      </c>
      <c r="I121" t="s">
        <v>1336</v>
      </c>
      <c r="J121" t="s">
        <v>40</v>
      </c>
      <c r="K121" t="s">
        <v>1952</v>
      </c>
      <c r="L121" t="s">
        <v>120</v>
      </c>
      <c r="M121" t="str">
        <f>VLOOKUP(Requests[[#This Row],[Ticket ID]],[2]Requests!$A$2:$D$649,4,FALSE)</f>
        <v>4 - Low</v>
      </c>
      <c r="N121">
        <f>VLOOKUP(Requests[[#This Row],[Priority]],'SLA Config'!$B$3:$C$6,2,FALSE)</f>
        <v>25</v>
      </c>
      <c r="O121" t="str">
        <f ca="1">IF(Requests[[#This Row],[Age (days)]]&gt;Requests[[#This Row],[SLA Threshold]],"Yes","No")</f>
        <v>No</v>
      </c>
    </row>
    <row r="122" spans="1:15" hidden="1" x14ac:dyDescent="0.25">
      <c r="A122" t="s">
        <v>1953</v>
      </c>
      <c r="B122" s="1">
        <v>45133</v>
      </c>
      <c r="C122" s="8">
        <v>45188</v>
      </c>
      <c r="D122" t="s">
        <v>29</v>
      </c>
      <c r="E122" t="s">
        <v>38</v>
      </c>
      <c r="F122" s="7">
        <f t="shared" ca="1" si="1"/>
        <v>40</v>
      </c>
      <c r="G122" t="s">
        <v>51</v>
      </c>
      <c r="H122" s="11" t="s">
        <v>1954</v>
      </c>
      <c r="I122" t="s">
        <v>394</v>
      </c>
      <c r="J122" t="s">
        <v>584</v>
      </c>
      <c r="K122" t="s">
        <v>119</v>
      </c>
      <c r="L122" t="s">
        <v>120</v>
      </c>
      <c r="M122" t="str">
        <f>VLOOKUP(Requests[[#This Row],[Ticket ID]],[2]Requests!$A$2:$D$649,4,FALSE)</f>
        <v>4 - Low</v>
      </c>
      <c r="N122">
        <f>VLOOKUP(Requests[[#This Row],[Priority]],'SLA Config'!$B$3:$C$6,2,FALSE)</f>
        <v>25</v>
      </c>
      <c r="O122" t="str">
        <f ca="1">IF(Requests[[#This Row],[Age (days)]]&gt;Requests[[#This Row],[SLA Threshold]],"Yes","No")</f>
        <v>Yes</v>
      </c>
    </row>
    <row r="123" spans="1:15" hidden="1" x14ac:dyDescent="0.25">
      <c r="A123" t="s">
        <v>1955</v>
      </c>
      <c r="B123" s="1">
        <v>45135</v>
      </c>
      <c r="C123" s="8">
        <v>45144</v>
      </c>
      <c r="D123" t="s">
        <v>29</v>
      </c>
      <c r="E123" t="s">
        <v>324</v>
      </c>
      <c r="F123" s="7">
        <f t="shared" ca="1" si="1"/>
        <v>6</v>
      </c>
      <c r="G123" t="s">
        <v>51</v>
      </c>
      <c r="H123" s="11" t="s">
        <v>1956</v>
      </c>
      <c r="I123" t="s">
        <v>1336</v>
      </c>
      <c r="J123" t="s">
        <v>40</v>
      </c>
      <c r="K123" t="s">
        <v>1957</v>
      </c>
      <c r="L123" t="s">
        <v>71</v>
      </c>
      <c r="M123" t="str">
        <f>VLOOKUP(Requests[[#This Row],[Ticket ID]],[2]Requests!$A$2:$D$649,4,FALSE)</f>
        <v>4 - Low</v>
      </c>
      <c r="N123">
        <f>VLOOKUP(Requests[[#This Row],[Priority]],'SLA Config'!$B$3:$C$6,2,FALSE)</f>
        <v>25</v>
      </c>
      <c r="O123" t="str">
        <f ca="1">IF(Requests[[#This Row],[Age (days)]]&gt;Requests[[#This Row],[SLA Threshold]],"Yes","No")</f>
        <v>No</v>
      </c>
    </row>
    <row r="124" spans="1:15" hidden="1" x14ac:dyDescent="0.25">
      <c r="A124" t="s">
        <v>1958</v>
      </c>
      <c r="B124" s="1">
        <v>45139</v>
      </c>
      <c r="C124" s="8">
        <v>45178</v>
      </c>
      <c r="D124" t="s">
        <v>29</v>
      </c>
      <c r="E124" t="s">
        <v>104</v>
      </c>
      <c r="F124" s="7">
        <f t="shared" ca="1" si="1"/>
        <v>29</v>
      </c>
      <c r="G124" t="s">
        <v>31</v>
      </c>
      <c r="H124" s="11" t="s">
        <v>1959</v>
      </c>
      <c r="I124" t="s">
        <v>1321</v>
      </c>
      <c r="J124" t="s">
        <v>1690</v>
      </c>
      <c r="K124" t="s">
        <v>201</v>
      </c>
      <c r="L124" t="s">
        <v>120</v>
      </c>
      <c r="M124" t="str">
        <f>VLOOKUP(Requests[[#This Row],[Ticket ID]],[2]Requests!$A$2:$D$649,4,FALSE)</f>
        <v>4 - Low</v>
      </c>
      <c r="N124">
        <f>VLOOKUP(Requests[[#This Row],[Priority]],'SLA Config'!$B$3:$C$6,2,FALSE)</f>
        <v>25</v>
      </c>
      <c r="O124" t="str">
        <f ca="1">IF(Requests[[#This Row],[Age (days)]]&gt;Requests[[#This Row],[SLA Threshold]],"Yes","No")</f>
        <v>Yes</v>
      </c>
    </row>
    <row r="125" spans="1:15" hidden="1" x14ac:dyDescent="0.25">
      <c r="A125" t="s">
        <v>1960</v>
      </c>
      <c r="B125" s="1">
        <v>45140</v>
      </c>
      <c r="C125" s="8">
        <v>45171</v>
      </c>
      <c r="D125" t="s">
        <v>29</v>
      </c>
      <c r="E125" t="s">
        <v>324</v>
      </c>
      <c r="F125" s="7">
        <f t="shared" ca="1" si="1"/>
        <v>23</v>
      </c>
      <c r="G125" t="s">
        <v>31</v>
      </c>
      <c r="H125" s="11" t="s">
        <v>1961</v>
      </c>
      <c r="I125" t="s">
        <v>1327</v>
      </c>
      <c r="J125" t="s">
        <v>40</v>
      </c>
      <c r="K125" t="s">
        <v>44</v>
      </c>
      <c r="L125" t="s">
        <v>36</v>
      </c>
      <c r="M125" t="str">
        <f>VLOOKUP(Requests[[#This Row],[Ticket ID]],[2]Requests!$A$2:$D$649,4,FALSE)</f>
        <v>4 - Low</v>
      </c>
      <c r="N125">
        <f>VLOOKUP(Requests[[#This Row],[Priority]],'SLA Config'!$B$3:$C$6,2,FALSE)</f>
        <v>25</v>
      </c>
      <c r="O125" t="str">
        <f ca="1">IF(Requests[[#This Row],[Age (days)]]&gt;Requests[[#This Row],[SLA Threshold]],"Yes","No")</f>
        <v>No</v>
      </c>
    </row>
    <row r="126" spans="1:15" hidden="1" x14ac:dyDescent="0.25">
      <c r="A126" t="s">
        <v>1962</v>
      </c>
      <c r="B126" s="1">
        <v>45142</v>
      </c>
      <c r="C126" s="8">
        <v>45151</v>
      </c>
      <c r="D126" t="s">
        <v>29</v>
      </c>
      <c r="E126" t="s">
        <v>324</v>
      </c>
      <c r="F126" s="7">
        <f t="shared" ca="1" si="1"/>
        <v>6</v>
      </c>
      <c r="G126" t="s">
        <v>31</v>
      </c>
      <c r="H126" s="11" t="s">
        <v>1963</v>
      </c>
      <c r="I126" t="s">
        <v>1336</v>
      </c>
      <c r="J126" t="s">
        <v>40</v>
      </c>
      <c r="K126" t="s">
        <v>1582</v>
      </c>
      <c r="L126" t="s">
        <v>120</v>
      </c>
      <c r="M126" t="str">
        <f>VLOOKUP(Requests[[#This Row],[Ticket ID]],[2]Requests!$A$2:$D$649,4,FALSE)</f>
        <v>4 - Low</v>
      </c>
      <c r="N126">
        <f>VLOOKUP(Requests[[#This Row],[Priority]],'SLA Config'!$B$3:$C$6,2,FALSE)</f>
        <v>25</v>
      </c>
      <c r="O126" t="str">
        <f ca="1">IF(Requests[[#This Row],[Age (days)]]&gt;Requests[[#This Row],[SLA Threshold]],"Yes","No")</f>
        <v>No</v>
      </c>
    </row>
    <row r="127" spans="1:15" hidden="1" x14ac:dyDescent="0.25">
      <c r="A127" t="s">
        <v>1964</v>
      </c>
      <c r="B127" s="1">
        <v>45145</v>
      </c>
      <c r="C127" s="8">
        <v>45174</v>
      </c>
      <c r="D127" t="s">
        <v>29</v>
      </c>
      <c r="E127" t="s">
        <v>104</v>
      </c>
      <c r="F127" s="7">
        <f t="shared" ca="1" si="1"/>
        <v>22</v>
      </c>
      <c r="G127" t="s">
        <v>31</v>
      </c>
      <c r="H127" s="11" t="s">
        <v>1965</v>
      </c>
      <c r="I127" t="s">
        <v>1321</v>
      </c>
      <c r="J127" t="s">
        <v>1966</v>
      </c>
      <c r="K127" t="s">
        <v>1967</v>
      </c>
      <c r="L127" t="s">
        <v>71</v>
      </c>
      <c r="M127" t="str">
        <f>VLOOKUP(Requests[[#This Row],[Ticket ID]],[2]Requests!$A$2:$D$649,4,FALSE)</f>
        <v>4 - Low</v>
      </c>
      <c r="N127">
        <f>VLOOKUP(Requests[[#This Row],[Priority]],'SLA Config'!$B$3:$C$6,2,FALSE)</f>
        <v>25</v>
      </c>
      <c r="O127" t="str">
        <f ca="1">IF(Requests[[#This Row],[Age (days)]]&gt;Requests[[#This Row],[SLA Threshold]],"Yes","No")</f>
        <v>No</v>
      </c>
    </row>
    <row r="128" spans="1:15" hidden="1" x14ac:dyDescent="0.25">
      <c r="A128" t="s">
        <v>1968</v>
      </c>
      <c r="B128" s="1">
        <v>45145</v>
      </c>
      <c r="C128" s="8">
        <v>45167</v>
      </c>
      <c r="D128" t="s">
        <v>29</v>
      </c>
      <c r="E128" t="s">
        <v>104</v>
      </c>
      <c r="F128" s="7">
        <f t="shared" ca="1" si="1"/>
        <v>17</v>
      </c>
      <c r="G128" t="s">
        <v>31</v>
      </c>
      <c r="H128" s="11" t="s">
        <v>1969</v>
      </c>
      <c r="I128" t="s">
        <v>1321</v>
      </c>
      <c r="J128" t="s">
        <v>1966</v>
      </c>
      <c r="K128" t="s">
        <v>1967</v>
      </c>
      <c r="L128" t="s">
        <v>71</v>
      </c>
      <c r="M128" t="str">
        <f>VLOOKUP(Requests[[#This Row],[Ticket ID]],[2]Requests!$A$2:$D$649,4,FALSE)</f>
        <v>4 - Low</v>
      </c>
      <c r="N128">
        <f>VLOOKUP(Requests[[#This Row],[Priority]],'SLA Config'!$B$3:$C$6,2,FALSE)</f>
        <v>25</v>
      </c>
      <c r="O128" t="str">
        <f ca="1">IF(Requests[[#This Row],[Age (days)]]&gt;Requests[[#This Row],[SLA Threshold]],"Yes","No")</f>
        <v>No</v>
      </c>
    </row>
    <row r="129" spans="1:15" hidden="1" x14ac:dyDescent="0.25">
      <c r="A129" t="s">
        <v>1970</v>
      </c>
      <c r="B129" s="1">
        <v>45146</v>
      </c>
      <c r="C129" s="8">
        <v>45152</v>
      </c>
      <c r="D129" t="s">
        <v>29</v>
      </c>
      <c r="E129" t="s">
        <v>104</v>
      </c>
      <c r="F129">
        <f t="shared" ca="1" si="1"/>
        <v>5</v>
      </c>
      <c r="G129" t="s">
        <v>31</v>
      </c>
      <c r="H129" s="11" t="s">
        <v>1971</v>
      </c>
      <c r="I129" t="s">
        <v>1336</v>
      </c>
      <c r="J129" t="s">
        <v>304</v>
      </c>
      <c r="K129" t="s">
        <v>398</v>
      </c>
      <c r="L129" t="s">
        <v>71</v>
      </c>
      <c r="M129" t="str">
        <f>VLOOKUP(Requests[[#This Row],[Ticket ID]],[2]Requests!$A$2:$D$649,4,FALSE)</f>
        <v>4 - Low</v>
      </c>
      <c r="N129">
        <f>VLOOKUP(Requests[[#This Row],[Priority]],'SLA Config'!$B$3:$C$6,2,FALSE)</f>
        <v>25</v>
      </c>
      <c r="O129" t="str">
        <f ca="1">IF(Requests[[#This Row],[Age (days)]]&gt;Requests[[#This Row],[SLA Threshold]],"Yes","No")</f>
        <v>No</v>
      </c>
    </row>
    <row r="130" spans="1:15" hidden="1" x14ac:dyDescent="0.25">
      <c r="A130" t="s">
        <v>1972</v>
      </c>
      <c r="B130" s="1">
        <v>45146</v>
      </c>
      <c r="C130" s="8">
        <v>45166</v>
      </c>
      <c r="D130" t="s">
        <v>29</v>
      </c>
      <c r="E130" t="s">
        <v>104</v>
      </c>
      <c r="F130">
        <f t="shared" ref="F130:F193" ca="1" si="2">IF(ISBLANK(C130), NETWORKDAYS(B130,TODAY()), NETWORKDAYS(B130,C130))</f>
        <v>15</v>
      </c>
      <c r="G130" t="s">
        <v>31</v>
      </c>
      <c r="H130" s="11" t="s">
        <v>1973</v>
      </c>
      <c r="I130" t="s">
        <v>1321</v>
      </c>
      <c r="J130" t="s">
        <v>1966</v>
      </c>
      <c r="K130" t="s">
        <v>1967</v>
      </c>
      <c r="L130" t="s">
        <v>71</v>
      </c>
      <c r="M130" t="str">
        <f>VLOOKUP(Requests[[#This Row],[Ticket ID]],[2]Requests!$A$2:$D$649,4,FALSE)</f>
        <v>4 - Low</v>
      </c>
      <c r="N130">
        <f>VLOOKUP(Requests[[#This Row],[Priority]],'SLA Config'!$B$3:$C$6,2,FALSE)</f>
        <v>25</v>
      </c>
      <c r="O130" t="str">
        <f ca="1">IF(Requests[[#This Row],[Age (days)]]&gt;Requests[[#This Row],[SLA Threshold]],"Yes","No")</f>
        <v>No</v>
      </c>
    </row>
    <row r="131" spans="1:15" hidden="1" x14ac:dyDescent="0.25">
      <c r="A131" t="s">
        <v>1974</v>
      </c>
      <c r="B131" s="1">
        <v>45147</v>
      </c>
      <c r="C131" s="8">
        <v>45189</v>
      </c>
      <c r="D131" t="s">
        <v>29</v>
      </c>
      <c r="E131" t="s">
        <v>104</v>
      </c>
      <c r="F131">
        <f t="shared" ca="1" si="2"/>
        <v>31</v>
      </c>
      <c r="G131" t="s">
        <v>51</v>
      </c>
      <c r="H131" s="11" t="s">
        <v>1975</v>
      </c>
      <c r="I131" t="s">
        <v>193</v>
      </c>
      <c r="J131" t="s">
        <v>40</v>
      </c>
      <c r="K131" t="s">
        <v>119</v>
      </c>
      <c r="L131" t="s">
        <v>120</v>
      </c>
      <c r="M131" t="str">
        <f>VLOOKUP(Requests[[#This Row],[Ticket ID]],[2]Requests!$A$2:$D$649,4,FALSE)</f>
        <v>4 - Low</v>
      </c>
      <c r="N131">
        <f>VLOOKUP(Requests[[#This Row],[Priority]],'SLA Config'!$B$3:$C$6,2,FALSE)</f>
        <v>25</v>
      </c>
      <c r="O131" t="str">
        <f ca="1">IF(Requests[[#This Row],[Age (days)]]&gt;Requests[[#This Row],[SLA Threshold]],"Yes","No")</f>
        <v>Yes</v>
      </c>
    </row>
    <row r="132" spans="1:15" hidden="1" x14ac:dyDescent="0.25">
      <c r="A132" t="s">
        <v>1976</v>
      </c>
      <c r="B132" s="1">
        <v>45148</v>
      </c>
      <c r="C132" s="8">
        <v>45157</v>
      </c>
      <c r="D132" t="s">
        <v>29</v>
      </c>
      <c r="E132" t="s">
        <v>54</v>
      </c>
      <c r="F132">
        <f t="shared" ca="1" si="2"/>
        <v>7</v>
      </c>
      <c r="G132" t="s">
        <v>51</v>
      </c>
      <c r="H132" s="11" t="s">
        <v>1977</v>
      </c>
      <c r="I132" t="s">
        <v>1321</v>
      </c>
      <c r="J132" t="s">
        <v>1743</v>
      </c>
      <c r="K132" t="s">
        <v>201</v>
      </c>
      <c r="L132" t="s">
        <v>120</v>
      </c>
      <c r="M132" t="str">
        <f>VLOOKUP(Requests[[#This Row],[Ticket ID]],[2]Requests!$A$2:$D$649,4,FALSE)</f>
        <v>4 - Low</v>
      </c>
      <c r="N132">
        <f>VLOOKUP(Requests[[#This Row],[Priority]],'SLA Config'!$B$3:$C$6,2,FALSE)</f>
        <v>25</v>
      </c>
      <c r="O132" t="str">
        <f ca="1">IF(Requests[[#This Row],[Age (days)]]&gt;Requests[[#This Row],[SLA Threshold]],"Yes","No")</f>
        <v>No</v>
      </c>
    </row>
    <row r="133" spans="1:15" ht="30" hidden="1" x14ac:dyDescent="0.25">
      <c r="A133" t="s">
        <v>1978</v>
      </c>
      <c r="B133" s="1">
        <v>45148</v>
      </c>
      <c r="C133" s="8">
        <v>45174</v>
      </c>
      <c r="D133" t="s">
        <v>29</v>
      </c>
      <c r="E133" t="s">
        <v>104</v>
      </c>
      <c r="F133">
        <f t="shared" ca="1" si="2"/>
        <v>19</v>
      </c>
      <c r="G133" t="s">
        <v>31</v>
      </c>
      <c r="H133" s="11" t="s">
        <v>1979</v>
      </c>
      <c r="I133" t="s">
        <v>1321</v>
      </c>
      <c r="J133" t="s">
        <v>1966</v>
      </c>
      <c r="K133" t="s">
        <v>44</v>
      </c>
      <c r="L133" t="s">
        <v>36</v>
      </c>
      <c r="M133" t="str">
        <f>VLOOKUP(Requests[[#This Row],[Ticket ID]],[2]Requests!$A$2:$D$649,4,FALSE)</f>
        <v>4 - Low</v>
      </c>
      <c r="N133">
        <f>VLOOKUP(Requests[[#This Row],[Priority]],'SLA Config'!$B$3:$C$6,2,FALSE)</f>
        <v>25</v>
      </c>
      <c r="O133" t="str">
        <f ca="1">IF(Requests[[#This Row],[Age (days)]]&gt;Requests[[#This Row],[SLA Threshold]],"Yes","No")</f>
        <v>No</v>
      </c>
    </row>
    <row r="134" spans="1:15" hidden="1" x14ac:dyDescent="0.25">
      <c r="A134" t="s">
        <v>1980</v>
      </c>
      <c r="B134" s="1">
        <v>45148</v>
      </c>
      <c r="C134" s="8">
        <v>45298</v>
      </c>
      <c r="D134" t="s">
        <v>29</v>
      </c>
      <c r="E134" t="s">
        <v>38</v>
      </c>
      <c r="F134">
        <f t="shared" ca="1" si="2"/>
        <v>107</v>
      </c>
      <c r="G134" t="s">
        <v>51</v>
      </c>
      <c r="H134" s="11" t="s">
        <v>1981</v>
      </c>
      <c r="I134" t="s">
        <v>394</v>
      </c>
      <c r="J134" t="s">
        <v>584</v>
      </c>
      <c r="K134" t="s">
        <v>119</v>
      </c>
      <c r="L134" t="s">
        <v>120</v>
      </c>
      <c r="M134" t="str">
        <f>VLOOKUP(Requests[[#This Row],[Ticket ID]],[2]Requests!$A$2:$D$649,4,FALSE)</f>
        <v>2 - High</v>
      </c>
      <c r="N134">
        <f>VLOOKUP(Requests[[#This Row],[Priority]],'SLA Config'!$B$3:$C$6,2,FALSE)</f>
        <v>5</v>
      </c>
      <c r="O134" t="str">
        <f ca="1">IF(Requests[[#This Row],[Age (days)]]&gt;Requests[[#This Row],[SLA Threshold]],"Yes","No")</f>
        <v>Yes</v>
      </c>
    </row>
    <row r="135" spans="1:15" hidden="1" x14ac:dyDescent="0.25">
      <c r="A135" t="s">
        <v>1982</v>
      </c>
      <c r="B135" s="1">
        <v>45149</v>
      </c>
      <c r="C135" s="8">
        <v>45161</v>
      </c>
      <c r="D135" t="s">
        <v>29</v>
      </c>
      <c r="E135" t="s">
        <v>324</v>
      </c>
      <c r="F135">
        <f t="shared" ca="1" si="2"/>
        <v>9</v>
      </c>
      <c r="G135" t="s">
        <v>51</v>
      </c>
      <c r="H135" s="11" t="s">
        <v>1956</v>
      </c>
      <c r="I135" t="s">
        <v>1336</v>
      </c>
      <c r="J135" t="s">
        <v>40</v>
      </c>
      <c r="K135" t="s">
        <v>1983</v>
      </c>
      <c r="L135" t="s">
        <v>71</v>
      </c>
      <c r="M135" t="str">
        <f>VLOOKUP(Requests[[#This Row],[Ticket ID]],[2]Requests!$A$2:$D$649,4,FALSE)</f>
        <v>4 - Low</v>
      </c>
      <c r="N135">
        <f>VLOOKUP(Requests[[#This Row],[Priority]],'SLA Config'!$B$3:$C$6,2,FALSE)</f>
        <v>25</v>
      </c>
      <c r="O135" t="str">
        <f ca="1">IF(Requests[[#This Row],[Age (days)]]&gt;Requests[[#This Row],[SLA Threshold]],"Yes","No")</f>
        <v>No</v>
      </c>
    </row>
    <row r="136" spans="1:15" hidden="1" x14ac:dyDescent="0.25">
      <c r="A136" t="s">
        <v>1984</v>
      </c>
      <c r="B136" s="1">
        <v>45150</v>
      </c>
      <c r="C136" s="8">
        <v>45157</v>
      </c>
      <c r="D136" t="s">
        <v>29</v>
      </c>
      <c r="E136" t="s">
        <v>324</v>
      </c>
      <c r="F136">
        <f t="shared" ca="1" si="2"/>
        <v>5</v>
      </c>
      <c r="G136" t="s">
        <v>31</v>
      </c>
      <c r="H136" s="11" t="s">
        <v>1985</v>
      </c>
      <c r="I136" t="s">
        <v>1336</v>
      </c>
      <c r="J136" t="s">
        <v>40</v>
      </c>
      <c r="K136" t="s">
        <v>119</v>
      </c>
      <c r="L136" t="s">
        <v>120</v>
      </c>
      <c r="M136" t="str">
        <f>VLOOKUP(Requests[[#This Row],[Ticket ID]],[2]Requests!$A$2:$D$649,4,FALSE)</f>
        <v>4 - Low</v>
      </c>
      <c r="N136">
        <f>VLOOKUP(Requests[[#This Row],[Priority]],'SLA Config'!$B$3:$C$6,2,FALSE)</f>
        <v>25</v>
      </c>
      <c r="O136" t="str">
        <f ca="1">IF(Requests[[#This Row],[Age (days)]]&gt;Requests[[#This Row],[SLA Threshold]],"Yes","No")</f>
        <v>No</v>
      </c>
    </row>
    <row r="137" spans="1:15" hidden="1" x14ac:dyDescent="0.25">
      <c r="A137" t="s">
        <v>1986</v>
      </c>
      <c r="B137" s="1">
        <v>45154</v>
      </c>
      <c r="C137" s="8">
        <v>45165</v>
      </c>
      <c r="D137" t="s">
        <v>29</v>
      </c>
      <c r="E137" t="s">
        <v>324</v>
      </c>
      <c r="F137">
        <f t="shared" ca="1" si="2"/>
        <v>8</v>
      </c>
      <c r="G137" t="s">
        <v>31</v>
      </c>
      <c r="H137" s="11" t="s">
        <v>1987</v>
      </c>
      <c r="I137" t="s">
        <v>1336</v>
      </c>
      <c r="J137" t="s">
        <v>40</v>
      </c>
      <c r="K137" t="s">
        <v>684</v>
      </c>
      <c r="L137" t="s">
        <v>71</v>
      </c>
      <c r="M137" t="str">
        <f>VLOOKUP(Requests[[#This Row],[Ticket ID]],[2]Requests!$A$2:$D$649,4,FALSE)</f>
        <v>4 - Low</v>
      </c>
      <c r="N137">
        <f>VLOOKUP(Requests[[#This Row],[Priority]],'SLA Config'!$B$3:$C$6,2,FALSE)</f>
        <v>25</v>
      </c>
      <c r="O137" t="str">
        <f ca="1">IF(Requests[[#This Row],[Age (days)]]&gt;Requests[[#This Row],[SLA Threshold]],"Yes","No")</f>
        <v>No</v>
      </c>
    </row>
    <row r="138" spans="1:15" hidden="1" x14ac:dyDescent="0.25">
      <c r="A138" t="s">
        <v>1988</v>
      </c>
      <c r="B138" s="1">
        <v>45155</v>
      </c>
      <c r="C138" s="8">
        <v>45168</v>
      </c>
      <c r="D138" t="s">
        <v>29</v>
      </c>
      <c r="E138" t="s">
        <v>324</v>
      </c>
      <c r="F138">
        <f t="shared" ca="1" si="2"/>
        <v>10</v>
      </c>
      <c r="G138" t="s">
        <v>31</v>
      </c>
      <c r="H138" s="11" t="s">
        <v>1989</v>
      </c>
      <c r="I138" t="s">
        <v>1336</v>
      </c>
      <c r="J138" t="s">
        <v>40</v>
      </c>
      <c r="K138" t="s">
        <v>90</v>
      </c>
      <c r="L138" t="s">
        <v>36</v>
      </c>
      <c r="M138" t="str">
        <f>VLOOKUP(Requests[[#This Row],[Ticket ID]],[2]Requests!$A$2:$D$649,4,FALSE)</f>
        <v>4 - Low</v>
      </c>
      <c r="N138">
        <f>VLOOKUP(Requests[[#This Row],[Priority]],'SLA Config'!$B$3:$C$6,2,FALSE)</f>
        <v>25</v>
      </c>
      <c r="O138" t="str">
        <f ca="1">IF(Requests[[#This Row],[Age (days)]]&gt;Requests[[#This Row],[SLA Threshold]],"Yes","No")</f>
        <v>No</v>
      </c>
    </row>
    <row r="139" spans="1:15" hidden="1" x14ac:dyDescent="0.25">
      <c r="A139" t="s">
        <v>1990</v>
      </c>
      <c r="B139" s="1">
        <v>45159</v>
      </c>
      <c r="C139" s="8">
        <v>45174</v>
      </c>
      <c r="D139" t="s">
        <v>29</v>
      </c>
      <c r="E139" t="s">
        <v>324</v>
      </c>
      <c r="F139">
        <f t="shared" ca="1" si="2"/>
        <v>12</v>
      </c>
      <c r="G139" t="s">
        <v>31</v>
      </c>
      <c r="H139" s="11" t="s">
        <v>1991</v>
      </c>
      <c r="I139" t="s">
        <v>1336</v>
      </c>
      <c r="J139" t="s">
        <v>1717</v>
      </c>
      <c r="K139" t="s">
        <v>44</v>
      </c>
      <c r="L139" t="s">
        <v>36</v>
      </c>
      <c r="M139" t="str">
        <f>VLOOKUP(Requests[[#This Row],[Ticket ID]],[2]Requests!$A$2:$D$649,4,FALSE)</f>
        <v>4 - Low</v>
      </c>
      <c r="N139">
        <f>VLOOKUP(Requests[[#This Row],[Priority]],'SLA Config'!$B$3:$C$6,2,FALSE)</f>
        <v>25</v>
      </c>
      <c r="O139" t="str">
        <f ca="1">IF(Requests[[#This Row],[Age (days)]]&gt;Requests[[#This Row],[SLA Threshold]],"Yes","No")</f>
        <v>No</v>
      </c>
    </row>
    <row r="140" spans="1:15" hidden="1" x14ac:dyDescent="0.25">
      <c r="A140" t="s">
        <v>1992</v>
      </c>
      <c r="B140" s="1">
        <v>45163</v>
      </c>
      <c r="C140" s="8">
        <v>45171</v>
      </c>
      <c r="D140" t="s">
        <v>29</v>
      </c>
      <c r="E140" t="s">
        <v>324</v>
      </c>
      <c r="F140">
        <f t="shared" ca="1" si="2"/>
        <v>6</v>
      </c>
      <c r="G140" t="s">
        <v>31</v>
      </c>
      <c r="H140" s="11" t="s">
        <v>1993</v>
      </c>
      <c r="I140" t="s">
        <v>1336</v>
      </c>
      <c r="J140" t="s">
        <v>1994</v>
      </c>
      <c r="K140" t="s">
        <v>624</v>
      </c>
      <c r="L140" t="s">
        <v>71</v>
      </c>
      <c r="M140" t="str">
        <f>VLOOKUP(Requests[[#This Row],[Ticket ID]],[2]Requests!$A$2:$D$649,4,FALSE)</f>
        <v>4 - Low</v>
      </c>
      <c r="N140">
        <f>VLOOKUP(Requests[[#This Row],[Priority]],'SLA Config'!$B$3:$C$6,2,FALSE)</f>
        <v>25</v>
      </c>
      <c r="O140" t="str">
        <f ca="1">IF(Requests[[#This Row],[Age (days)]]&gt;Requests[[#This Row],[SLA Threshold]],"Yes","No")</f>
        <v>No</v>
      </c>
    </row>
    <row r="141" spans="1:15" hidden="1" x14ac:dyDescent="0.25">
      <c r="A141" t="s">
        <v>1995</v>
      </c>
      <c r="B141" s="1">
        <v>45163</v>
      </c>
      <c r="C141" s="8">
        <v>45199</v>
      </c>
      <c r="D141" t="s">
        <v>29</v>
      </c>
      <c r="E141" t="s">
        <v>38</v>
      </c>
      <c r="F141">
        <f t="shared" ca="1" si="2"/>
        <v>26</v>
      </c>
      <c r="G141" t="s">
        <v>31</v>
      </c>
      <c r="H141" s="11" t="s">
        <v>1996</v>
      </c>
      <c r="I141" t="s">
        <v>589</v>
      </c>
      <c r="J141" t="s">
        <v>1827</v>
      </c>
      <c r="K141" t="s">
        <v>44</v>
      </c>
      <c r="L141" t="s">
        <v>36</v>
      </c>
      <c r="M141" t="str">
        <f>VLOOKUP(Requests[[#This Row],[Ticket ID]],[2]Requests!$A$2:$D$649,4,FALSE)</f>
        <v>4 - Low</v>
      </c>
      <c r="N141">
        <f>VLOOKUP(Requests[[#This Row],[Priority]],'SLA Config'!$B$3:$C$6,2,FALSE)</f>
        <v>25</v>
      </c>
      <c r="O141" t="str">
        <f ca="1">IF(Requests[[#This Row],[Age (days)]]&gt;Requests[[#This Row],[SLA Threshold]],"Yes","No")</f>
        <v>Yes</v>
      </c>
    </row>
    <row r="142" spans="1:15" hidden="1" x14ac:dyDescent="0.25">
      <c r="A142" t="s">
        <v>1997</v>
      </c>
      <c r="B142" s="1">
        <v>45163</v>
      </c>
      <c r="C142" s="8">
        <v>45178</v>
      </c>
      <c r="D142" t="s">
        <v>29</v>
      </c>
      <c r="E142" t="s">
        <v>38</v>
      </c>
      <c r="F142">
        <f t="shared" ca="1" si="2"/>
        <v>11</v>
      </c>
      <c r="G142" t="s">
        <v>31</v>
      </c>
      <c r="H142" s="11" t="s">
        <v>1998</v>
      </c>
      <c r="I142" t="s">
        <v>589</v>
      </c>
      <c r="J142" t="s">
        <v>1999</v>
      </c>
      <c r="K142" t="s">
        <v>44</v>
      </c>
      <c r="L142" t="s">
        <v>36</v>
      </c>
      <c r="M142" t="str">
        <f>VLOOKUP(Requests[[#This Row],[Ticket ID]],[2]Requests!$A$2:$D$649,4,FALSE)</f>
        <v>3 - Medium</v>
      </c>
      <c r="N142">
        <f>VLOOKUP(Requests[[#This Row],[Priority]],'SLA Config'!$B$3:$C$6,2,FALSE)</f>
        <v>15</v>
      </c>
      <c r="O142" t="str">
        <f ca="1">IF(Requests[[#This Row],[Age (days)]]&gt;Requests[[#This Row],[SLA Threshold]],"Yes","No")</f>
        <v>No</v>
      </c>
    </row>
    <row r="143" spans="1:15" hidden="1" x14ac:dyDescent="0.25">
      <c r="A143" t="s">
        <v>2000</v>
      </c>
      <c r="B143" s="1">
        <v>45166</v>
      </c>
      <c r="C143" s="8">
        <v>45249</v>
      </c>
      <c r="D143" t="s">
        <v>29</v>
      </c>
      <c r="E143" t="s">
        <v>38</v>
      </c>
      <c r="F143">
        <f t="shared" ca="1" si="2"/>
        <v>60</v>
      </c>
      <c r="G143" t="s">
        <v>51</v>
      </c>
      <c r="H143" s="11" t="s">
        <v>2001</v>
      </c>
      <c r="I143" t="s">
        <v>394</v>
      </c>
      <c r="J143" t="s">
        <v>584</v>
      </c>
      <c r="K143" t="s">
        <v>119</v>
      </c>
      <c r="L143" t="s">
        <v>120</v>
      </c>
      <c r="M143" t="str">
        <f>VLOOKUP(Requests[[#This Row],[Ticket ID]],[2]Requests!$A$2:$D$649,4,FALSE)</f>
        <v>4 - Low</v>
      </c>
      <c r="N143">
        <f>VLOOKUP(Requests[[#This Row],[Priority]],'SLA Config'!$B$3:$C$6,2,FALSE)</f>
        <v>25</v>
      </c>
      <c r="O143" t="str">
        <f ca="1">IF(Requests[[#This Row],[Age (days)]]&gt;Requests[[#This Row],[SLA Threshold]],"Yes","No")</f>
        <v>Yes</v>
      </c>
    </row>
    <row r="144" spans="1:15" hidden="1" x14ac:dyDescent="0.25">
      <c r="A144" t="s">
        <v>2002</v>
      </c>
      <c r="B144" s="1">
        <v>45169</v>
      </c>
      <c r="C144" s="8">
        <v>45186</v>
      </c>
      <c r="D144" t="s">
        <v>29</v>
      </c>
      <c r="E144" t="s">
        <v>324</v>
      </c>
      <c r="F144">
        <f t="shared" ca="1" si="2"/>
        <v>12</v>
      </c>
      <c r="G144" t="s">
        <v>51</v>
      </c>
      <c r="H144" s="11" t="s">
        <v>2003</v>
      </c>
      <c r="I144" t="s">
        <v>394</v>
      </c>
      <c r="J144" t="s">
        <v>584</v>
      </c>
      <c r="K144" t="s">
        <v>119</v>
      </c>
      <c r="L144" t="s">
        <v>120</v>
      </c>
      <c r="M144" t="str">
        <f>VLOOKUP(Requests[[#This Row],[Ticket ID]],[2]Requests!$A$2:$D$649,4,FALSE)</f>
        <v>4 - Low</v>
      </c>
      <c r="N144">
        <f>VLOOKUP(Requests[[#This Row],[Priority]],'SLA Config'!$B$3:$C$6,2,FALSE)</f>
        <v>25</v>
      </c>
      <c r="O144" t="str">
        <f ca="1">IF(Requests[[#This Row],[Age (days)]]&gt;Requests[[#This Row],[SLA Threshold]],"Yes","No")</f>
        <v>No</v>
      </c>
    </row>
    <row r="145" spans="1:15" hidden="1" x14ac:dyDescent="0.25">
      <c r="A145" t="s">
        <v>2004</v>
      </c>
      <c r="B145" s="1">
        <v>45170</v>
      </c>
      <c r="C145" s="8">
        <v>45228</v>
      </c>
      <c r="D145" t="s">
        <v>29</v>
      </c>
      <c r="E145" t="s">
        <v>30</v>
      </c>
      <c r="F145">
        <f t="shared" ca="1" si="2"/>
        <v>41</v>
      </c>
      <c r="G145" t="s">
        <v>31</v>
      </c>
      <c r="H145" s="11" t="s">
        <v>2005</v>
      </c>
      <c r="I145" t="s">
        <v>394</v>
      </c>
      <c r="J145" t="s">
        <v>584</v>
      </c>
      <c r="K145" t="s">
        <v>201</v>
      </c>
      <c r="L145" t="s">
        <v>120</v>
      </c>
      <c r="M145" t="str">
        <f>VLOOKUP(Requests[[#This Row],[Ticket ID]],[2]Requests!$A$2:$D$649,4,FALSE)</f>
        <v>4 - Low</v>
      </c>
      <c r="N145">
        <f>VLOOKUP(Requests[[#This Row],[Priority]],'SLA Config'!$B$3:$C$6,2,FALSE)</f>
        <v>25</v>
      </c>
      <c r="O145" t="str">
        <f ca="1">IF(Requests[[#This Row],[Age (days)]]&gt;Requests[[#This Row],[SLA Threshold]],"Yes","No")</f>
        <v>Yes</v>
      </c>
    </row>
    <row r="146" spans="1:15" hidden="1" x14ac:dyDescent="0.25">
      <c r="A146" t="s">
        <v>2006</v>
      </c>
      <c r="B146" s="1">
        <v>45172</v>
      </c>
      <c r="C146" s="8">
        <v>45186</v>
      </c>
      <c r="D146" t="s">
        <v>29</v>
      </c>
      <c r="E146" t="s">
        <v>104</v>
      </c>
      <c r="F146">
        <f t="shared" ca="1" si="2"/>
        <v>10</v>
      </c>
      <c r="G146" t="s">
        <v>31</v>
      </c>
      <c r="H146" s="11" t="s">
        <v>2007</v>
      </c>
      <c r="I146" t="s">
        <v>1693</v>
      </c>
      <c r="J146" t="s">
        <v>1694</v>
      </c>
      <c r="K146" t="s">
        <v>1695</v>
      </c>
      <c r="L146" t="s">
        <v>71</v>
      </c>
      <c r="M146" t="str">
        <f>VLOOKUP(Requests[[#This Row],[Ticket ID]],[2]Requests!$A$2:$D$649,4,FALSE)</f>
        <v>4 - Low</v>
      </c>
      <c r="N146">
        <f>VLOOKUP(Requests[[#This Row],[Priority]],'SLA Config'!$B$3:$C$6,2,FALSE)</f>
        <v>25</v>
      </c>
      <c r="O146" t="str">
        <f ca="1">IF(Requests[[#This Row],[Age (days)]]&gt;Requests[[#This Row],[SLA Threshold]],"Yes","No")</f>
        <v>No</v>
      </c>
    </row>
    <row r="147" spans="1:15" hidden="1" x14ac:dyDescent="0.25">
      <c r="A147" t="s">
        <v>2008</v>
      </c>
      <c r="B147" s="1">
        <v>45173</v>
      </c>
      <c r="C147" s="8">
        <v>45182</v>
      </c>
      <c r="D147" t="s">
        <v>29</v>
      </c>
      <c r="E147" t="s">
        <v>324</v>
      </c>
      <c r="F147">
        <f t="shared" ca="1" si="2"/>
        <v>8</v>
      </c>
      <c r="G147" t="s">
        <v>31</v>
      </c>
      <c r="H147" s="11" t="s">
        <v>2009</v>
      </c>
      <c r="I147" t="s">
        <v>1336</v>
      </c>
      <c r="J147" t="s">
        <v>40</v>
      </c>
      <c r="K147" t="s">
        <v>432</v>
      </c>
      <c r="L147" t="s">
        <v>71</v>
      </c>
      <c r="M147" t="str">
        <f>VLOOKUP(Requests[[#This Row],[Ticket ID]],[2]Requests!$A$2:$D$649,4,FALSE)</f>
        <v>4 - Low</v>
      </c>
      <c r="N147">
        <f>VLOOKUP(Requests[[#This Row],[Priority]],'SLA Config'!$B$3:$C$6,2,FALSE)</f>
        <v>25</v>
      </c>
      <c r="O147" t="str">
        <f ca="1">IF(Requests[[#This Row],[Age (days)]]&gt;Requests[[#This Row],[SLA Threshold]],"Yes","No")</f>
        <v>No</v>
      </c>
    </row>
    <row r="148" spans="1:15" hidden="1" x14ac:dyDescent="0.25">
      <c r="A148" t="s">
        <v>2010</v>
      </c>
      <c r="B148" s="1">
        <v>45176</v>
      </c>
      <c r="C148" s="8">
        <v>45181</v>
      </c>
      <c r="D148" t="s">
        <v>29</v>
      </c>
      <c r="E148" t="s">
        <v>104</v>
      </c>
      <c r="F148">
        <f t="shared" ca="1" si="2"/>
        <v>4</v>
      </c>
      <c r="G148" t="s">
        <v>51</v>
      </c>
      <c r="H148" s="11" t="s">
        <v>2011</v>
      </c>
      <c r="I148" t="s">
        <v>1336</v>
      </c>
      <c r="J148" t="s">
        <v>307</v>
      </c>
      <c r="K148" t="s">
        <v>119</v>
      </c>
      <c r="L148" t="s">
        <v>120</v>
      </c>
      <c r="M148" t="str">
        <f>VLOOKUP(Requests[[#This Row],[Ticket ID]],[2]Requests!$A$2:$D$649,4,FALSE)</f>
        <v>4 - Low</v>
      </c>
      <c r="N148">
        <f>VLOOKUP(Requests[[#This Row],[Priority]],'SLA Config'!$B$3:$C$6,2,FALSE)</f>
        <v>25</v>
      </c>
      <c r="O148" t="str">
        <f ca="1">IF(Requests[[#This Row],[Age (days)]]&gt;Requests[[#This Row],[SLA Threshold]],"Yes","No")</f>
        <v>No</v>
      </c>
    </row>
    <row r="149" spans="1:15" hidden="1" x14ac:dyDescent="0.25">
      <c r="A149" t="s">
        <v>2012</v>
      </c>
      <c r="B149" s="1">
        <v>45180</v>
      </c>
      <c r="C149" s="8">
        <v>45192</v>
      </c>
      <c r="D149" t="s">
        <v>29</v>
      </c>
      <c r="E149" t="s">
        <v>38</v>
      </c>
      <c r="F149">
        <f t="shared" ca="1" si="2"/>
        <v>10</v>
      </c>
      <c r="G149" s="16" t="s">
        <v>31</v>
      </c>
      <c r="H149" s="11" t="s">
        <v>2013</v>
      </c>
      <c r="I149" t="s">
        <v>394</v>
      </c>
      <c r="J149" t="s">
        <v>2014</v>
      </c>
      <c r="K149" t="s">
        <v>44</v>
      </c>
      <c r="L149" t="s">
        <v>36</v>
      </c>
      <c r="M149" t="str">
        <f>VLOOKUP(Requests[[#This Row],[Ticket ID]],[2]Requests!$A$2:$D$649,4,FALSE)</f>
        <v>4 - Low</v>
      </c>
      <c r="N149">
        <f>VLOOKUP(Requests[[#This Row],[Priority]],'SLA Config'!$B$3:$C$6,2,FALSE)</f>
        <v>25</v>
      </c>
      <c r="O149" t="str">
        <f ca="1">IF(Requests[[#This Row],[Age (days)]]&gt;Requests[[#This Row],[SLA Threshold]],"Yes","No")</f>
        <v>No</v>
      </c>
    </row>
    <row r="150" spans="1:15" hidden="1" x14ac:dyDescent="0.25">
      <c r="A150" t="s">
        <v>2015</v>
      </c>
      <c r="B150" s="1">
        <v>45180</v>
      </c>
      <c r="C150" s="8">
        <v>45189</v>
      </c>
      <c r="D150" t="s">
        <v>29</v>
      </c>
      <c r="E150" t="s">
        <v>324</v>
      </c>
      <c r="F150">
        <f t="shared" ca="1" si="2"/>
        <v>8</v>
      </c>
      <c r="G150" s="16" t="s">
        <v>31</v>
      </c>
      <c r="H150" s="11" t="s">
        <v>2016</v>
      </c>
      <c r="I150" t="s">
        <v>1336</v>
      </c>
      <c r="J150" t="s">
        <v>40</v>
      </c>
      <c r="K150" t="s">
        <v>462</v>
      </c>
      <c r="L150" t="s">
        <v>71</v>
      </c>
      <c r="M150" t="str">
        <f>VLOOKUP(Requests[[#This Row],[Ticket ID]],[2]Requests!$A$2:$D$649,4,FALSE)</f>
        <v>4 - Low</v>
      </c>
      <c r="N150">
        <f>VLOOKUP(Requests[[#This Row],[Priority]],'SLA Config'!$B$3:$C$6,2,FALSE)</f>
        <v>25</v>
      </c>
      <c r="O150" t="str">
        <f ca="1">IF(Requests[[#This Row],[Age (days)]]&gt;Requests[[#This Row],[SLA Threshold]],"Yes","No")</f>
        <v>No</v>
      </c>
    </row>
    <row r="151" spans="1:15" hidden="1" x14ac:dyDescent="0.25">
      <c r="A151" t="s">
        <v>2017</v>
      </c>
      <c r="B151" s="1">
        <v>45180</v>
      </c>
      <c r="C151" s="8">
        <v>45185</v>
      </c>
      <c r="D151" t="s">
        <v>29</v>
      </c>
      <c r="E151" t="s">
        <v>324</v>
      </c>
      <c r="F151">
        <f t="shared" ca="1" si="2"/>
        <v>5</v>
      </c>
      <c r="G151" s="16" t="s">
        <v>31</v>
      </c>
      <c r="H151" s="11" t="s">
        <v>2018</v>
      </c>
      <c r="I151" t="s">
        <v>1336</v>
      </c>
      <c r="J151" t="s">
        <v>40</v>
      </c>
      <c r="K151" t="s">
        <v>462</v>
      </c>
      <c r="L151" t="s">
        <v>71</v>
      </c>
      <c r="M151" t="str">
        <f>VLOOKUP(Requests[[#This Row],[Ticket ID]],[2]Requests!$A$2:$D$649,4,FALSE)</f>
        <v>4 - Low</v>
      </c>
      <c r="N151">
        <f>VLOOKUP(Requests[[#This Row],[Priority]],'SLA Config'!$B$3:$C$6,2,FALSE)</f>
        <v>25</v>
      </c>
      <c r="O151" t="str">
        <f ca="1">IF(Requests[[#This Row],[Age (days)]]&gt;Requests[[#This Row],[SLA Threshold]],"Yes","No")</f>
        <v>No</v>
      </c>
    </row>
    <row r="152" spans="1:15" hidden="1" x14ac:dyDescent="0.25">
      <c r="A152" t="s">
        <v>2019</v>
      </c>
      <c r="B152" s="1">
        <v>45180</v>
      </c>
      <c r="C152" s="8">
        <v>45192</v>
      </c>
      <c r="D152" t="s">
        <v>29</v>
      </c>
      <c r="E152" t="s">
        <v>324</v>
      </c>
      <c r="F152">
        <f t="shared" ca="1" si="2"/>
        <v>10</v>
      </c>
      <c r="G152" s="16" t="s">
        <v>31</v>
      </c>
      <c r="H152" s="11" t="s">
        <v>2020</v>
      </c>
      <c r="I152" t="s">
        <v>1336</v>
      </c>
      <c r="J152" t="s">
        <v>40</v>
      </c>
      <c r="K152" t="s">
        <v>684</v>
      </c>
      <c r="L152" t="s">
        <v>71</v>
      </c>
      <c r="M152" t="str">
        <f>VLOOKUP(Requests[[#This Row],[Ticket ID]],[2]Requests!$A$2:$D$649,4,FALSE)</f>
        <v>4 - Low</v>
      </c>
      <c r="N152">
        <f>VLOOKUP(Requests[[#This Row],[Priority]],'SLA Config'!$B$3:$C$6,2,FALSE)</f>
        <v>25</v>
      </c>
      <c r="O152" t="str">
        <f ca="1">IF(Requests[[#This Row],[Age (days)]]&gt;Requests[[#This Row],[SLA Threshold]],"Yes","No")</f>
        <v>No</v>
      </c>
    </row>
    <row r="153" spans="1:15" hidden="1" x14ac:dyDescent="0.25">
      <c r="A153" t="s">
        <v>2021</v>
      </c>
      <c r="B153" s="1">
        <v>45180</v>
      </c>
      <c r="C153" s="8">
        <v>45192</v>
      </c>
      <c r="D153" t="s">
        <v>29</v>
      </c>
      <c r="E153" t="s">
        <v>30</v>
      </c>
      <c r="F153">
        <f t="shared" ca="1" si="2"/>
        <v>10</v>
      </c>
      <c r="G153" s="16" t="s">
        <v>51</v>
      </c>
      <c r="H153" s="11" t="s">
        <v>2022</v>
      </c>
      <c r="I153" t="s">
        <v>1321</v>
      </c>
      <c r="J153" t="s">
        <v>1743</v>
      </c>
      <c r="K153" t="s">
        <v>119</v>
      </c>
      <c r="L153" t="s">
        <v>120</v>
      </c>
      <c r="M153" t="str">
        <f>VLOOKUP(Requests[[#This Row],[Ticket ID]],[2]Requests!$A$2:$D$649,4,FALSE)</f>
        <v>4 - Low</v>
      </c>
      <c r="N153">
        <f>VLOOKUP(Requests[[#This Row],[Priority]],'SLA Config'!$B$3:$C$6,2,FALSE)</f>
        <v>25</v>
      </c>
      <c r="O153" t="str">
        <f ca="1">IF(Requests[[#This Row],[Age (days)]]&gt;Requests[[#This Row],[SLA Threshold]],"Yes","No")</f>
        <v>No</v>
      </c>
    </row>
    <row r="154" spans="1:15" hidden="1" x14ac:dyDescent="0.25">
      <c r="A154" t="s">
        <v>2023</v>
      </c>
      <c r="B154" s="1">
        <v>45180</v>
      </c>
      <c r="C154" s="8">
        <v>45192</v>
      </c>
      <c r="D154" t="s">
        <v>29</v>
      </c>
      <c r="E154" t="s">
        <v>38</v>
      </c>
      <c r="F154">
        <f t="shared" ca="1" si="2"/>
        <v>10</v>
      </c>
      <c r="G154" s="16" t="s">
        <v>51</v>
      </c>
      <c r="H154" s="11" t="s">
        <v>2024</v>
      </c>
      <c r="I154" t="s">
        <v>1321</v>
      </c>
      <c r="J154" t="s">
        <v>1966</v>
      </c>
      <c r="K154" t="s">
        <v>119</v>
      </c>
      <c r="L154" t="s">
        <v>120</v>
      </c>
      <c r="M154" t="str">
        <f>VLOOKUP(Requests[[#This Row],[Ticket ID]],[2]Requests!$A$2:$D$649,4,FALSE)</f>
        <v>4 - Low</v>
      </c>
      <c r="N154">
        <f>VLOOKUP(Requests[[#This Row],[Priority]],'SLA Config'!$B$3:$C$6,2,FALSE)</f>
        <v>25</v>
      </c>
      <c r="O154" t="str">
        <f ca="1">IF(Requests[[#This Row],[Age (days)]]&gt;Requests[[#This Row],[SLA Threshold]],"Yes","No")</f>
        <v>No</v>
      </c>
    </row>
    <row r="155" spans="1:15" hidden="1" x14ac:dyDescent="0.25">
      <c r="A155" t="s">
        <v>2025</v>
      </c>
      <c r="B155" s="1">
        <v>45181</v>
      </c>
      <c r="C155" s="8">
        <v>45189</v>
      </c>
      <c r="D155" t="s">
        <v>29</v>
      </c>
      <c r="E155" t="s">
        <v>324</v>
      </c>
      <c r="F155">
        <f t="shared" ca="1" si="2"/>
        <v>7</v>
      </c>
      <c r="G155" s="16" t="s">
        <v>51</v>
      </c>
      <c r="H155" s="11" t="s">
        <v>2026</v>
      </c>
      <c r="I155" t="s">
        <v>1336</v>
      </c>
      <c r="J155" t="s">
        <v>40</v>
      </c>
      <c r="K155" t="s">
        <v>2027</v>
      </c>
      <c r="L155" t="s">
        <v>71</v>
      </c>
      <c r="M155" t="str">
        <f>VLOOKUP(Requests[[#This Row],[Ticket ID]],[2]Requests!$A$2:$D$649,4,FALSE)</f>
        <v>4 - Low</v>
      </c>
      <c r="N155">
        <f>VLOOKUP(Requests[[#This Row],[Priority]],'SLA Config'!$B$3:$C$6,2,FALSE)</f>
        <v>25</v>
      </c>
      <c r="O155" t="str">
        <f ca="1">IF(Requests[[#This Row],[Age (days)]]&gt;Requests[[#This Row],[SLA Threshold]],"Yes","No")</f>
        <v>No</v>
      </c>
    </row>
    <row r="156" spans="1:15" hidden="1" x14ac:dyDescent="0.25">
      <c r="A156" t="s">
        <v>2028</v>
      </c>
      <c r="B156" s="1">
        <v>45182</v>
      </c>
      <c r="C156" s="8">
        <v>45481</v>
      </c>
      <c r="D156" t="s">
        <v>29</v>
      </c>
      <c r="E156" t="s">
        <v>38</v>
      </c>
      <c r="F156">
        <f t="shared" ca="1" si="2"/>
        <v>214</v>
      </c>
      <c r="G156" s="16" t="s">
        <v>51</v>
      </c>
      <c r="H156" s="11" t="s">
        <v>2029</v>
      </c>
      <c r="I156" t="s">
        <v>394</v>
      </c>
      <c r="J156" t="s">
        <v>304</v>
      </c>
      <c r="K156" t="s">
        <v>119</v>
      </c>
      <c r="L156" t="s">
        <v>120</v>
      </c>
      <c r="M156" t="str">
        <f>VLOOKUP(Requests[[#This Row],[Ticket ID]],[2]Requests!$A$2:$D$649,4,FALSE)</f>
        <v>4 - Low</v>
      </c>
      <c r="N156">
        <f>VLOOKUP(Requests[[#This Row],[Priority]],'SLA Config'!$B$3:$C$6,2,FALSE)</f>
        <v>25</v>
      </c>
      <c r="O156" t="str">
        <f ca="1">IF(Requests[[#This Row],[Age (days)]]&gt;Requests[[#This Row],[SLA Threshold]],"Yes","No")</f>
        <v>Yes</v>
      </c>
    </row>
    <row r="157" spans="1:15" hidden="1" x14ac:dyDescent="0.25">
      <c r="A157" t="s">
        <v>2030</v>
      </c>
      <c r="B157" s="1">
        <v>45182</v>
      </c>
      <c r="C157" s="8">
        <v>45210</v>
      </c>
      <c r="D157" t="s">
        <v>29</v>
      </c>
      <c r="E157" t="s">
        <v>38</v>
      </c>
      <c r="F157">
        <f t="shared" ca="1" si="2"/>
        <v>21</v>
      </c>
      <c r="G157" s="16" t="s">
        <v>31</v>
      </c>
      <c r="H157" s="11" t="s">
        <v>2031</v>
      </c>
      <c r="I157" t="s">
        <v>1327</v>
      </c>
      <c r="J157" t="s">
        <v>34</v>
      </c>
      <c r="K157" t="s">
        <v>44</v>
      </c>
      <c r="L157" t="s">
        <v>36</v>
      </c>
      <c r="M157" t="str">
        <f>VLOOKUP(Requests[[#This Row],[Ticket ID]],[2]Requests!$A$2:$D$649,4,FALSE)</f>
        <v>4 - Low</v>
      </c>
      <c r="N157">
        <f>VLOOKUP(Requests[[#This Row],[Priority]],'SLA Config'!$B$3:$C$6,2,FALSE)</f>
        <v>25</v>
      </c>
      <c r="O157" t="str">
        <f ca="1">IF(Requests[[#This Row],[Age (days)]]&gt;Requests[[#This Row],[SLA Threshold]],"Yes","No")</f>
        <v>No</v>
      </c>
    </row>
    <row r="158" spans="1:15" hidden="1" x14ac:dyDescent="0.25">
      <c r="A158" t="s">
        <v>2032</v>
      </c>
      <c r="B158" s="1">
        <v>45183</v>
      </c>
      <c r="C158" s="8">
        <v>45221</v>
      </c>
      <c r="D158" t="s">
        <v>29</v>
      </c>
      <c r="E158" t="s">
        <v>38</v>
      </c>
      <c r="F158">
        <f t="shared" ca="1" si="2"/>
        <v>27</v>
      </c>
      <c r="G158" s="16" t="s">
        <v>51</v>
      </c>
      <c r="H158" s="11" t="s">
        <v>2033</v>
      </c>
      <c r="I158" t="s">
        <v>394</v>
      </c>
      <c r="J158" t="s">
        <v>584</v>
      </c>
      <c r="K158" t="s">
        <v>119</v>
      </c>
      <c r="L158" t="s">
        <v>120</v>
      </c>
      <c r="M158" t="str">
        <f>VLOOKUP(Requests[[#This Row],[Ticket ID]],[2]Requests!$A$2:$D$649,4,FALSE)</f>
        <v>4 - Low</v>
      </c>
      <c r="N158">
        <f>VLOOKUP(Requests[[#This Row],[Priority]],'SLA Config'!$B$3:$C$6,2,FALSE)</f>
        <v>25</v>
      </c>
      <c r="O158" t="str">
        <f ca="1">IF(Requests[[#This Row],[Age (days)]]&gt;Requests[[#This Row],[SLA Threshold]],"Yes","No")</f>
        <v>Yes</v>
      </c>
    </row>
    <row r="159" spans="1:15" hidden="1" x14ac:dyDescent="0.25">
      <c r="A159" t="s">
        <v>2034</v>
      </c>
      <c r="B159" s="1">
        <v>45184</v>
      </c>
      <c r="C159" s="8">
        <v>45195</v>
      </c>
      <c r="D159" t="s">
        <v>29</v>
      </c>
      <c r="E159" t="s">
        <v>324</v>
      </c>
      <c r="F159">
        <f t="shared" ca="1" si="2"/>
        <v>8</v>
      </c>
      <c r="G159" s="16" t="s">
        <v>31</v>
      </c>
      <c r="H159" s="11" t="s">
        <v>2035</v>
      </c>
      <c r="I159" t="s">
        <v>1336</v>
      </c>
      <c r="J159" t="s">
        <v>40</v>
      </c>
      <c r="K159" t="s">
        <v>2036</v>
      </c>
      <c r="L159" t="s">
        <v>120</v>
      </c>
      <c r="M159" t="str">
        <f>VLOOKUP(Requests[[#This Row],[Ticket ID]],[2]Requests!$A$2:$D$649,4,FALSE)</f>
        <v>4 - Low</v>
      </c>
      <c r="N159">
        <f>VLOOKUP(Requests[[#This Row],[Priority]],'SLA Config'!$B$3:$C$6,2,FALSE)</f>
        <v>25</v>
      </c>
      <c r="O159" t="str">
        <f ca="1">IF(Requests[[#This Row],[Age (days)]]&gt;Requests[[#This Row],[SLA Threshold]],"Yes","No")</f>
        <v>No</v>
      </c>
    </row>
    <row r="160" spans="1:15" hidden="1" x14ac:dyDescent="0.25">
      <c r="A160" t="s">
        <v>2037</v>
      </c>
      <c r="B160" s="1">
        <v>45187</v>
      </c>
      <c r="C160" s="8">
        <v>45249</v>
      </c>
      <c r="D160" t="s">
        <v>29</v>
      </c>
      <c r="E160" t="s">
        <v>324</v>
      </c>
      <c r="F160">
        <f t="shared" ca="1" si="2"/>
        <v>45</v>
      </c>
      <c r="G160" s="16" t="s">
        <v>51</v>
      </c>
      <c r="H160" s="11" t="s">
        <v>2038</v>
      </c>
      <c r="I160" t="s">
        <v>1336</v>
      </c>
      <c r="J160" t="s">
        <v>584</v>
      </c>
      <c r="K160" t="s">
        <v>119</v>
      </c>
      <c r="L160" t="s">
        <v>120</v>
      </c>
      <c r="M160" t="str">
        <f>VLOOKUP(Requests[[#This Row],[Ticket ID]],[2]Requests!$A$2:$D$649,4,FALSE)</f>
        <v>4 - Low</v>
      </c>
      <c r="N160">
        <f>VLOOKUP(Requests[[#This Row],[Priority]],'SLA Config'!$B$3:$C$6,2,FALSE)</f>
        <v>25</v>
      </c>
      <c r="O160" t="str">
        <f ca="1">IF(Requests[[#This Row],[Age (days)]]&gt;Requests[[#This Row],[SLA Threshold]],"Yes","No")</f>
        <v>Yes</v>
      </c>
    </row>
    <row r="161" spans="1:15" hidden="1" x14ac:dyDescent="0.25">
      <c r="A161" t="s">
        <v>2039</v>
      </c>
      <c r="B161" s="1">
        <v>45188</v>
      </c>
      <c r="C161" s="8">
        <v>45200</v>
      </c>
      <c r="D161" t="s">
        <v>29</v>
      </c>
      <c r="E161" t="s">
        <v>324</v>
      </c>
      <c r="F161">
        <f t="shared" ca="1" si="2"/>
        <v>9</v>
      </c>
      <c r="G161" s="16" t="s">
        <v>31</v>
      </c>
      <c r="H161" s="11" t="s">
        <v>2040</v>
      </c>
      <c r="I161" t="s">
        <v>1336</v>
      </c>
      <c r="J161" t="s">
        <v>584</v>
      </c>
      <c r="K161" t="s">
        <v>44</v>
      </c>
      <c r="L161" t="s">
        <v>36</v>
      </c>
      <c r="M161" t="str">
        <f>VLOOKUP(Requests[[#This Row],[Ticket ID]],[2]Requests!$A$2:$D$649,4,FALSE)</f>
        <v>4 - Low</v>
      </c>
      <c r="N161">
        <f>VLOOKUP(Requests[[#This Row],[Priority]],'SLA Config'!$B$3:$C$6,2,FALSE)</f>
        <v>25</v>
      </c>
      <c r="O161" t="str">
        <f ca="1">IF(Requests[[#This Row],[Age (days)]]&gt;Requests[[#This Row],[SLA Threshold]],"Yes","No")</f>
        <v>No</v>
      </c>
    </row>
    <row r="162" spans="1:15" hidden="1" x14ac:dyDescent="0.25">
      <c r="A162" t="s">
        <v>2041</v>
      </c>
      <c r="B162" s="1">
        <v>45190</v>
      </c>
      <c r="C162" s="8">
        <v>45201</v>
      </c>
      <c r="D162" t="s">
        <v>29</v>
      </c>
      <c r="E162" t="s">
        <v>30</v>
      </c>
      <c r="F162">
        <f t="shared" ca="1" si="2"/>
        <v>8</v>
      </c>
      <c r="G162" s="16" t="s">
        <v>51</v>
      </c>
      <c r="H162" s="11" t="s">
        <v>2042</v>
      </c>
      <c r="I162" t="s">
        <v>1321</v>
      </c>
      <c r="J162" t="s">
        <v>1743</v>
      </c>
      <c r="K162" t="s">
        <v>201</v>
      </c>
      <c r="L162" t="s">
        <v>120</v>
      </c>
      <c r="M162" t="str">
        <f>VLOOKUP(Requests[[#This Row],[Ticket ID]],[2]Requests!$A$2:$D$649,4,FALSE)</f>
        <v>4 - Low</v>
      </c>
      <c r="N162">
        <f>VLOOKUP(Requests[[#This Row],[Priority]],'SLA Config'!$B$3:$C$6,2,FALSE)</f>
        <v>25</v>
      </c>
      <c r="O162" t="str">
        <f ca="1">IF(Requests[[#This Row],[Age (days)]]&gt;Requests[[#This Row],[SLA Threshold]],"Yes","No")</f>
        <v>No</v>
      </c>
    </row>
    <row r="163" spans="1:15" hidden="1" x14ac:dyDescent="0.25">
      <c r="A163" t="s">
        <v>2043</v>
      </c>
      <c r="B163" s="1">
        <v>45190</v>
      </c>
      <c r="C163" s="8">
        <v>45266</v>
      </c>
      <c r="D163" t="s">
        <v>29</v>
      </c>
      <c r="E163" t="s">
        <v>104</v>
      </c>
      <c r="F163">
        <f t="shared" ca="1" si="2"/>
        <v>55</v>
      </c>
      <c r="G163" s="16" t="s">
        <v>31</v>
      </c>
      <c r="H163" s="11" t="s">
        <v>2044</v>
      </c>
      <c r="I163" t="s">
        <v>193</v>
      </c>
      <c r="J163" t="s">
        <v>1966</v>
      </c>
      <c r="K163" t="s">
        <v>207</v>
      </c>
      <c r="L163" t="s">
        <v>71</v>
      </c>
      <c r="M163" t="str">
        <f>VLOOKUP(Requests[[#This Row],[Ticket ID]],[2]Requests!$A$2:$D$649,4,FALSE)</f>
        <v>4 - Low</v>
      </c>
      <c r="N163">
        <f>VLOOKUP(Requests[[#This Row],[Priority]],'SLA Config'!$B$3:$C$6,2,FALSE)</f>
        <v>25</v>
      </c>
      <c r="O163" t="str">
        <f ca="1">IF(Requests[[#This Row],[Age (days)]]&gt;Requests[[#This Row],[SLA Threshold]],"Yes","No")</f>
        <v>Yes</v>
      </c>
    </row>
    <row r="164" spans="1:15" hidden="1" x14ac:dyDescent="0.25">
      <c r="A164" t="s">
        <v>2045</v>
      </c>
      <c r="B164" s="1">
        <v>45190</v>
      </c>
      <c r="C164" s="8">
        <v>45266</v>
      </c>
      <c r="D164" t="s">
        <v>29</v>
      </c>
      <c r="E164" t="s">
        <v>104</v>
      </c>
      <c r="F164">
        <f t="shared" ca="1" si="2"/>
        <v>55</v>
      </c>
      <c r="G164" s="16" t="s">
        <v>31</v>
      </c>
      <c r="H164" s="11" t="s">
        <v>2046</v>
      </c>
      <c r="I164" t="s">
        <v>193</v>
      </c>
      <c r="J164" t="s">
        <v>1966</v>
      </c>
      <c r="K164" t="s">
        <v>207</v>
      </c>
      <c r="L164" t="s">
        <v>71</v>
      </c>
      <c r="M164" t="str">
        <f>VLOOKUP(Requests[[#This Row],[Ticket ID]],[2]Requests!$A$2:$D$649,4,FALSE)</f>
        <v>4 - Low</v>
      </c>
      <c r="N164">
        <f>VLOOKUP(Requests[[#This Row],[Priority]],'SLA Config'!$B$3:$C$6,2,FALSE)</f>
        <v>25</v>
      </c>
      <c r="O164" t="str">
        <f ca="1">IF(Requests[[#This Row],[Age (days)]]&gt;Requests[[#This Row],[SLA Threshold]],"Yes","No")</f>
        <v>Yes</v>
      </c>
    </row>
    <row r="165" spans="1:15" hidden="1" x14ac:dyDescent="0.25">
      <c r="A165" t="s">
        <v>2047</v>
      </c>
      <c r="B165" s="1">
        <v>45190</v>
      </c>
      <c r="C165" s="8">
        <v>45286</v>
      </c>
      <c r="D165" t="s">
        <v>29</v>
      </c>
      <c r="E165" t="s">
        <v>104</v>
      </c>
      <c r="F165">
        <f t="shared" ca="1" si="2"/>
        <v>69</v>
      </c>
      <c r="G165" s="16" t="s">
        <v>51</v>
      </c>
      <c r="H165" s="11" t="s">
        <v>2048</v>
      </c>
      <c r="I165" t="s">
        <v>580</v>
      </c>
      <c r="J165" t="s">
        <v>2049</v>
      </c>
      <c r="K165" t="s">
        <v>119</v>
      </c>
      <c r="L165" t="s">
        <v>120</v>
      </c>
      <c r="M165" t="str">
        <f>VLOOKUP(Requests[[#This Row],[Ticket ID]],[2]Requests!$A$2:$D$649,4,FALSE)</f>
        <v>4 - Low</v>
      </c>
      <c r="N165">
        <f>VLOOKUP(Requests[[#This Row],[Priority]],'SLA Config'!$B$3:$C$6,2,FALSE)</f>
        <v>25</v>
      </c>
      <c r="O165" t="str">
        <f ca="1">IF(Requests[[#This Row],[Age (days)]]&gt;Requests[[#This Row],[SLA Threshold]],"Yes","No")</f>
        <v>Yes</v>
      </c>
    </row>
    <row r="166" spans="1:15" hidden="1" x14ac:dyDescent="0.25">
      <c r="A166" t="s">
        <v>2050</v>
      </c>
      <c r="B166" s="1">
        <v>45194</v>
      </c>
      <c r="C166" s="8">
        <v>45234</v>
      </c>
      <c r="D166" t="s">
        <v>29</v>
      </c>
      <c r="E166" t="s">
        <v>30</v>
      </c>
      <c r="F166">
        <f t="shared" ca="1" si="2"/>
        <v>30</v>
      </c>
      <c r="G166" s="16" t="s">
        <v>51</v>
      </c>
      <c r="H166" s="11" t="s">
        <v>1489</v>
      </c>
      <c r="I166" t="s">
        <v>193</v>
      </c>
      <c r="J166" t="s">
        <v>40</v>
      </c>
      <c r="K166" t="s">
        <v>119</v>
      </c>
      <c r="L166" t="s">
        <v>120</v>
      </c>
      <c r="M166" t="str">
        <f>VLOOKUP(Requests[[#This Row],[Ticket ID]],[2]Requests!$A$2:$D$649,4,FALSE)</f>
        <v>4 - Low</v>
      </c>
      <c r="N166">
        <f>VLOOKUP(Requests[[#This Row],[Priority]],'SLA Config'!$B$3:$C$6,2,FALSE)</f>
        <v>25</v>
      </c>
      <c r="O166" t="str">
        <f ca="1">IF(Requests[[#This Row],[Age (days)]]&gt;Requests[[#This Row],[SLA Threshold]],"Yes","No")</f>
        <v>Yes</v>
      </c>
    </row>
    <row r="167" spans="1:15" hidden="1" x14ac:dyDescent="0.25">
      <c r="A167" t="s">
        <v>2051</v>
      </c>
      <c r="B167" s="1">
        <v>45197</v>
      </c>
      <c r="C167" s="8">
        <v>45207</v>
      </c>
      <c r="D167" t="s">
        <v>29</v>
      </c>
      <c r="E167" t="s">
        <v>38</v>
      </c>
      <c r="F167">
        <f t="shared" ca="1" si="2"/>
        <v>7</v>
      </c>
      <c r="G167" s="16" t="s">
        <v>31</v>
      </c>
      <c r="H167" s="11" t="s">
        <v>2052</v>
      </c>
      <c r="I167" t="s">
        <v>727</v>
      </c>
      <c r="J167" t="s">
        <v>1827</v>
      </c>
      <c r="K167" t="s">
        <v>741</v>
      </c>
      <c r="L167" t="s">
        <v>71</v>
      </c>
      <c r="M167" t="str">
        <f>VLOOKUP(Requests[[#This Row],[Ticket ID]],[2]Requests!$A$2:$D$649,4,FALSE)</f>
        <v>4 - Low</v>
      </c>
      <c r="N167">
        <f>VLOOKUP(Requests[[#This Row],[Priority]],'SLA Config'!$B$3:$C$6,2,FALSE)</f>
        <v>25</v>
      </c>
      <c r="O167" t="str">
        <f ca="1">IF(Requests[[#This Row],[Age (days)]]&gt;Requests[[#This Row],[SLA Threshold]],"Yes","No")</f>
        <v>No</v>
      </c>
    </row>
    <row r="168" spans="1:15" hidden="1" x14ac:dyDescent="0.25">
      <c r="A168" t="s">
        <v>2053</v>
      </c>
      <c r="B168" s="1">
        <v>45197</v>
      </c>
      <c r="C168" s="8">
        <v>45208</v>
      </c>
      <c r="D168" t="s">
        <v>29</v>
      </c>
      <c r="E168" t="s">
        <v>324</v>
      </c>
      <c r="F168">
        <f t="shared" ca="1" si="2"/>
        <v>8</v>
      </c>
      <c r="G168" s="16" t="s">
        <v>31</v>
      </c>
      <c r="H168" s="11" t="s">
        <v>2054</v>
      </c>
      <c r="I168" t="s">
        <v>1336</v>
      </c>
      <c r="J168" t="s">
        <v>40</v>
      </c>
      <c r="K168" t="s">
        <v>2055</v>
      </c>
      <c r="L168" t="s">
        <v>120</v>
      </c>
      <c r="M168" t="str">
        <f>VLOOKUP(Requests[[#This Row],[Ticket ID]],[2]Requests!$A$2:$D$649,4,FALSE)</f>
        <v>4 - Low</v>
      </c>
      <c r="N168">
        <f>VLOOKUP(Requests[[#This Row],[Priority]],'SLA Config'!$B$3:$C$6,2,FALSE)</f>
        <v>25</v>
      </c>
      <c r="O168" t="str">
        <f ca="1">IF(Requests[[#This Row],[Age (days)]]&gt;Requests[[#This Row],[SLA Threshold]],"Yes","No")</f>
        <v>No</v>
      </c>
    </row>
    <row r="169" spans="1:15" hidden="1" x14ac:dyDescent="0.25">
      <c r="A169" t="s">
        <v>2056</v>
      </c>
      <c r="B169" s="1">
        <v>45198</v>
      </c>
      <c r="C169" s="8">
        <v>45215</v>
      </c>
      <c r="D169" t="s">
        <v>29</v>
      </c>
      <c r="E169" t="s">
        <v>324</v>
      </c>
      <c r="F169">
        <f t="shared" ca="1" si="2"/>
        <v>12</v>
      </c>
      <c r="G169" s="16" t="s">
        <v>31</v>
      </c>
      <c r="H169" s="11" t="s">
        <v>2057</v>
      </c>
      <c r="I169" t="s">
        <v>1336</v>
      </c>
      <c r="J169" t="s">
        <v>40</v>
      </c>
      <c r="K169" t="s">
        <v>2058</v>
      </c>
      <c r="L169" t="s">
        <v>71</v>
      </c>
      <c r="M169" t="str">
        <f>VLOOKUP(Requests[[#This Row],[Ticket ID]],[2]Requests!$A$2:$D$649,4,FALSE)</f>
        <v>4 - Low</v>
      </c>
      <c r="N169">
        <f>VLOOKUP(Requests[[#This Row],[Priority]],'SLA Config'!$B$3:$C$6,2,FALSE)</f>
        <v>25</v>
      </c>
      <c r="O169" t="str">
        <f ca="1">IF(Requests[[#This Row],[Age (days)]]&gt;Requests[[#This Row],[SLA Threshold]],"Yes","No")</f>
        <v>No</v>
      </c>
    </row>
    <row r="170" spans="1:15" hidden="1" x14ac:dyDescent="0.25">
      <c r="A170" t="s">
        <v>2059</v>
      </c>
      <c r="B170" s="1">
        <v>45201</v>
      </c>
      <c r="C170" s="8">
        <v>45208</v>
      </c>
      <c r="D170" t="s">
        <v>29</v>
      </c>
      <c r="E170" t="s">
        <v>324</v>
      </c>
      <c r="F170">
        <f t="shared" ca="1" si="2"/>
        <v>6</v>
      </c>
      <c r="G170" t="s">
        <v>31</v>
      </c>
      <c r="H170" s="11" t="s">
        <v>2060</v>
      </c>
      <c r="I170" t="s">
        <v>1336</v>
      </c>
      <c r="J170" t="s">
        <v>1717</v>
      </c>
      <c r="K170" t="s">
        <v>2061</v>
      </c>
      <c r="L170" t="s">
        <v>71</v>
      </c>
      <c r="M170" t="str">
        <f>VLOOKUP(Requests[[#This Row],[Ticket ID]],[2]Requests!$A$2:$D$649,4,FALSE)</f>
        <v>4 - Low</v>
      </c>
      <c r="N170">
        <f>VLOOKUP(Requests[[#This Row],[Priority]],'SLA Config'!$B$3:$C$6,2,FALSE)</f>
        <v>25</v>
      </c>
      <c r="O170" t="str">
        <f ca="1">IF(Requests[[#This Row],[Age (days)]]&gt;Requests[[#This Row],[SLA Threshold]],"Yes","No")</f>
        <v>No</v>
      </c>
    </row>
    <row r="171" spans="1:15" hidden="1" x14ac:dyDescent="0.25">
      <c r="A171" t="s">
        <v>2062</v>
      </c>
      <c r="B171" s="1">
        <v>45202</v>
      </c>
      <c r="C171" s="8">
        <v>45216</v>
      </c>
      <c r="D171" t="s">
        <v>29</v>
      </c>
      <c r="E171" t="s">
        <v>30</v>
      </c>
      <c r="F171">
        <f t="shared" ca="1" si="2"/>
        <v>11</v>
      </c>
      <c r="G171" t="s">
        <v>31</v>
      </c>
      <c r="H171" s="11" t="s">
        <v>2063</v>
      </c>
      <c r="I171" t="s">
        <v>1321</v>
      </c>
      <c r="J171" t="s">
        <v>1690</v>
      </c>
      <c r="K171" t="s">
        <v>201</v>
      </c>
      <c r="L171" t="s">
        <v>120</v>
      </c>
      <c r="M171" t="str">
        <f>VLOOKUP(Requests[[#This Row],[Ticket ID]],[2]Requests!$A$2:$D$649,4,FALSE)</f>
        <v>2 - High</v>
      </c>
      <c r="N171">
        <f>VLOOKUP(Requests[[#This Row],[Priority]],'SLA Config'!$B$3:$C$6,2,FALSE)</f>
        <v>5</v>
      </c>
      <c r="O171" t="str">
        <f ca="1">IF(Requests[[#This Row],[Age (days)]]&gt;Requests[[#This Row],[SLA Threshold]],"Yes","No")</f>
        <v>Yes</v>
      </c>
    </row>
    <row r="172" spans="1:15" hidden="1" x14ac:dyDescent="0.25">
      <c r="A172" t="s">
        <v>2064</v>
      </c>
      <c r="B172" s="1">
        <v>45202</v>
      </c>
      <c r="C172" s="8">
        <v>45209</v>
      </c>
      <c r="D172" t="s">
        <v>29</v>
      </c>
      <c r="E172" t="s">
        <v>324</v>
      </c>
      <c r="F172">
        <f t="shared" ca="1" si="2"/>
        <v>6</v>
      </c>
      <c r="G172" t="s">
        <v>51</v>
      </c>
      <c r="H172" s="11" t="s">
        <v>2065</v>
      </c>
      <c r="I172" t="s">
        <v>1336</v>
      </c>
      <c r="J172" t="s">
        <v>40</v>
      </c>
      <c r="K172" t="s">
        <v>2066</v>
      </c>
      <c r="L172" t="s">
        <v>71</v>
      </c>
      <c r="M172" t="str">
        <f>VLOOKUP(Requests[[#This Row],[Ticket ID]],[2]Requests!$A$2:$D$649,4,FALSE)</f>
        <v>4 - Low</v>
      </c>
      <c r="N172">
        <f>VLOOKUP(Requests[[#This Row],[Priority]],'SLA Config'!$B$3:$C$6,2,FALSE)</f>
        <v>25</v>
      </c>
      <c r="O172" t="str">
        <f ca="1">IF(Requests[[#This Row],[Age (days)]]&gt;Requests[[#This Row],[SLA Threshold]],"Yes","No")</f>
        <v>No</v>
      </c>
    </row>
    <row r="173" spans="1:15" hidden="1" x14ac:dyDescent="0.25">
      <c r="A173" t="s">
        <v>2067</v>
      </c>
      <c r="B173" s="1">
        <v>45205</v>
      </c>
      <c r="C173" s="8">
        <v>45210</v>
      </c>
      <c r="D173" t="s">
        <v>29</v>
      </c>
      <c r="E173" t="s">
        <v>104</v>
      </c>
      <c r="F173">
        <f t="shared" ca="1" si="2"/>
        <v>4</v>
      </c>
      <c r="G173" t="s">
        <v>51</v>
      </c>
      <c r="H173" s="11" t="s">
        <v>2068</v>
      </c>
      <c r="I173" t="s">
        <v>193</v>
      </c>
      <c r="J173" t="s">
        <v>40</v>
      </c>
      <c r="K173" t="s">
        <v>119</v>
      </c>
      <c r="L173" t="s">
        <v>120</v>
      </c>
      <c r="M173" t="str">
        <f>VLOOKUP(Requests[[#This Row],[Ticket ID]],[2]Requests!$A$2:$D$649,4,FALSE)</f>
        <v>4 - Low</v>
      </c>
      <c r="N173">
        <f>VLOOKUP(Requests[[#This Row],[Priority]],'SLA Config'!$B$3:$C$6,2,FALSE)</f>
        <v>25</v>
      </c>
      <c r="O173" t="str">
        <f ca="1">IF(Requests[[#This Row],[Age (days)]]&gt;Requests[[#This Row],[SLA Threshold]],"Yes","No")</f>
        <v>No</v>
      </c>
    </row>
    <row r="174" spans="1:15" hidden="1" x14ac:dyDescent="0.25">
      <c r="A174" t="s">
        <v>2069</v>
      </c>
      <c r="B174" s="1">
        <v>45205</v>
      </c>
      <c r="C174" s="8">
        <v>45249</v>
      </c>
      <c r="D174" t="s">
        <v>29</v>
      </c>
      <c r="E174" t="s">
        <v>38</v>
      </c>
      <c r="F174">
        <f t="shared" ca="1" si="2"/>
        <v>31</v>
      </c>
      <c r="G174" t="s">
        <v>51</v>
      </c>
      <c r="H174" s="11" t="s">
        <v>2070</v>
      </c>
      <c r="I174" t="s">
        <v>394</v>
      </c>
      <c r="J174" t="s">
        <v>584</v>
      </c>
      <c r="K174" t="s">
        <v>119</v>
      </c>
      <c r="L174" t="s">
        <v>120</v>
      </c>
      <c r="M174" t="str">
        <f>VLOOKUP(Requests[[#This Row],[Ticket ID]],[2]Requests!$A$2:$D$649,4,FALSE)</f>
        <v>4 - Low</v>
      </c>
      <c r="N174">
        <f>VLOOKUP(Requests[[#This Row],[Priority]],'SLA Config'!$B$3:$C$6,2,FALSE)</f>
        <v>25</v>
      </c>
      <c r="O174" t="str">
        <f ca="1">IF(Requests[[#This Row],[Age (days)]]&gt;Requests[[#This Row],[SLA Threshold]],"Yes","No")</f>
        <v>Yes</v>
      </c>
    </row>
    <row r="175" spans="1:15" hidden="1" x14ac:dyDescent="0.25">
      <c r="A175" t="s">
        <v>2071</v>
      </c>
      <c r="B175" s="1">
        <v>45210</v>
      </c>
      <c r="C175" s="8">
        <v>45231</v>
      </c>
      <c r="D175" t="s">
        <v>29</v>
      </c>
      <c r="E175" t="s">
        <v>30</v>
      </c>
      <c r="F175">
        <f t="shared" ca="1" si="2"/>
        <v>16</v>
      </c>
      <c r="G175" t="s">
        <v>31</v>
      </c>
      <c r="H175" s="11" t="s">
        <v>2072</v>
      </c>
      <c r="I175" t="s">
        <v>1321</v>
      </c>
      <c r="J175" t="s">
        <v>1690</v>
      </c>
      <c r="K175" t="s">
        <v>201</v>
      </c>
      <c r="L175" t="s">
        <v>120</v>
      </c>
      <c r="M175" t="str">
        <f>VLOOKUP(Requests[[#This Row],[Ticket ID]],[2]Requests!$A$2:$D$649,4,FALSE)</f>
        <v>2 - High</v>
      </c>
      <c r="N175">
        <f>VLOOKUP(Requests[[#This Row],[Priority]],'SLA Config'!$B$3:$C$6,2,FALSE)</f>
        <v>5</v>
      </c>
      <c r="O175" t="str">
        <f ca="1">IF(Requests[[#This Row],[Age (days)]]&gt;Requests[[#This Row],[SLA Threshold]],"Yes","No")</f>
        <v>Yes</v>
      </c>
    </row>
    <row r="176" spans="1:15" hidden="1" x14ac:dyDescent="0.25">
      <c r="A176" t="s">
        <v>2073</v>
      </c>
      <c r="B176" s="1">
        <v>45211</v>
      </c>
      <c r="C176" s="8">
        <v>45224</v>
      </c>
      <c r="D176" t="s">
        <v>29</v>
      </c>
      <c r="E176" t="s">
        <v>324</v>
      </c>
      <c r="F176">
        <f t="shared" ca="1" si="2"/>
        <v>10</v>
      </c>
      <c r="G176" t="s">
        <v>51</v>
      </c>
      <c r="H176" s="11" t="s">
        <v>2074</v>
      </c>
      <c r="I176" t="s">
        <v>1336</v>
      </c>
      <c r="J176" t="s">
        <v>40</v>
      </c>
      <c r="K176" t="s">
        <v>1957</v>
      </c>
      <c r="L176" t="s">
        <v>71</v>
      </c>
      <c r="M176" t="str">
        <f>VLOOKUP(Requests[[#This Row],[Ticket ID]],[2]Requests!$A$2:$D$649,4,FALSE)</f>
        <v>4 - Low</v>
      </c>
      <c r="N176">
        <f>VLOOKUP(Requests[[#This Row],[Priority]],'SLA Config'!$B$3:$C$6,2,FALSE)</f>
        <v>25</v>
      </c>
      <c r="O176" t="str">
        <f ca="1">IF(Requests[[#This Row],[Age (days)]]&gt;Requests[[#This Row],[SLA Threshold]],"Yes","No")</f>
        <v>No</v>
      </c>
    </row>
    <row r="177" spans="1:15" ht="30" hidden="1" x14ac:dyDescent="0.25">
      <c r="A177" t="s">
        <v>2075</v>
      </c>
      <c r="B177" s="1">
        <v>45211</v>
      </c>
      <c r="C177" s="8">
        <v>45229</v>
      </c>
      <c r="D177" t="s">
        <v>29</v>
      </c>
      <c r="E177" t="s">
        <v>324</v>
      </c>
      <c r="F177">
        <f t="shared" ca="1" si="2"/>
        <v>13</v>
      </c>
      <c r="G177" t="s">
        <v>31</v>
      </c>
      <c r="H177" s="11" t="s">
        <v>2076</v>
      </c>
      <c r="I177" t="s">
        <v>1336</v>
      </c>
      <c r="J177" t="s">
        <v>40</v>
      </c>
      <c r="K177" t="s">
        <v>684</v>
      </c>
      <c r="L177" t="s">
        <v>71</v>
      </c>
      <c r="M177" t="str">
        <f>VLOOKUP(Requests[[#This Row],[Ticket ID]],[2]Requests!$A$2:$D$649,4,FALSE)</f>
        <v>4 - Low</v>
      </c>
      <c r="N177">
        <f>VLOOKUP(Requests[[#This Row],[Priority]],'SLA Config'!$B$3:$C$6,2,FALSE)</f>
        <v>25</v>
      </c>
      <c r="O177" t="str">
        <f ca="1">IF(Requests[[#This Row],[Age (days)]]&gt;Requests[[#This Row],[SLA Threshold]],"Yes","No")</f>
        <v>No</v>
      </c>
    </row>
    <row r="178" spans="1:15" hidden="1" x14ac:dyDescent="0.25">
      <c r="A178" t="s">
        <v>2077</v>
      </c>
      <c r="B178" s="1">
        <v>45211</v>
      </c>
      <c r="C178" s="8">
        <v>45223</v>
      </c>
      <c r="D178" t="s">
        <v>29</v>
      </c>
      <c r="E178" t="s">
        <v>38</v>
      </c>
      <c r="F178">
        <f t="shared" ca="1" si="2"/>
        <v>9</v>
      </c>
      <c r="G178" t="s">
        <v>51</v>
      </c>
      <c r="H178" s="11" t="s">
        <v>2078</v>
      </c>
      <c r="I178" t="s">
        <v>394</v>
      </c>
      <c r="J178" t="s">
        <v>584</v>
      </c>
      <c r="K178" t="s">
        <v>119</v>
      </c>
      <c r="L178" t="s">
        <v>120</v>
      </c>
      <c r="M178" t="str">
        <f>VLOOKUP(Requests[[#This Row],[Ticket ID]],[2]Requests!$A$2:$D$649,4,FALSE)</f>
        <v>4 - Low</v>
      </c>
      <c r="N178">
        <f>VLOOKUP(Requests[[#This Row],[Priority]],'SLA Config'!$B$3:$C$6,2,FALSE)</f>
        <v>25</v>
      </c>
      <c r="O178" t="str">
        <f ca="1">IF(Requests[[#This Row],[Age (days)]]&gt;Requests[[#This Row],[SLA Threshold]],"Yes","No")</f>
        <v>No</v>
      </c>
    </row>
    <row r="179" spans="1:15" hidden="1" x14ac:dyDescent="0.25">
      <c r="A179" t="s">
        <v>2079</v>
      </c>
      <c r="B179" s="1">
        <v>45211</v>
      </c>
      <c r="C179" s="8">
        <v>45234</v>
      </c>
      <c r="D179" t="s">
        <v>29</v>
      </c>
      <c r="E179" t="s">
        <v>324</v>
      </c>
      <c r="F179">
        <f t="shared" ca="1" si="2"/>
        <v>17</v>
      </c>
      <c r="G179" t="s">
        <v>31</v>
      </c>
      <c r="H179" s="11" t="s">
        <v>2080</v>
      </c>
      <c r="I179" t="s">
        <v>1336</v>
      </c>
      <c r="J179" t="s">
        <v>40</v>
      </c>
      <c r="K179" t="s">
        <v>201</v>
      </c>
      <c r="L179" t="s">
        <v>120</v>
      </c>
      <c r="M179" t="str">
        <f>VLOOKUP(Requests[[#This Row],[Ticket ID]],[2]Requests!$A$2:$D$649,4,FALSE)</f>
        <v>3 - Medium</v>
      </c>
      <c r="N179">
        <f>VLOOKUP(Requests[[#This Row],[Priority]],'SLA Config'!$B$3:$C$6,2,FALSE)</f>
        <v>15</v>
      </c>
      <c r="O179" t="str">
        <f ca="1">IF(Requests[[#This Row],[Age (days)]]&gt;Requests[[#This Row],[SLA Threshold]],"Yes","No")</f>
        <v>Yes</v>
      </c>
    </row>
    <row r="180" spans="1:15" hidden="1" x14ac:dyDescent="0.25">
      <c r="A180" t="s">
        <v>2081</v>
      </c>
      <c r="B180" s="1">
        <v>45215</v>
      </c>
      <c r="C180" s="8">
        <v>45249</v>
      </c>
      <c r="D180" t="s">
        <v>29</v>
      </c>
      <c r="E180" t="s">
        <v>38</v>
      </c>
      <c r="F180">
        <f t="shared" ca="1" si="2"/>
        <v>25</v>
      </c>
      <c r="G180" t="s">
        <v>51</v>
      </c>
      <c r="H180" s="11" t="s">
        <v>2078</v>
      </c>
      <c r="I180" t="s">
        <v>394</v>
      </c>
      <c r="J180" t="s">
        <v>584</v>
      </c>
      <c r="K180" t="s">
        <v>119</v>
      </c>
      <c r="L180" t="s">
        <v>120</v>
      </c>
      <c r="M180" t="str">
        <f>VLOOKUP(Requests[[#This Row],[Ticket ID]],[2]Requests!$A$2:$D$649,4,FALSE)</f>
        <v>4 - Low</v>
      </c>
      <c r="N180">
        <f>VLOOKUP(Requests[[#This Row],[Priority]],'SLA Config'!$B$3:$C$6,2,FALSE)</f>
        <v>25</v>
      </c>
      <c r="O180" t="str">
        <f ca="1">IF(Requests[[#This Row],[Age (days)]]&gt;Requests[[#This Row],[SLA Threshold]],"Yes","No")</f>
        <v>No</v>
      </c>
    </row>
    <row r="181" spans="1:15" hidden="1" x14ac:dyDescent="0.25">
      <c r="A181" t="s">
        <v>2082</v>
      </c>
      <c r="B181" s="1">
        <v>45216</v>
      </c>
      <c r="C181" s="8">
        <v>45234</v>
      </c>
      <c r="D181" t="s">
        <v>29</v>
      </c>
      <c r="E181" t="s">
        <v>324</v>
      </c>
      <c r="F181">
        <f t="shared" ca="1" si="2"/>
        <v>14</v>
      </c>
      <c r="G181" t="s">
        <v>31</v>
      </c>
      <c r="H181" s="11" t="s">
        <v>2060</v>
      </c>
      <c r="I181" t="s">
        <v>1336</v>
      </c>
      <c r="J181" t="s">
        <v>1717</v>
      </c>
      <c r="K181" t="s">
        <v>2083</v>
      </c>
      <c r="L181" t="s">
        <v>120</v>
      </c>
      <c r="M181" t="str">
        <f>VLOOKUP(Requests[[#This Row],[Ticket ID]],[2]Requests!$A$2:$D$649,4,FALSE)</f>
        <v>4 - Low</v>
      </c>
      <c r="N181">
        <f>VLOOKUP(Requests[[#This Row],[Priority]],'SLA Config'!$B$3:$C$6,2,FALSE)</f>
        <v>25</v>
      </c>
      <c r="O181" t="str">
        <f ca="1">IF(Requests[[#This Row],[Age (days)]]&gt;Requests[[#This Row],[SLA Threshold]],"Yes","No")</f>
        <v>No</v>
      </c>
    </row>
    <row r="182" spans="1:15" hidden="1" x14ac:dyDescent="0.25">
      <c r="A182" t="s">
        <v>2084</v>
      </c>
      <c r="B182" s="1">
        <v>45222</v>
      </c>
      <c r="C182" s="8">
        <v>45227</v>
      </c>
      <c r="D182" t="s">
        <v>29</v>
      </c>
      <c r="E182" t="s">
        <v>324</v>
      </c>
      <c r="F182">
        <f t="shared" ca="1" si="2"/>
        <v>5</v>
      </c>
      <c r="G182" t="s">
        <v>51</v>
      </c>
      <c r="H182" s="11" t="s">
        <v>2085</v>
      </c>
      <c r="I182" t="s">
        <v>1336</v>
      </c>
      <c r="J182" t="s">
        <v>304</v>
      </c>
      <c r="K182" t="s">
        <v>2066</v>
      </c>
      <c r="L182" t="s">
        <v>71</v>
      </c>
      <c r="M182" t="str">
        <f>VLOOKUP(Requests[[#This Row],[Ticket ID]],[2]Requests!$A$2:$D$649,4,FALSE)</f>
        <v>4 - Low</v>
      </c>
      <c r="N182">
        <f>VLOOKUP(Requests[[#This Row],[Priority]],'SLA Config'!$B$3:$C$6,2,FALSE)</f>
        <v>25</v>
      </c>
      <c r="O182" t="str">
        <f ca="1">IF(Requests[[#This Row],[Age (days)]]&gt;Requests[[#This Row],[SLA Threshold]],"Yes","No")</f>
        <v>No</v>
      </c>
    </row>
    <row r="183" spans="1:15" hidden="1" x14ac:dyDescent="0.25">
      <c r="A183" t="s">
        <v>2086</v>
      </c>
      <c r="B183" s="1">
        <v>45222</v>
      </c>
      <c r="C183" s="8">
        <v>45234</v>
      </c>
      <c r="D183" t="s">
        <v>29</v>
      </c>
      <c r="E183" t="s">
        <v>324</v>
      </c>
      <c r="F183">
        <f t="shared" ca="1" si="2"/>
        <v>10</v>
      </c>
      <c r="G183" t="s">
        <v>31</v>
      </c>
      <c r="H183" s="11" t="s">
        <v>2060</v>
      </c>
      <c r="I183" t="s">
        <v>1336</v>
      </c>
      <c r="J183" t="s">
        <v>1717</v>
      </c>
      <c r="K183" t="s">
        <v>207</v>
      </c>
      <c r="L183" t="s">
        <v>71</v>
      </c>
      <c r="M183" t="str">
        <f>VLOOKUP(Requests[[#This Row],[Ticket ID]],[2]Requests!$A$2:$D$649,4,FALSE)</f>
        <v>4 - Low</v>
      </c>
      <c r="N183">
        <f>VLOOKUP(Requests[[#This Row],[Priority]],'SLA Config'!$B$3:$C$6,2,FALSE)</f>
        <v>25</v>
      </c>
      <c r="O183" t="str">
        <f ca="1">IF(Requests[[#This Row],[Age (days)]]&gt;Requests[[#This Row],[SLA Threshold]],"Yes","No")</f>
        <v>No</v>
      </c>
    </row>
    <row r="184" spans="1:15" ht="30" hidden="1" x14ac:dyDescent="0.25">
      <c r="A184" t="s">
        <v>2087</v>
      </c>
      <c r="B184" s="1">
        <v>45229</v>
      </c>
      <c r="C184" s="8">
        <v>45237</v>
      </c>
      <c r="D184" t="s">
        <v>29</v>
      </c>
      <c r="E184" t="s">
        <v>324</v>
      </c>
      <c r="F184">
        <f t="shared" ca="1" si="2"/>
        <v>7</v>
      </c>
      <c r="G184" t="s">
        <v>31</v>
      </c>
      <c r="H184" s="11" t="s">
        <v>2088</v>
      </c>
      <c r="I184" t="s">
        <v>1336</v>
      </c>
      <c r="J184" t="s">
        <v>40</v>
      </c>
      <c r="K184" t="s">
        <v>2089</v>
      </c>
      <c r="L184" t="s">
        <v>71</v>
      </c>
      <c r="M184" t="str">
        <f>VLOOKUP(Requests[[#This Row],[Ticket ID]],[2]Requests!$A$2:$D$649,4,FALSE)</f>
        <v>4 - Low</v>
      </c>
      <c r="N184">
        <f>VLOOKUP(Requests[[#This Row],[Priority]],'SLA Config'!$B$3:$C$6,2,FALSE)</f>
        <v>25</v>
      </c>
      <c r="O184" t="str">
        <f ca="1">IF(Requests[[#This Row],[Age (days)]]&gt;Requests[[#This Row],[SLA Threshold]],"Yes","No")</f>
        <v>No</v>
      </c>
    </row>
    <row r="185" spans="1:15" hidden="1" x14ac:dyDescent="0.25">
      <c r="A185" t="s">
        <v>2090</v>
      </c>
      <c r="B185" s="1">
        <v>45229</v>
      </c>
      <c r="C185" s="8">
        <v>45242</v>
      </c>
      <c r="D185" t="s">
        <v>29</v>
      </c>
      <c r="E185" t="s">
        <v>104</v>
      </c>
      <c r="F185">
        <f t="shared" ca="1" si="2"/>
        <v>10</v>
      </c>
      <c r="G185" t="s">
        <v>31</v>
      </c>
      <c r="H185" s="11" t="s">
        <v>2091</v>
      </c>
      <c r="I185" t="s">
        <v>394</v>
      </c>
      <c r="J185" t="s">
        <v>40</v>
      </c>
      <c r="K185" t="s">
        <v>281</v>
      </c>
      <c r="L185" t="s">
        <v>120</v>
      </c>
      <c r="M185" t="str">
        <f>VLOOKUP(Requests[[#This Row],[Ticket ID]],[2]Requests!$A$2:$D$649,4,FALSE)</f>
        <v>4 - Low</v>
      </c>
      <c r="N185">
        <f>VLOOKUP(Requests[[#This Row],[Priority]],'SLA Config'!$B$3:$C$6,2,FALSE)</f>
        <v>25</v>
      </c>
      <c r="O185" t="str">
        <f ca="1">IF(Requests[[#This Row],[Age (days)]]&gt;Requests[[#This Row],[SLA Threshold]],"Yes","No")</f>
        <v>No</v>
      </c>
    </row>
    <row r="186" spans="1:15" hidden="1" x14ac:dyDescent="0.25">
      <c r="A186" t="s">
        <v>2092</v>
      </c>
      <c r="B186" s="1">
        <v>45229</v>
      </c>
      <c r="C186" s="8">
        <v>45242</v>
      </c>
      <c r="D186" t="s">
        <v>29</v>
      </c>
      <c r="E186" t="s">
        <v>104</v>
      </c>
      <c r="F186">
        <f t="shared" ca="1" si="2"/>
        <v>10</v>
      </c>
      <c r="G186" t="s">
        <v>31</v>
      </c>
      <c r="H186" s="11" t="s">
        <v>2093</v>
      </c>
      <c r="I186" t="s">
        <v>394</v>
      </c>
      <c r="J186" t="s">
        <v>40</v>
      </c>
      <c r="K186" t="s">
        <v>281</v>
      </c>
      <c r="L186" t="s">
        <v>120</v>
      </c>
      <c r="M186" t="str">
        <f>VLOOKUP(Requests[[#This Row],[Ticket ID]],[2]Requests!$A$2:$D$649,4,FALSE)</f>
        <v>4 - Low</v>
      </c>
      <c r="N186">
        <f>VLOOKUP(Requests[[#This Row],[Priority]],'SLA Config'!$B$3:$C$6,2,FALSE)</f>
        <v>25</v>
      </c>
      <c r="O186" t="str">
        <f ca="1">IF(Requests[[#This Row],[Age (days)]]&gt;Requests[[#This Row],[SLA Threshold]],"Yes","No")</f>
        <v>No</v>
      </c>
    </row>
    <row r="187" spans="1:15" hidden="1" x14ac:dyDescent="0.25">
      <c r="A187" t="s">
        <v>2094</v>
      </c>
      <c r="B187" s="1">
        <v>45230</v>
      </c>
      <c r="C187" s="8">
        <v>45278</v>
      </c>
      <c r="D187" t="s">
        <v>29</v>
      </c>
      <c r="E187" t="s">
        <v>30</v>
      </c>
      <c r="F187">
        <f t="shared" ca="1" si="2"/>
        <v>35</v>
      </c>
      <c r="G187" t="s">
        <v>31</v>
      </c>
      <c r="H187" s="11" t="s">
        <v>2095</v>
      </c>
      <c r="I187" t="s">
        <v>1321</v>
      </c>
      <c r="J187" t="s">
        <v>1690</v>
      </c>
      <c r="K187" t="s">
        <v>201</v>
      </c>
      <c r="L187" t="s">
        <v>120</v>
      </c>
      <c r="M187" t="str">
        <f>VLOOKUP(Requests[[#This Row],[Ticket ID]],[2]Requests!$A$2:$D$649,4,FALSE)</f>
        <v>4 - Low</v>
      </c>
      <c r="N187">
        <f>VLOOKUP(Requests[[#This Row],[Priority]],'SLA Config'!$B$3:$C$6,2,FALSE)</f>
        <v>25</v>
      </c>
      <c r="O187" t="str">
        <f ca="1">IF(Requests[[#This Row],[Age (days)]]&gt;Requests[[#This Row],[SLA Threshold]],"Yes","No")</f>
        <v>Yes</v>
      </c>
    </row>
    <row r="188" spans="1:15" hidden="1" x14ac:dyDescent="0.25">
      <c r="A188" t="s">
        <v>2096</v>
      </c>
      <c r="B188" s="1">
        <v>45231</v>
      </c>
      <c r="C188" s="8">
        <v>45237</v>
      </c>
      <c r="D188" t="s">
        <v>29</v>
      </c>
      <c r="E188" t="s">
        <v>324</v>
      </c>
      <c r="F188">
        <f t="shared" ca="1" si="2"/>
        <v>5</v>
      </c>
      <c r="G188" t="s">
        <v>31</v>
      </c>
      <c r="H188" s="11" t="s">
        <v>2097</v>
      </c>
      <c r="I188" t="s">
        <v>1336</v>
      </c>
      <c r="J188" t="s">
        <v>40</v>
      </c>
      <c r="K188" t="s">
        <v>2098</v>
      </c>
      <c r="L188" t="s">
        <v>120</v>
      </c>
      <c r="M188" t="str">
        <f>VLOOKUP(Requests[[#This Row],[Ticket ID]],[2]Requests!$A$2:$D$649,4,FALSE)</f>
        <v>4 - Low</v>
      </c>
      <c r="N188">
        <f>VLOOKUP(Requests[[#This Row],[Priority]],'SLA Config'!$B$3:$C$6,2,FALSE)</f>
        <v>25</v>
      </c>
      <c r="O188" t="str">
        <f ca="1">IF(Requests[[#This Row],[Age (days)]]&gt;Requests[[#This Row],[SLA Threshold]],"Yes","No")</f>
        <v>No</v>
      </c>
    </row>
    <row r="189" spans="1:15" hidden="1" x14ac:dyDescent="0.25">
      <c r="A189" s="17" t="s">
        <v>2099</v>
      </c>
      <c r="B189" s="1">
        <v>45239</v>
      </c>
      <c r="C189" s="8">
        <v>45262</v>
      </c>
      <c r="D189" t="s">
        <v>29</v>
      </c>
      <c r="E189" t="s">
        <v>324</v>
      </c>
      <c r="F189">
        <f t="shared" ca="1" si="2"/>
        <v>17</v>
      </c>
      <c r="G189" s="16" t="s">
        <v>31</v>
      </c>
      <c r="H189" s="11" t="s">
        <v>2100</v>
      </c>
      <c r="I189" t="s">
        <v>1336</v>
      </c>
      <c r="J189" t="s">
        <v>1348</v>
      </c>
      <c r="K189" t="s">
        <v>236</v>
      </c>
      <c r="L189" t="s">
        <v>36</v>
      </c>
      <c r="M189" t="str">
        <f>VLOOKUP(Requests[[#This Row],[Ticket ID]],[2]Requests!$A$2:$D$649,4,FALSE)</f>
        <v>4 - Low</v>
      </c>
      <c r="N189">
        <f>VLOOKUP(Requests[[#This Row],[Priority]],'SLA Config'!$B$3:$C$6,2,FALSE)</f>
        <v>25</v>
      </c>
      <c r="O189" t="str">
        <f ca="1">IF(Requests[[#This Row],[Age (days)]]&gt;Requests[[#This Row],[SLA Threshold]],"Yes","No")</f>
        <v>No</v>
      </c>
    </row>
    <row r="190" spans="1:15" hidden="1" x14ac:dyDescent="0.25">
      <c r="A190" s="17" t="s">
        <v>2101</v>
      </c>
      <c r="B190" s="1">
        <v>45245</v>
      </c>
      <c r="C190" s="8">
        <v>45308</v>
      </c>
      <c r="D190" t="s">
        <v>29</v>
      </c>
      <c r="E190" t="s">
        <v>273</v>
      </c>
      <c r="F190">
        <f t="shared" ca="1" si="2"/>
        <v>46</v>
      </c>
      <c r="G190" s="16" t="s">
        <v>31</v>
      </c>
      <c r="H190" s="11" t="s">
        <v>2102</v>
      </c>
      <c r="I190" t="s">
        <v>394</v>
      </c>
      <c r="J190" t="s">
        <v>40</v>
      </c>
      <c r="K190" t="s">
        <v>201</v>
      </c>
      <c r="L190" t="s">
        <v>120</v>
      </c>
      <c r="M190" t="str">
        <f>VLOOKUP(Requests[[#This Row],[Ticket ID]],[2]Requests!$A$2:$D$649,4,FALSE)</f>
        <v>4 - Low</v>
      </c>
      <c r="N190">
        <f>VLOOKUP(Requests[[#This Row],[Priority]],'SLA Config'!$B$3:$C$6,2,FALSE)</f>
        <v>25</v>
      </c>
      <c r="O190" t="str">
        <f ca="1">IF(Requests[[#This Row],[Age (days)]]&gt;Requests[[#This Row],[SLA Threshold]],"Yes","No")</f>
        <v>Yes</v>
      </c>
    </row>
    <row r="191" spans="1:15" hidden="1" x14ac:dyDescent="0.25">
      <c r="A191" s="17" t="s">
        <v>2103</v>
      </c>
      <c r="B191" s="1">
        <v>45246</v>
      </c>
      <c r="C191" s="8">
        <v>45286</v>
      </c>
      <c r="D191" t="s">
        <v>29</v>
      </c>
      <c r="E191" t="s">
        <v>38</v>
      </c>
      <c r="F191">
        <f t="shared" ca="1" si="2"/>
        <v>29</v>
      </c>
      <c r="G191" s="16" t="s">
        <v>51</v>
      </c>
      <c r="H191" s="11" t="s">
        <v>2104</v>
      </c>
      <c r="I191" t="s">
        <v>580</v>
      </c>
      <c r="J191" t="s">
        <v>581</v>
      </c>
      <c r="K191" t="s">
        <v>44</v>
      </c>
      <c r="L191" t="s">
        <v>36</v>
      </c>
      <c r="M191" t="str">
        <f>VLOOKUP(Requests[[#This Row],[Ticket ID]],[2]Requests!$A$2:$D$649,4,FALSE)</f>
        <v>4 - Low</v>
      </c>
      <c r="N191">
        <f>VLOOKUP(Requests[[#This Row],[Priority]],'SLA Config'!$B$3:$C$6,2,FALSE)</f>
        <v>25</v>
      </c>
      <c r="O191" t="str">
        <f ca="1">IF(Requests[[#This Row],[Age (days)]]&gt;Requests[[#This Row],[SLA Threshold]],"Yes","No")</f>
        <v>Yes</v>
      </c>
    </row>
    <row r="192" spans="1:15" hidden="1" x14ac:dyDescent="0.25">
      <c r="A192" s="17" t="s">
        <v>2105</v>
      </c>
      <c r="B192" s="1">
        <v>45246</v>
      </c>
      <c r="C192" s="8">
        <v>45258</v>
      </c>
      <c r="D192" t="s">
        <v>29</v>
      </c>
      <c r="E192" t="s">
        <v>104</v>
      </c>
      <c r="F192">
        <f t="shared" ca="1" si="2"/>
        <v>9</v>
      </c>
      <c r="G192" s="16" t="s">
        <v>31</v>
      </c>
      <c r="H192" s="11" t="s">
        <v>2106</v>
      </c>
      <c r="I192" t="s">
        <v>394</v>
      </c>
      <c r="J192" t="s">
        <v>584</v>
      </c>
      <c r="K192" t="s">
        <v>201</v>
      </c>
      <c r="L192" t="s">
        <v>120</v>
      </c>
      <c r="M192" t="str">
        <f>VLOOKUP(Requests[[#This Row],[Ticket ID]],[2]Requests!$A$2:$D$649,4,FALSE)</f>
        <v>2 - High</v>
      </c>
      <c r="N192">
        <f>VLOOKUP(Requests[[#This Row],[Priority]],'SLA Config'!$B$3:$C$6,2,FALSE)</f>
        <v>5</v>
      </c>
      <c r="O192" t="str">
        <f ca="1">IF(Requests[[#This Row],[Age (days)]]&gt;Requests[[#This Row],[SLA Threshold]],"Yes","No")</f>
        <v>Yes</v>
      </c>
    </row>
    <row r="193" spans="1:15" hidden="1" x14ac:dyDescent="0.25">
      <c r="A193" s="17" t="s">
        <v>2107</v>
      </c>
      <c r="B193" s="1">
        <v>45247</v>
      </c>
      <c r="C193" s="8">
        <v>45258</v>
      </c>
      <c r="D193" t="s">
        <v>29</v>
      </c>
      <c r="E193" t="s">
        <v>104</v>
      </c>
      <c r="F193">
        <f t="shared" ca="1" si="2"/>
        <v>8</v>
      </c>
      <c r="G193" s="16" t="s">
        <v>31</v>
      </c>
      <c r="H193" s="11" t="s">
        <v>2108</v>
      </c>
      <c r="I193" t="s">
        <v>1336</v>
      </c>
      <c r="J193" t="s">
        <v>40</v>
      </c>
      <c r="K193" t="s">
        <v>2109</v>
      </c>
      <c r="L193" t="s">
        <v>71</v>
      </c>
      <c r="M193" t="str">
        <f>VLOOKUP(Requests[[#This Row],[Ticket ID]],[2]Requests!$A$2:$D$649,4,FALSE)</f>
        <v>4 - Low</v>
      </c>
      <c r="N193">
        <f>VLOOKUP(Requests[[#This Row],[Priority]],'SLA Config'!$B$3:$C$6,2,FALSE)</f>
        <v>25</v>
      </c>
      <c r="O193" t="str">
        <f ca="1">IF(Requests[[#This Row],[Age (days)]]&gt;Requests[[#This Row],[SLA Threshold]],"Yes","No")</f>
        <v>No</v>
      </c>
    </row>
    <row r="194" spans="1:15" hidden="1" x14ac:dyDescent="0.25">
      <c r="A194" s="17" t="s">
        <v>2110</v>
      </c>
      <c r="B194" s="1">
        <v>45250</v>
      </c>
      <c r="C194" s="8">
        <v>45299</v>
      </c>
      <c r="D194" t="s">
        <v>29</v>
      </c>
      <c r="E194" t="s">
        <v>38</v>
      </c>
      <c r="F194">
        <f t="shared" ref="F194:F257" ca="1" si="3">IF(ISBLANK(C194), NETWORKDAYS(B194,TODAY()), NETWORKDAYS(B194,C194))</f>
        <v>36</v>
      </c>
      <c r="G194" s="16" t="s">
        <v>31</v>
      </c>
      <c r="H194" s="11" t="s">
        <v>2111</v>
      </c>
      <c r="I194" t="s">
        <v>394</v>
      </c>
      <c r="J194" s="2" t="s">
        <v>584</v>
      </c>
      <c r="K194" t="s">
        <v>201</v>
      </c>
      <c r="L194" t="s">
        <v>120</v>
      </c>
      <c r="M194" t="str">
        <f>VLOOKUP(Requests[[#This Row],[Ticket ID]],[2]Requests!$A$2:$D$649,4,FALSE)</f>
        <v>4 - Low</v>
      </c>
      <c r="N194">
        <f>VLOOKUP(Requests[[#This Row],[Priority]],'SLA Config'!$B$3:$C$6,2,FALSE)</f>
        <v>25</v>
      </c>
      <c r="O194" t="str">
        <f ca="1">IF(Requests[[#This Row],[Age (days)]]&gt;Requests[[#This Row],[SLA Threshold]],"Yes","No")</f>
        <v>Yes</v>
      </c>
    </row>
    <row r="195" spans="1:15" hidden="1" x14ac:dyDescent="0.25">
      <c r="A195" s="17" t="s">
        <v>2112</v>
      </c>
      <c r="B195" s="1">
        <v>45251</v>
      </c>
      <c r="C195" s="8">
        <v>45340</v>
      </c>
      <c r="D195" t="s">
        <v>29</v>
      </c>
      <c r="E195" t="s">
        <v>324</v>
      </c>
      <c r="F195">
        <f t="shared" ca="1" si="3"/>
        <v>64</v>
      </c>
      <c r="G195" s="16" t="s">
        <v>51</v>
      </c>
      <c r="H195" s="11" t="s">
        <v>2113</v>
      </c>
      <c r="I195" t="s">
        <v>394</v>
      </c>
      <c r="J195" t="s">
        <v>304</v>
      </c>
      <c r="K195" t="s">
        <v>119</v>
      </c>
      <c r="L195" t="s">
        <v>120</v>
      </c>
      <c r="M195" t="str">
        <f>VLOOKUP(Requests[[#This Row],[Ticket ID]],[2]Requests!$A$2:$D$649,4,FALSE)</f>
        <v>4 - Low</v>
      </c>
      <c r="N195">
        <f>VLOOKUP(Requests[[#This Row],[Priority]],'SLA Config'!$B$3:$C$6,2,FALSE)</f>
        <v>25</v>
      </c>
      <c r="O195" t="str">
        <f ca="1">IF(Requests[[#This Row],[Age (days)]]&gt;Requests[[#This Row],[SLA Threshold]],"Yes","No")</f>
        <v>Yes</v>
      </c>
    </row>
    <row r="196" spans="1:15" hidden="1" x14ac:dyDescent="0.25">
      <c r="A196" s="17" t="s">
        <v>2114</v>
      </c>
      <c r="B196" s="1">
        <v>45252</v>
      </c>
      <c r="C196" s="8">
        <v>45258</v>
      </c>
      <c r="D196" t="s">
        <v>29</v>
      </c>
      <c r="E196" t="s">
        <v>324</v>
      </c>
      <c r="F196">
        <f t="shared" ca="1" si="3"/>
        <v>5</v>
      </c>
      <c r="G196" s="16" t="s">
        <v>31</v>
      </c>
      <c r="H196" s="11" t="s">
        <v>2115</v>
      </c>
      <c r="I196" t="s">
        <v>1336</v>
      </c>
      <c r="J196" t="s">
        <v>40</v>
      </c>
      <c r="K196" t="s">
        <v>2116</v>
      </c>
      <c r="L196" t="s">
        <v>71</v>
      </c>
      <c r="M196" t="str">
        <f>VLOOKUP(Requests[[#This Row],[Ticket ID]],[2]Requests!$A$2:$D$649,4,FALSE)</f>
        <v>4 - Low</v>
      </c>
      <c r="N196">
        <f>VLOOKUP(Requests[[#This Row],[Priority]],'SLA Config'!$B$3:$C$6,2,FALSE)</f>
        <v>25</v>
      </c>
      <c r="O196" t="str">
        <f ca="1">IF(Requests[[#This Row],[Age (days)]]&gt;Requests[[#This Row],[SLA Threshold]],"Yes","No")</f>
        <v>No</v>
      </c>
    </row>
    <row r="197" spans="1:15" hidden="1" x14ac:dyDescent="0.25">
      <c r="A197" s="17" t="s">
        <v>2117</v>
      </c>
      <c r="B197" s="1">
        <v>45252</v>
      </c>
      <c r="C197" s="8">
        <v>45265</v>
      </c>
      <c r="D197" t="s">
        <v>29</v>
      </c>
      <c r="E197" t="s">
        <v>324</v>
      </c>
      <c r="F197">
        <f t="shared" ca="1" si="3"/>
        <v>10</v>
      </c>
      <c r="G197" s="16" t="s">
        <v>31</v>
      </c>
      <c r="H197" s="11" t="s">
        <v>2118</v>
      </c>
      <c r="I197" t="s">
        <v>1336</v>
      </c>
      <c r="J197" t="s">
        <v>40</v>
      </c>
      <c r="K197" t="s">
        <v>2119</v>
      </c>
      <c r="L197" t="s">
        <v>71</v>
      </c>
      <c r="M197" t="str">
        <f>VLOOKUP(Requests[[#This Row],[Ticket ID]],[2]Requests!$A$2:$D$649,4,FALSE)</f>
        <v>4 - Low</v>
      </c>
      <c r="N197">
        <f>VLOOKUP(Requests[[#This Row],[Priority]],'SLA Config'!$B$3:$C$6,2,FALSE)</f>
        <v>25</v>
      </c>
      <c r="O197" t="str">
        <f ca="1">IF(Requests[[#This Row],[Age (days)]]&gt;Requests[[#This Row],[SLA Threshold]],"Yes","No")</f>
        <v>No</v>
      </c>
    </row>
    <row r="198" spans="1:15" hidden="1" x14ac:dyDescent="0.25">
      <c r="A198" s="17" t="s">
        <v>2120</v>
      </c>
      <c r="B198" s="1">
        <v>45253</v>
      </c>
      <c r="C198" s="8">
        <v>45266</v>
      </c>
      <c r="D198" t="s">
        <v>29</v>
      </c>
      <c r="E198" t="s">
        <v>38</v>
      </c>
      <c r="F198">
        <f t="shared" ca="1" si="3"/>
        <v>10</v>
      </c>
      <c r="G198" s="16" t="s">
        <v>31</v>
      </c>
      <c r="H198" s="11" t="s">
        <v>2121</v>
      </c>
      <c r="I198" t="s">
        <v>589</v>
      </c>
      <c r="J198" t="s">
        <v>34</v>
      </c>
      <c r="K198" t="s">
        <v>44</v>
      </c>
      <c r="L198" t="s">
        <v>36</v>
      </c>
      <c r="M198" t="str">
        <f>VLOOKUP(Requests[[#This Row],[Ticket ID]],[2]Requests!$A$2:$D$649,4,FALSE)</f>
        <v>4 - Low</v>
      </c>
      <c r="N198">
        <f>VLOOKUP(Requests[[#This Row],[Priority]],'SLA Config'!$B$3:$C$6,2,FALSE)</f>
        <v>25</v>
      </c>
      <c r="O198" t="str">
        <f ca="1">IF(Requests[[#This Row],[Age (days)]]&gt;Requests[[#This Row],[SLA Threshold]],"Yes","No")</f>
        <v>No</v>
      </c>
    </row>
    <row r="199" spans="1:15" hidden="1" x14ac:dyDescent="0.25">
      <c r="A199" s="17" t="s">
        <v>2122</v>
      </c>
      <c r="B199" s="1">
        <v>45257</v>
      </c>
      <c r="C199" s="8">
        <v>45262</v>
      </c>
      <c r="D199" t="s">
        <v>29</v>
      </c>
      <c r="E199" t="s">
        <v>104</v>
      </c>
      <c r="F199">
        <f t="shared" ca="1" si="3"/>
        <v>5</v>
      </c>
      <c r="G199" s="16" t="s">
        <v>51</v>
      </c>
      <c r="H199" s="11" t="s">
        <v>2123</v>
      </c>
      <c r="I199" t="s">
        <v>1321</v>
      </c>
      <c r="J199" t="s">
        <v>40</v>
      </c>
      <c r="K199" t="s">
        <v>119</v>
      </c>
      <c r="L199" t="s">
        <v>120</v>
      </c>
      <c r="M199" t="str">
        <f>VLOOKUP(Requests[[#This Row],[Ticket ID]],[2]Requests!$A$2:$D$649,4,FALSE)</f>
        <v>4 - Low</v>
      </c>
      <c r="N199">
        <f>VLOOKUP(Requests[[#This Row],[Priority]],'SLA Config'!$B$3:$C$6,2,FALSE)</f>
        <v>25</v>
      </c>
      <c r="O199" t="str">
        <f ca="1">IF(Requests[[#This Row],[Age (days)]]&gt;Requests[[#This Row],[SLA Threshold]],"Yes","No")</f>
        <v>No</v>
      </c>
    </row>
    <row r="200" spans="1:15" hidden="1" x14ac:dyDescent="0.25">
      <c r="A200" s="17" t="s">
        <v>2124</v>
      </c>
      <c r="B200" s="1">
        <v>45258</v>
      </c>
      <c r="C200" s="8">
        <v>45319</v>
      </c>
      <c r="D200" t="s">
        <v>29</v>
      </c>
      <c r="E200" t="s">
        <v>104</v>
      </c>
      <c r="F200">
        <f t="shared" ca="1" si="3"/>
        <v>44</v>
      </c>
      <c r="G200" s="16" t="s">
        <v>31</v>
      </c>
      <c r="H200" s="11" t="s">
        <v>2125</v>
      </c>
      <c r="I200" t="s">
        <v>394</v>
      </c>
      <c r="J200" t="s">
        <v>1690</v>
      </c>
      <c r="K200" t="s">
        <v>201</v>
      </c>
      <c r="L200" t="s">
        <v>120</v>
      </c>
      <c r="M200" t="str">
        <f>VLOOKUP(Requests[[#This Row],[Ticket ID]],[2]Requests!$A$2:$D$649,4,FALSE)</f>
        <v>4 - Low</v>
      </c>
      <c r="N200">
        <f>VLOOKUP(Requests[[#This Row],[Priority]],'SLA Config'!$B$3:$C$6,2,FALSE)</f>
        <v>25</v>
      </c>
      <c r="O200" t="str">
        <f ca="1">IF(Requests[[#This Row],[Age (days)]]&gt;Requests[[#This Row],[SLA Threshold]],"Yes","No")</f>
        <v>Yes</v>
      </c>
    </row>
    <row r="201" spans="1:15" hidden="1" x14ac:dyDescent="0.25">
      <c r="A201" s="17" t="s">
        <v>2126</v>
      </c>
      <c r="B201" s="1">
        <v>45259</v>
      </c>
      <c r="C201" s="8">
        <v>45279</v>
      </c>
      <c r="D201" t="s">
        <v>29</v>
      </c>
      <c r="E201" t="s">
        <v>104</v>
      </c>
      <c r="F201">
        <f t="shared" ca="1" si="3"/>
        <v>15</v>
      </c>
      <c r="G201" s="16" t="s">
        <v>51</v>
      </c>
      <c r="H201" s="11" t="s">
        <v>2127</v>
      </c>
      <c r="I201" t="s">
        <v>394</v>
      </c>
      <c r="J201" t="s">
        <v>40</v>
      </c>
      <c r="K201" t="s">
        <v>119</v>
      </c>
      <c r="L201" t="s">
        <v>120</v>
      </c>
      <c r="M201" t="str">
        <f>VLOOKUP(Requests[[#This Row],[Ticket ID]],[2]Requests!$A$2:$D$649,4,FALSE)</f>
        <v>4 - Low</v>
      </c>
      <c r="N201">
        <f>VLOOKUP(Requests[[#This Row],[Priority]],'SLA Config'!$B$3:$C$6,2,FALSE)</f>
        <v>25</v>
      </c>
      <c r="O201" t="str">
        <f ca="1">IF(Requests[[#This Row],[Age (days)]]&gt;Requests[[#This Row],[SLA Threshold]],"Yes","No")</f>
        <v>No</v>
      </c>
    </row>
    <row r="202" spans="1:15" hidden="1" x14ac:dyDescent="0.25">
      <c r="A202" s="17" t="s">
        <v>2128</v>
      </c>
      <c r="B202" s="1">
        <v>45259</v>
      </c>
      <c r="C202" s="8">
        <v>45285</v>
      </c>
      <c r="D202" t="s">
        <v>29</v>
      </c>
      <c r="E202" t="s">
        <v>273</v>
      </c>
      <c r="F202">
        <f t="shared" ca="1" si="3"/>
        <v>19</v>
      </c>
      <c r="G202" s="16" t="s">
        <v>51</v>
      </c>
      <c r="H202" s="11" t="s">
        <v>2129</v>
      </c>
      <c r="I202" t="s">
        <v>394</v>
      </c>
      <c r="J202" t="s">
        <v>40</v>
      </c>
      <c r="K202" t="s">
        <v>119</v>
      </c>
      <c r="L202" t="s">
        <v>120</v>
      </c>
      <c r="M202" t="str">
        <f>VLOOKUP(Requests[[#This Row],[Ticket ID]],[2]Requests!$A$2:$D$649,4,FALSE)</f>
        <v>4 - Low</v>
      </c>
      <c r="N202">
        <f>VLOOKUP(Requests[[#This Row],[Priority]],'SLA Config'!$B$3:$C$6,2,FALSE)</f>
        <v>25</v>
      </c>
      <c r="O202" t="str">
        <f ca="1">IF(Requests[[#This Row],[Age (days)]]&gt;Requests[[#This Row],[SLA Threshold]],"Yes","No")</f>
        <v>No</v>
      </c>
    </row>
    <row r="203" spans="1:15" hidden="1" x14ac:dyDescent="0.25">
      <c r="A203" s="17" t="s">
        <v>2130</v>
      </c>
      <c r="B203" s="1">
        <v>45260</v>
      </c>
      <c r="C203" s="8">
        <v>45283</v>
      </c>
      <c r="D203" t="s">
        <v>29</v>
      </c>
      <c r="E203" t="s">
        <v>30</v>
      </c>
      <c r="F203">
        <f t="shared" ca="1" si="3"/>
        <v>17</v>
      </c>
      <c r="G203" s="16" t="s">
        <v>31</v>
      </c>
      <c r="H203" s="11" t="s">
        <v>2131</v>
      </c>
      <c r="I203" t="s">
        <v>394</v>
      </c>
      <c r="J203" t="s">
        <v>34</v>
      </c>
      <c r="K203" t="s">
        <v>44</v>
      </c>
      <c r="L203" t="s">
        <v>36</v>
      </c>
      <c r="M203" t="str">
        <f>VLOOKUP(Requests[[#This Row],[Ticket ID]],[2]Requests!$A$2:$D$649,4,FALSE)</f>
        <v>3 - Medium</v>
      </c>
      <c r="N203">
        <f>VLOOKUP(Requests[[#This Row],[Priority]],'SLA Config'!$B$3:$C$6,2,FALSE)</f>
        <v>15</v>
      </c>
      <c r="O203" t="str">
        <f ca="1">IF(Requests[[#This Row],[Age (days)]]&gt;Requests[[#This Row],[SLA Threshold]],"Yes","No")</f>
        <v>Yes</v>
      </c>
    </row>
    <row r="204" spans="1:15" hidden="1" x14ac:dyDescent="0.25">
      <c r="A204" t="s">
        <v>2132</v>
      </c>
      <c r="B204" s="1">
        <v>45266</v>
      </c>
      <c r="C204" s="8">
        <v>45277</v>
      </c>
      <c r="D204" t="s">
        <v>29</v>
      </c>
      <c r="E204" t="s">
        <v>104</v>
      </c>
      <c r="F204">
        <f t="shared" ca="1" si="3"/>
        <v>8</v>
      </c>
      <c r="G204" t="s">
        <v>31</v>
      </c>
      <c r="H204" s="11" t="s">
        <v>2133</v>
      </c>
      <c r="I204" t="s">
        <v>193</v>
      </c>
      <c r="J204" t="s">
        <v>1966</v>
      </c>
      <c r="K204" t="s">
        <v>207</v>
      </c>
      <c r="L204" t="s">
        <v>71</v>
      </c>
      <c r="M204" t="str">
        <f>VLOOKUP(Requests[[#This Row],[Ticket ID]],[2]Requests!$A$2:$D$649,4,FALSE)</f>
        <v>4 - Low</v>
      </c>
      <c r="N204">
        <f>VLOOKUP(Requests[[#This Row],[Priority]],'SLA Config'!$B$3:$C$6,2,FALSE)</f>
        <v>25</v>
      </c>
      <c r="O204" t="str">
        <f ca="1">IF(Requests[[#This Row],[Age (days)]]&gt;Requests[[#This Row],[SLA Threshold]],"Yes","No")</f>
        <v>No</v>
      </c>
    </row>
    <row r="205" spans="1:15" hidden="1" x14ac:dyDescent="0.25">
      <c r="A205" t="s">
        <v>2134</v>
      </c>
      <c r="B205" s="1">
        <v>45267</v>
      </c>
      <c r="C205" s="8">
        <v>45286</v>
      </c>
      <c r="D205" t="s">
        <v>29</v>
      </c>
      <c r="E205" t="s">
        <v>38</v>
      </c>
      <c r="F205">
        <f t="shared" ca="1" si="3"/>
        <v>14</v>
      </c>
      <c r="G205" t="s">
        <v>51</v>
      </c>
      <c r="H205" s="11" t="s">
        <v>2135</v>
      </c>
      <c r="I205" t="s">
        <v>394</v>
      </c>
      <c r="J205" t="s">
        <v>304</v>
      </c>
      <c r="K205" t="s">
        <v>119</v>
      </c>
      <c r="L205" t="s">
        <v>120</v>
      </c>
      <c r="M205" t="str">
        <f>VLOOKUP(Requests[[#This Row],[Ticket ID]],[2]Requests!$A$2:$D$649,4,FALSE)</f>
        <v>4 - Low</v>
      </c>
      <c r="N205">
        <f>VLOOKUP(Requests[[#This Row],[Priority]],'SLA Config'!$B$3:$C$6,2,FALSE)</f>
        <v>25</v>
      </c>
      <c r="O205" t="str">
        <f ca="1">IF(Requests[[#This Row],[Age (days)]]&gt;Requests[[#This Row],[SLA Threshold]],"Yes","No")</f>
        <v>No</v>
      </c>
    </row>
    <row r="206" spans="1:15" ht="30" hidden="1" x14ac:dyDescent="0.25">
      <c r="A206" t="s">
        <v>2136</v>
      </c>
      <c r="B206" s="1">
        <v>45270</v>
      </c>
      <c r="C206" s="8">
        <v>45276</v>
      </c>
      <c r="D206" t="s">
        <v>29</v>
      </c>
      <c r="E206" t="s">
        <v>104</v>
      </c>
      <c r="F206">
        <f t="shared" ca="1" si="3"/>
        <v>5</v>
      </c>
      <c r="G206" t="s">
        <v>31</v>
      </c>
      <c r="H206" s="11" t="s">
        <v>1692</v>
      </c>
      <c r="I206" t="s">
        <v>1693</v>
      </c>
      <c r="J206" t="s">
        <v>1694</v>
      </c>
      <c r="K206" t="s">
        <v>1695</v>
      </c>
      <c r="L206" t="s">
        <v>71</v>
      </c>
      <c r="M206" t="str">
        <f>VLOOKUP(Requests[[#This Row],[Ticket ID]],[2]Requests!$A$2:$D$649,4,FALSE)</f>
        <v>4 - Low</v>
      </c>
      <c r="N206">
        <f>VLOOKUP(Requests[[#This Row],[Priority]],'SLA Config'!$B$3:$C$6,2,FALSE)</f>
        <v>25</v>
      </c>
      <c r="O206" t="str">
        <f ca="1">IF(Requests[[#This Row],[Age (days)]]&gt;Requests[[#This Row],[SLA Threshold]],"Yes","No")</f>
        <v>No</v>
      </c>
    </row>
    <row r="207" spans="1:15" hidden="1" x14ac:dyDescent="0.25">
      <c r="A207" t="s">
        <v>2137</v>
      </c>
      <c r="B207" s="1">
        <v>45271</v>
      </c>
      <c r="C207" s="8">
        <v>45286</v>
      </c>
      <c r="D207" t="s">
        <v>29</v>
      </c>
      <c r="E207" t="s">
        <v>30</v>
      </c>
      <c r="F207">
        <f t="shared" ca="1" si="3"/>
        <v>12</v>
      </c>
      <c r="G207" t="s">
        <v>31</v>
      </c>
      <c r="H207" s="11" t="s">
        <v>2138</v>
      </c>
      <c r="I207" t="s">
        <v>1321</v>
      </c>
      <c r="J207" t="s">
        <v>1743</v>
      </c>
      <c r="K207" t="s">
        <v>201</v>
      </c>
      <c r="L207" t="s">
        <v>120</v>
      </c>
      <c r="M207" t="str">
        <f>VLOOKUP(Requests[[#This Row],[Ticket ID]],[2]Requests!$A$2:$D$649,4,FALSE)</f>
        <v>4 - Low</v>
      </c>
      <c r="N207">
        <f>VLOOKUP(Requests[[#This Row],[Priority]],'SLA Config'!$B$3:$C$6,2,FALSE)</f>
        <v>25</v>
      </c>
      <c r="O207" t="str">
        <f ca="1">IF(Requests[[#This Row],[Age (days)]]&gt;Requests[[#This Row],[SLA Threshold]],"Yes","No")</f>
        <v>No</v>
      </c>
    </row>
    <row r="208" spans="1:15" hidden="1" x14ac:dyDescent="0.25">
      <c r="A208" t="s">
        <v>2139</v>
      </c>
      <c r="B208" s="1">
        <v>45272</v>
      </c>
      <c r="C208" s="8">
        <v>45304</v>
      </c>
      <c r="D208" t="s">
        <v>29</v>
      </c>
      <c r="E208" t="s">
        <v>30</v>
      </c>
      <c r="F208">
        <f t="shared" ca="1" si="3"/>
        <v>24</v>
      </c>
      <c r="G208" t="s">
        <v>31</v>
      </c>
      <c r="H208" s="11" t="s">
        <v>2140</v>
      </c>
      <c r="I208" t="s">
        <v>580</v>
      </c>
      <c r="J208" t="s">
        <v>581</v>
      </c>
      <c r="K208" t="s">
        <v>44</v>
      </c>
      <c r="L208" t="s">
        <v>36</v>
      </c>
      <c r="M208" t="str">
        <f>VLOOKUP(Requests[[#This Row],[Ticket ID]],[2]Requests!$A$2:$D$649,4,FALSE)</f>
        <v>4 - Low</v>
      </c>
      <c r="N208">
        <f>VLOOKUP(Requests[[#This Row],[Priority]],'SLA Config'!$B$3:$C$6,2,FALSE)</f>
        <v>25</v>
      </c>
      <c r="O208" t="str">
        <f ca="1">IF(Requests[[#This Row],[Age (days)]]&gt;Requests[[#This Row],[SLA Threshold]],"Yes","No")</f>
        <v>No</v>
      </c>
    </row>
    <row r="209" spans="1:15" hidden="1" x14ac:dyDescent="0.25">
      <c r="A209" t="s">
        <v>2141</v>
      </c>
      <c r="B209" s="1">
        <v>45272</v>
      </c>
      <c r="C209" s="8">
        <v>45306</v>
      </c>
      <c r="D209" t="s">
        <v>29</v>
      </c>
      <c r="E209" t="s">
        <v>104</v>
      </c>
      <c r="F209">
        <f t="shared" ca="1" si="3"/>
        <v>25</v>
      </c>
      <c r="G209" t="s">
        <v>31</v>
      </c>
      <c r="H209" s="11" t="s">
        <v>2142</v>
      </c>
      <c r="I209" t="s">
        <v>1321</v>
      </c>
      <c r="J209" t="s">
        <v>307</v>
      </c>
      <c r="K209" t="s">
        <v>231</v>
      </c>
      <c r="L209" t="s">
        <v>120</v>
      </c>
      <c r="M209" t="str">
        <f>VLOOKUP(Requests[[#This Row],[Ticket ID]],[2]Requests!$A$2:$D$649,4,FALSE)</f>
        <v>4 - Low</v>
      </c>
      <c r="N209">
        <f>VLOOKUP(Requests[[#This Row],[Priority]],'SLA Config'!$B$3:$C$6,2,FALSE)</f>
        <v>25</v>
      </c>
      <c r="O209" t="str">
        <f ca="1">IF(Requests[[#This Row],[Age (days)]]&gt;Requests[[#This Row],[SLA Threshold]],"Yes","No")</f>
        <v>No</v>
      </c>
    </row>
    <row r="210" spans="1:15" hidden="1" x14ac:dyDescent="0.25">
      <c r="A210" t="s">
        <v>2143</v>
      </c>
      <c r="B210" s="1">
        <v>45273</v>
      </c>
      <c r="C210" s="8">
        <v>45286</v>
      </c>
      <c r="D210" t="s">
        <v>29</v>
      </c>
      <c r="E210" t="s">
        <v>324</v>
      </c>
      <c r="F210">
        <f t="shared" ca="1" si="3"/>
        <v>10</v>
      </c>
      <c r="G210" t="s">
        <v>31</v>
      </c>
      <c r="H210" s="11" t="s">
        <v>2144</v>
      </c>
      <c r="I210" t="s">
        <v>1336</v>
      </c>
      <c r="J210" t="s">
        <v>40</v>
      </c>
      <c r="K210" t="s">
        <v>2145</v>
      </c>
      <c r="L210" t="s">
        <v>71</v>
      </c>
      <c r="M210" t="str">
        <f>VLOOKUP(Requests[[#This Row],[Ticket ID]],[2]Requests!$A$2:$D$649,4,FALSE)</f>
        <v>4 - Low</v>
      </c>
      <c r="N210">
        <f>VLOOKUP(Requests[[#This Row],[Priority]],'SLA Config'!$B$3:$C$6,2,FALSE)</f>
        <v>25</v>
      </c>
      <c r="O210" t="str">
        <f ca="1">IF(Requests[[#This Row],[Age (days)]]&gt;Requests[[#This Row],[SLA Threshold]],"Yes","No")</f>
        <v>No</v>
      </c>
    </row>
    <row r="211" spans="1:15" hidden="1" x14ac:dyDescent="0.25">
      <c r="A211" t="s">
        <v>2146</v>
      </c>
      <c r="B211" s="1">
        <v>45273</v>
      </c>
      <c r="C211" s="8">
        <v>45280</v>
      </c>
      <c r="D211" t="s">
        <v>29</v>
      </c>
      <c r="E211" t="s">
        <v>324</v>
      </c>
      <c r="F211">
        <f t="shared" ca="1" si="3"/>
        <v>6</v>
      </c>
      <c r="G211" t="s">
        <v>31</v>
      </c>
      <c r="H211" s="11" t="s">
        <v>2147</v>
      </c>
      <c r="I211" t="s">
        <v>1336</v>
      </c>
      <c r="J211" t="s">
        <v>304</v>
      </c>
      <c r="K211" t="s">
        <v>507</v>
      </c>
      <c r="L211" t="s">
        <v>71</v>
      </c>
      <c r="M211" t="str">
        <f>VLOOKUP(Requests[[#This Row],[Ticket ID]],[2]Requests!$A$2:$D$649,4,FALSE)</f>
        <v>4 - Low</v>
      </c>
      <c r="N211">
        <f>VLOOKUP(Requests[[#This Row],[Priority]],'SLA Config'!$B$3:$C$6,2,FALSE)</f>
        <v>25</v>
      </c>
      <c r="O211" t="str">
        <f ca="1">IF(Requests[[#This Row],[Age (days)]]&gt;Requests[[#This Row],[SLA Threshold]],"Yes","No")</f>
        <v>No</v>
      </c>
    </row>
    <row r="212" spans="1:15" hidden="1" x14ac:dyDescent="0.25">
      <c r="A212" t="s">
        <v>2148</v>
      </c>
      <c r="B212" s="1">
        <v>45273</v>
      </c>
      <c r="C212" s="8">
        <v>45301</v>
      </c>
      <c r="D212" t="s">
        <v>29</v>
      </c>
      <c r="E212" t="s">
        <v>324</v>
      </c>
      <c r="F212">
        <f t="shared" ca="1" si="3"/>
        <v>21</v>
      </c>
      <c r="G212" t="s">
        <v>31</v>
      </c>
      <c r="H212" s="11" t="s">
        <v>2149</v>
      </c>
      <c r="I212" t="s">
        <v>1336</v>
      </c>
      <c r="J212" t="s">
        <v>40</v>
      </c>
      <c r="K212" t="s">
        <v>2150</v>
      </c>
      <c r="L212" t="s">
        <v>120</v>
      </c>
      <c r="M212" t="str">
        <f>VLOOKUP(Requests[[#This Row],[Ticket ID]],[2]Requests!$A$2:$D$649,4,FALSE)</f>
        <v>4 - Low</v>
      </c>
      <c r="N212">
        <f>VLOOKUP(Requests[[#This Row],[Priority]],'SLA Config'!$B$3:$C$6,2,FALSE)</f>
        <v>25</v>
      </c>
      <c r="O212" t="str">
        <f ca="1">IF(Requests[[#This Row],[Age (days)]]&gt;Requests[[#This Row],[SLA Threshold]],"Yes","No")</f>
        <v>No</v>
      </c>
    </row>
    <row r="213" spans="1:15" hidden="1" x14ac:dyDescent="0.25">
      <c r="A213" t="s">
        <v>2151</v>
      </c>
      <c r="B213" s="1">
        <v>45274</v>
      </c>
      <c r="C213" s="8">
        <v>45306</v>
      </c>
      <c r="D213" t="s">
        <v>29</v>
      </c>
      <c r="E213" t="s">
        <v>30</v>
      </c>
      <c r="F213">
        <f t="shared" ca="1" si="3"/>
        <v>23</v>
      </c>
      <c r="G213" t="s">
        <v>31</v>
      </c>
      <c r="H213" s="11" t="s">
        <v>2152</v>
      </c>
      <c r="I213" t="s">
        <v>727</v>
      </c>
      <c r="J213" t="s">
        <v>1872</v>
      </c>
      <c r="K213" t="s">
        <v>207</v>
      </c>
      <c r="L213" t="s">
        <v>71</v>
      </c>
      <c r="M213" t="str">
        <f>VLOOKUP(Requests[[#This Row],[Ticket ID]],[2]Requests!$A$2:$D$649,4,FALSE)</f>
        <v>4 - Low</v>
      </c>
      <c r="N213">
        <f>VLOOKUP(Requests[[#This Row],[Priority]],'SLA Config'!$B$3:$C$6,2,FALSE)</f>
        <v>25</v>
      </c>
      <c r="O213" t="str">
        <f ca="1">IF(Requests[[#This Row],[Age (days)]]&gt;Requests[[#This Row],[SLA Threshold]],"Yes","No")</f>
        <v>No</v>
      </c>
    </row>
    <row r="214" spans="1:15" ht="30" hidden="1" x14ac:dyDescent="0.25">
      <c r="A214" t="s">
        <v>2153</v>
      </c>
      <c r="B214" s="1">
        <v>45277</v>
      </c>
      <c r="C214" s="8">
        <v>45283</v>
      </c>
      <c r="D214" t="s">
        <v>29</v>
      </c>
      <c r="E214" t="s">
        <v>104</v>
      </c>
      <c r="F214">
        <f t="shared" ca="1" si="3"/>
        <v>5</v>
      </c>
      <c r="G214" t="s">
        <v>31</v>
      </c>
      <c r="H214" s="11" t="s">
        <v>1692</v>
      </c>
      <c r="I214" t="s">
        <v>1693</v>
      </c>
      <c r="J214" t="s">
        <v>1694</v>
      </c>
      <c r="K214" t="s">
        <v>1695</v>
      </c>
      <c r="L214" t="s">
        <v>71</v>
      </c>
      <c r="M214" t="str">
        <f>VLOOKUP(Requests[[#This Row],[Ticket ID]],[2]Requests!$A$2:$D$649,4,FALSE)</f>
        <v>4 - Low</v>
      </c>
      <c r="N214">
        <f>VLOOKUP(Requests[[#This Row],[Priority]],'SLA Config'!$B$3:$C$6,2,FALSE)</f>
        <v>25</v>
      </c>
      <c r="O214" t="str">
        <f ca="1">IF(Requests[[#This Row],[Age (days)]]&gt;Requests[[#This Row],[SLA Threshold]],"Yes","No")</f>
        <v>No</v>
      </c>
    </row>
    <row r="215" spans="1:15" hidden="1" x14ac:dyDescent="0.25">
      <c r="A215" t="s">
        <v>2154</v>
      </c>
      <c r="B215" s="1">
        <v>45279</v>
      </c>
      <c r="C215" s="8">
        <v>45285</v>
      </c>
      <c r="D215" t="s">
        <v>29</v>
      </c>
      <c r="E215" t="s">
        <v>104</v>
      </c>
      <c r="F215">
        <f t="shared" ca="1" si="3"/>
        <v>5</v>
      </c>
      <c r="G215" t="s">
        <v>31</v>
      </c>
      <c r="H215" s="11" t="s">
        <v>2155</v>
      </c>
      <c r="I215" t="s">
        <v>580</v>
      </c>
      <c r="J215" t="s">
        <v>581</v>
      </c>
      <c r="K215" t="s">
        <v>44</v>
      </c>
      <c r="L215" t="s">
        <v>36</v>
      </c>
      <c r="M215" t="str">
        <f>VLOOKUP(Requests[[#This Row],[Ticket ID]],[2]Requests!$A$2:$D$649,4,FALSE)</f>
        <v>4 - Low</v>
      </c>
      <c r="N215">
        <f>VLOOKUP(Requests[[#This Row],[Priority]],'SLA Config'!$B$3:$C$6,2,FALSE)</f>
        <v>25</v>
      </c>
      <c r="O215" t="str">
        <f ca="1">IF(Requests[[#This Row],[Age (days)]]&gt;Requests[[#This Row],[SLA Threshold]],"Yes","No")</f>
        <v>No</v>
      </c>
    </row>
    <row r="216" spans="1:15" hidden="1" x14ac:dyDescent="0.25">
      <c r="A216" t="s">
        <v>2156</v>
      </c>
      <c r="B216" s="1">
        <v>45279</v>
      </c>
      <c r="C216" s="8">
        <v>45300</v>
      </c>
      <c r="D216" t="s">
        <v>29</v>
      </c>
      <c r="E216" t="s">
        <v>38</v>
      </c>
      <c r="F216">
        <f t="shared" ca="1" si="3"/>
        <v>16</v>
      </c>
      <c r="G216" t="s">
        <v>31</v>
      </c>
      <c r="H216" s="11" t="s">
        <v>2157</v>
      </c>
      <c r="I216" t="s">
        <v>727</v>
      </c>
      <c r="J216" t="s">
        <v>1872</v>
      </c>
      <c r="K216" t="s">
        <v>44</v>
      </c>
      <c r="L216" t="s">
        <v>36</v>
      </c>
      <c r="M216" t="str">
        <f>VLOOKUP(Requests[[#This Row],[Ticket ID]],[2]Requests!$A$2:$D$649,4,FALSE)</f>
        <v>4 - Low</v>
      </c>
      <c r="N216">
        <f>VLOOKUP(Requests[[#This Row],[Priority]],'SLA Config'!$B$3:$C$6,2,FALSE)</f>
        <v>25</v>
      </c>
      <c r="O216" t="str">
        <f ca="1">IF(Requests[[#This Row],[Age (days)]]&gt;Requests[[#This Row],[SLA Threshold]],"Yes","No")</f>
        <v>No</v>
      </c>
    </row>
    <row r="217" spans="1:15" hidden="1" x14ac:dyDescent="0.25">
      <c r="A217" t="s">
        <v>2158</v>
      </c>
      <c r="B217" s="1">
        <v>45280</v>
      </c>
      <c r="C217" s="8">
        <v>45350</v>
      </c>
      <c r="D217" t="s">
        <v>29</v>
      </c>
      <c r="E217" t="s">
        <v>38</v>
      </c>
      <c r="F217">
        <f t="shared" ca="1" si="3"/>
        <v>51</v>
      </c>
      <c r="G217" t="s">
        <v>31</v>
      </c>
      <c r="H217" s="11" t="s">
        <v>2159</v>
      </c>
      <c r="I217" t="s">
        <v>727</v>
      </c>
      <c r="J217" t="s">
        <v>34</v>
      </c>
      <c r="K217" t="s">
        <v>44</v>
      </c>
      <c r="L217" t="s">
        <v>36</v>
      </c>
      <c r="M217" t="str">
        <f>VLOOKUP(Requests[[#This Row],[Ticket ID]],[2]Requests!$A$2:$D$649,4,FALSE)</f>
        <v>4 - Low</v>
      </c>
      <c r="N217">
        <f>VLOOKUP(Requests[[#This Row],[Priority]],'SLA Config'!$B$3:$C$6,2,FALSE)</f>
        <v>25</v>
      </c>
      <c r="O217" t="str">
        <f ca="1">IF(Requests[[#This Row],[Age (days)]]&gt;Requests[[#This Row],[SLA Threshold]],"Yes","No")</f>
        <v>Yes</v>
      </c>
    </row>
    <row r="218" spans="1:15" hidden="1" x14ac:dyDescent="0.25">
      <c r="A218" t="s">
        <v>2160</v>
      </c>
      <c r="B218" s="1">
        <v>45282</v>
      </c>
      <c r="C218" s="8">
        <v>45301</v>
      </c>
      <c r="D218" t="s">
        <v>29</v>
      </c>
      <c r="E218" t="s">
        <v>38</v>
      </c>
      <c r="F218">
        <f t="shared" ca="1" si="3"/>
        <v>14</v>
      </c>
      <c r="G218" t="s">
        <v>51</v>
      </c>
      <c r="H218" s="11" t="s">
        <v>2161</v>
      </c>
      <c r="I218" t="s">
        <v>394</v>
      </c>
      <c r="J218" t="s">
        <v>584</v>
      </c>
      <c r="K218" t="s">
        <v>119</v>
      </c>
      <c r="L218" t="s">
        <v>120</v>
      </c>
      <c r="M218" t="str">
        <f>VLOOKUP(Requests[[#This Row],[Ticket ID]],[2]Requests!$A$2:$D$649,4,FALSE)</f>
        <v>4 - Low</v>
      </c>
      <c r="N218">
        <f>VLOOKUP(Requests[[#This Row],[Priority]],'SLA Config'!$B$3:$C$6,2,FALSE)</f>
        <v>25</v>
      </c>
      <c r="O218" t="str">
        <f ca="1">IF(Requests[[#This Row],[Age (days)]]&gt;Requests[[#This Row],[SLA Threshold]],"Yes","No")</f>
        <v>No</v>
      </c>
    </row>
    <row r="219" spans="1:15" ht="30" hidden="1" x14ac:dyDescent="0.25">
      <c r="A219" t="s">
        <v>2162</v>
      </c>
      <c r="B219" s="1">
        <v>45284</v>
      </c>
      <c r="C219" s="8">
        <v>45301</v>
      </c>
      <c r="D219" t="s">
        <v>29</v>
      </c>
      <c r="E219" t="s">
        <v>104</v>
      </c>
      <c r="F219">
        <f t="shared" ca="1" si="3"/>
        <v>13</v>
      </c>
      <c r="G219" t="s">
        <v>31</v>
      </c>
      <c r="H219" s="11" t="s">
        <v>1692</v>
      </c>
      <c r="I219" t="s">
        <v>1693</v>
      </c>
      <c r="J219" t="s">
        <v>1694</v>
      </c>
      <c r="K219" t="s">
        <v>1695</v>
      </c>
      <c r="L219" t="s">
        <v>71</v>
      </c>
      <c r="M219" t="str">
        <f>VLOOKUP(Requests[[#This Row],[Ticket ID]],[2]Requests!$A$2:$D$649,4,FALSE)</f>
        <v>4 - Low</v>
      </c>
      <c r="N219">
        <f>VLOOKUP(Requests[[#This Row],[Priority]],'SLA Config'!$B$3:$C$6,2,FALSE)</f>
        <v>25</v>
      </c>
      <c r="O219" t="str">
        <f ca="1">IF(Requests[[#This Row],[Age (days)]]&gt;Requests[[#This Row],[SLA Threshold]],"Yes","No")</f>
        <v>No</v>
      </c>
    </row>
    <row r="220" spans="1:15" hidden="1" x14ac:dyDescent="0.25">
      <c r="A220" t="s">
        <v>2163</v>
      </c>
      <c r="B220" s="1">
        <v>45287</v>
      </c>
      <c r="C220" s="8">
        <v>45328</v>
      </c>
      <c r="D220" t="s">
        <v>29</v>
      </c>
      <c r="E220" t="s">
        <v>2164</v>
      </c>
      <c r="F220">
        <f t="shared" ca="1" si="3"/>
        <v>30</v>
      </c>
      <c r="G220" t="s">
        <v>51</v>
      </c>
      <c r="H220" s="11" t="s">
        <v>2165</v>
      </c>
      <c r="I220" t="s">
        <v>394</v>
      </c>
      <c r="J220" t="s">
        <v>40</v>
      </c>
      <c r="K220" t="s">
        <v>119</v>
      </c>
      <c r="L220" t="s">
        <v>120</v>
      </c>
      <c r="M220" t="str">
        <f>VLOOKUP(Requests[[#This Row],[Ticket ID]],[2]Requests!$A$2:$D$649,4,FALSE)</f>
        <v>4 - Low</v>
      </c>
      <c r="N220">
        <f>VLOOKUP(Requests[[#This Row],[Priority]],'SLA Config'!$B$3:$C$6,2,FALSE)</f>
        <v>25</v>
      </c>
      <c r="O220" t="str">
        <f ca="1">IF(Requests[[#This Row],[Age (days)]]&gt;Requests[[#This Row],[SLA Threshold]],"Yes","No")</f>
        <v>Yes</v>
      </c>
    </row>
    <row r="221" spans="1:15" hidden="1" x14ac:dyDescent="0.25">
      <c r="A221" t="s">
        <v>2166</v>
      </c>
      <c r="B221" s="1">
        <v>45293</v>
      </c>
      <c r="C221" s="8">
        <v>45300</v>
      </c>
      <c r="D221" t="s">
        <v>29</v>
      </c>
      <c r="E221" t="s">
        <v>324</v>
      </c>
      <c r="F221">
        <f t="shared" ca="1" si="3"/>
        <v>6</v>
      </c>
      <c r="G221" t="s">
        <v>31</v>
      </c>
      <c r="H221" s="11" t="s">
        <v>2167</v>
      </c>
      <c r="I221" t="s">
        <v>1336</v>
      </c>
      <c r="J221" t="s">
        <v>1717</v>
      </c>
      <c r="K221" t="s">
        <v>44</v>
      </c>
      <c r="L221" t="s">
        <v>36</v>
      </c>
      <c r="M221" t="str">
        <f>VLOOKUP(Requests[[#This Row],[Ticket ID]],[2]Requests!$A$2:$D$649,4,FALSE)</f>
        <v>4 - Low</v>
      </c>
      <c r="N221">
        <f>VLOOKUP(Requests[[#This Row],[Priority]],'SLA Config'!$B$3:$C$6,2,FALSE)</f>
        <v>25</v>
      </c>
      <c r="O221" t="str">
        <f ca="1">IF(Requests[[#This Row],[Age (days)]]&gt;Requests[[#This Row],[SLA Threshold]],"Yes","No")</f>
        <v>No</v>
      </c>
    </row>
    <row r="222" spans="1:15" hidden="1" x14ac:dyDescent="0.25">
      <c r="A222" s="17" t="s">
        <v>2168</v>
      </c>
      <c r="B222" s="1">
        <v>45293</v>
      </c>
      <c r="C222" s="8">
        <v>45300</v>
      </c>
      <c r="D222" t="s">
        <v>29</v>
      </c>
      <c r="E222" t="s">
        <v>324</v>
      </c>
      <c r="F222">
        <f t="shared" ca="1" si="3"/>
        <v>6</v>
      </c>
      <c r="G222" s="16" t="s">
        <v>31</v>
      </c>
      <c r="H222" s="11" t="s">
        <v>2169</v>
      </c>
      <c r="I222" t="s">
        <v>1336</v>
      </c>
      <c r="J222" t="s">
        <v>1405</v>
      </c>
      <c r="K222" t="s">
        <v>1644</v>
      </c>
      <c r="L222" t="s">
        <v>71</v>
      </c>
      <c r="M222" t="str">
        <f>VLOOKUP(Requests[[#This Row],[Ticket ID]],[2]Requests!$A$2:$D$649,4,FALSE)</f>
        <v>4 - Low</v>
      </c>
      <c r="N222">
        <f>VLOOKUP(Requests[[#This Row],[Priority]],'SLA Config'!$B$3:$C$6,2,FALSE)</f>
        <v>25</v>
      </c>
      <c r="O222" t="str">
        <f ca="1">IF(Requests[[#This Row],[Age (days)]]&gt;Requests[[#This Row],[SLA Threshold]],"Yes","No")</f>
        <v>No</v>
      </c>
    </row>
    <row r="223" spans="1:15" hidden="1" x14ac:dyDescent="0.25">
      <c r="A223" s="17" t="s">
        <v>2170</v>
      </c>
      <c r="B223" s="1">
        <v>45293</v>
      </c>
      <c r="C223" s="8">
        <v>45300</v>
      </c>
      <c r="D223" t="s">
        <v>29</v>
      </c>
      <c r="E223" t="s">
        <v>324</v>
      </c>
      <c r="F223">
        <f t="shared" ca="1" si="3"/>
        <v>6</v>
      </c>
      <c r="G223" s="16" t="s">
        <v>31</v>
      </c>
      <c r="H223" s="11" t="s">
        <v>2171</v>
      </c>
      <c r="I223" t="s">
        <v>1336</v>
      </c>
      <c r="J223" t="s">
        <v>1405</v>
      </c>
      <c r="K223" t="s">
        <v>2172</v>
      </c>
      <c r="L223" t="s">
        <v>71</v>
      </c>
      <c r="M223" t="str">
        <f>VLOOKUP(Requests[[#This Row],[Ticket ID]],[2]Requests!$A$2:$D$649,4,FALSE)</f>
        <v>4 - Low</v>
      </c>
      <c r="N223">
        <f>VLOOKUP(Requests[[#This Row],[Priority]],'SLA Config'!$B$3:$C$6,2,FALSE)</f>
        <v>25</v>
      </c>
      <c r="O223" t="str">
        <f ca="1">IF(Requests[[#This Row],[Age (days)]]&gt;Requests[[#This Row],[SLA Threshold]],"Yes","No")</f>
        <v>No</v>
      </c>
    </row>
    <row r="224" spans="1:15" hidden="1" x14ac:dyDescent="0.25">
      <c r="A224" s="17" t="s">
        <v>2173</v>
      </c>
      <c r="B224" s="1">
        <v>45295</v>
      </c>
      <c r="C224" s="8">
        <v>45378</v>
      </c>
      <c r="D224" t="s">
        <v>29</v>
      </c>
      <c r="E224" t="s">
        <v>38</v>
      </c>
      <c r="F224">
        <f t="shared" ca="1" si="3"/>
        <v>60</v>
      </c>
      <c r="G224" s="16" t="s">
        <v>31</v>
      </c>
      <c r="H224" s="11" t="s">
        <v>2174</v>
      </c>
      <c r="I224" t="s">
        <v>394</v>
      </c>
      <c r="J224" t="s">
        <v>584</v>
      </c>
      <c r="K224" t="s">
        <v>44</v>
      </c>
      <c r="L224" t="s">
        <v>36</v>
      </c>
      <c r="M224" t="str">
        <f>VLOOKUP(Requests[[#This Row],[Ticket ID]],[2]Requests!$A$2:$D$649,4,FALSE)</f>
        <v>4 - Low</v>
      </c>
      <c r="N224">
        <f>VLOOKUP(Requests[[#This Row],[Priority]],'SLA Config'!$B$3:$C$6,2,FALSE)</f>
        <v>25</v>
      </c>
      <c r="O224" t="str">
        <f ca="1">IF(Requests[[#This Row],[Age (days)]]&gt;Requests[[#This Row],[SLA Threshold]],"Yes","No")</f>
        <v>Yes</v>
      </c>
    </row>
    <row r="225" spans="1:15" hidden="1" x14ac:dyDescent="0.25">
      <c r="A225" s="17" t="s">
        <v>2175</v>
      </c>
      <c r="B225" s="1">
        <v>45299</v>
      </c>
      <c r="C225" s="8">
        <v>45314</v>
      </c>
      <c r="D225" t="s">
        <v>29</v>
      </c>
      <c r="E225" t="s">
        <v>104</v>
      </c>
      <c r="F225">
        <f t="shared" ca="1" si="3"/>
        <v>12</v>
      </c>
      <c r="G225" s="16" t="s">
        <v>31</v>
      </c>
      <c r="H225" s="11" t="s">
        <v>2176</v>
      </c>
      <c r="I225" t="s">
        <v>193</v>
      </c>
      <c r="J225" t="s">
        <v>307</v>
      </c>
      <c r="K225" t="s">
        <v>207</v>
      </c>
      <c r="L225" t="s">
        <v>71</v>
      </c>
      <c r="M225" t="str">
        <f>VLOOKUP(Requests[[#This Row],[Ticket ID]],[2]Requests!$A$2:$D$649,4,FALSE)</f>
        <v>4 - Low</v>
      </c>
      <c r="N225">
        <f>VLOOKUP(Requests[[#This Row],[Priority]],'SLA Config'!$B$3:$C$6,2,FALSE)</f>
        <v>25</v>
      </c>
      <c r="O225" t="str">
        <f ca="1">IF(Requests[[#This Row],[Age (days)]]&gt;Requests[[#This Row],[SLA Threshold]],"Yes","No")</f>
        <v>No</v>
      </c>
    </row>
    <row r="226" spans="1:15" hidden="1" x14ac:dyDescent="0.25">
      <c r="A226" s="17" t="s">
        <v>2177</v>
      </c>
      <c r="B226" s="1">
        <v>45302</v>
      </c>
      <c r="C226" s="8">
        <v>45326</v>
      </c>
      <c r="D226" t="s">
        <v>29</v>
      </c>
      <c r="E226" t="s">
        <v>104</v>
      </c>
      <c r="F226">
        <f t="shared" ca="1" si="3"/>
        <v>17</v>
      </c>
      <c r="G226" s="16" t="s">
        <v>31</v>
      </c>
      <c r="H226" s="11" t="s">
        <v>2178</v>
      </c>
      <c r="I226" t="s">
        <v>193</v>
      </c>
      <c r="J226" t="s">
        <v>307</v>
      </c>
      <c r="K226" t="s">
        <v>207</v>
      </c>
      <c r="L226" t="s">
        <v>71</v>
      </c>
      <c r="M226" t="str">
        <f>VLOOKUP(Requests[[#This Row],[Ticket ID]],[2]Requests!$A$2:$D$649,4,FALSE)</f>
        <v>4 - Low</v>
      </c>
      <c r="N226">
        <f>VLOOKUP(Requests[[#This Row],[Priority]],'SLA Config'!$B$3:$C$6,2,FALSE)</f>
        <v>25</v>
      </c>
      <c r="O226" t="str">
        <f ca="1">IF(Requests[[#This Row],[Age (days)]]&gt;Requests[[#This Row],[SLA Threshold]],"Yes","No")</f>
        <v>No</v>
      </c>
    </row>
    <row r="227" spans="1:15" hidden="1" x14ac:dyDescent="0.25">
      <c r="A227" s="17" t="s">
        <v>2179</v>
      </c>
      <c r="B227" s="1">
        <v>45303</v>
      </c>
      <c r="C227" s="8">
        <v>45325</v>
      </c>
      <c r="D227" t="s">
        <v>29</v>
      </c>
      <c r="E227" t="s">
        <v>30</v>
      </c>
      <c r="F227">
        <f t="shared" ca="1" si="3"/>
        <v>16</v>
      </c>
      <c r="G227" s="16" t="s">
        <v>31</v>
      </c>
      <c r="H227" s="11" t="s">
        <v>2180</v>
      </c>
      <c r="I227" t="s">
        <v>727</v>
      </c>
      <c r="J227" t="s">
        <v>2181</v>
      </c>
      <c r="K227" t="s">
        <v>44</v>
      </c>
      <c r="L227" t="s">
        <v>36</v>
      </c>
      <c r="M227" t="str">
        <f>VLOOKUP(Requests[[#This Row],[Ticket ID]],[2]Requests!$A$2:$D$649,4,FALSE)</f>
        <v>4 - Low</v>
      </c>
      <c r="N227">
        <f>VLOOKUP(Requests[[#This Row],[Priority]],'SLA Config'!$B$3:$C$6,2,FALSE)</f>
        <v>25</v>
      </c>
      <c r="O227" t="str">
        <f ca="1">IF(Requests[[#This Row],[Age (days)]]&gt;Requests[[#This Row],[SLA Threshold]],"Yes","No")</f>
        <v>No</v>
      </c>
    </row>
    <row r="228" spans="1:15" hidden="1" x14ac:dyDescent="0.25">
      <c r="A228" s="17" t="s">
        <v>2182</v>
      </c>
      <c r="B228" s="1">
        <v>45308</v>
      </c>
      <c r="C228" s="8">
        <v>45315</v>
      </c>
      <c r="D228" t="s">
        <v>29</v>
      </c>
      <c r="E228" t="s">
        <v>324</v>
      </c>
      <c r="F228">
        <f t="shared" ca="1" si="3"/>
        <v>6</v>
      </c>
      <c r="G228" s="16" t="s">
        <v>31</v>
      </c>
      <c r="H228" s="11" t="s">
        <v>2183</v>
      </c>
      <c r="I228" t="s">
        <v>1336</v>
      </c>
      <c r="J228" t="s">
        <v>1405</v>
      </c>
      <c r="K228" t="s">
        <v>2184</v>
      </c>
      <c r="L228" t="s">
        <v>71</v>
      </c>
      <c r="M228" t="str">
        <f>VLOOKUP(Requests[[#This Row],[Ticket ID]],[2]Requests!$A$2:$D$649,4,FALSE)</f>
        <v>4 - Low</v>
      </c>
      <c r="N228">
        <f>VLOOKUP(Requests[[#This Row],[Priority]],'SLA Config'!$B$3:$C$6,2,FALSE)</f>
        <v>25</v>
      </c>
      <c r="O228" t="str">
        <f ca="1">IF(Requests[[#This Row],[Age (days)]]&gt;Requests[[#This Row],[SLA Threshold]],"Yes","No")</f>
        <v>No</v>
      </c>
    </row>
    <row r="229" spans="1:15" hidden="1" x14ac:dyDescent="0.25">
      <c r="A229" s="17" t="s">
        <v>2185</v>
      </c>
      <c r="B229" s="1">
        <v>45314</v>
      </c>
      <c r="C229" s="8">
        <v>45368</v>
      </c>
      <c r="D229" t="s">
        <v>29</v>
      </c>
      <c r="E229" t="s">
        <v>30</v>
      </c>
      <c r="F229">
        <f t="shared" ca="1" si="3"/>
        <v>39</v>
      </c>
      <c r="G229" s="16" t="s">
        <v>31</v>
      </c>
      <c r="H229" s="11" t="s">
        <v>2186</v>
      </c>
      <c r="I229" t="s">
        <v>394</v>
      </c>
      <c r="J229" t="s">
        <v>584</v>
      </c>
      <c r="K229" t="s">
        <v>44</v>
      </c>
      <c r="L229" t="s">
        <v>36</v>
      </c>
      <c r="M229" t="str">
        <f>VLOOKUP(Requests[[#This Row],[Ticket ID]],[2]Requests!$A$2:$D$649,4,FALSE)</f>
        <v>4 - Low</v>
      </c>
      <c r="N229">
        <f>VLOOKUP(Requests[[#This Row],[Priority]],'SLA Config'!$B$3:$C$6,2,FALSE)</f>
        <v>25</v>
      </c>
      <c r="O229" t="str">
        <f ca="1">IF(Requests[[#This Row],[Age (days)]]&gt;Requests[[#This Row],[SLA Threshold]],"Yes","No")</f>
        <v>Yes</v>
      </c>
    </row>
    <row r="230" spans="1:15" hidden="1" x14ac:dyDescent="0.25">
      <c r="A230" s="17" t="s">
        <v>2187</v>
      </c>
      <c r="B230" s="1">
        <v>45314</v>
      </c>
      <c r="C230" s="8">
        <v>45375</v>
      </c>
      <c r="D230" t="s">
        <v>29</v>
      </c>
      <c r="E230" t="s">
        <v>30</v>
      </c>
      <c r="F230">
        <f t="shared" ca="1" si="3"/>
        <v>44</v>
      </c>
      <c r="G230" s="16" t="s">
        <v>31</v>
      </c>
      <c r="H230" s="11" t="s">
        <v>2188</v>
      </c>
      <c r="I230" t="s">
        <v>1321</v>
      </c>
      <c r="J230" t="s">
        <v>1690</v>
      </c>
      <c r="K230" t="s">
        <v>201</v>
      </c>
      <c r="L230" t="s">
        <v>120</v>
      </c>
      <c r="M230" t="str">
        <f>VLOOKUP(Requests[[#This Row],[Ticket ID]],[2]Requests!$A$2:$D$649,4,FALSE)</f>
        <v>4 - Low</v>
      </c>
      <c r="N230">
        <f>VLOOKUP(Requests[[#This Row],[Priority]],'SLA Config'!$B$3:$C$6,2,FALSE)</f>
        <v>25</v>
      </c>
      <c r="O230" t="str">
        <f ca="1">IF(Requests[[#This Row],[Age (days)]]&gt;Requests[[#This Row],[SLA Threshold]],"Yes","No")</f>
        <v>Yes</v>
      </c>
    </row>
    <row r="231" spans="1:15" hidden="1" x14ac:dyDescent="0.25">
      <c r="A231" s="17" t="s">
        <v>2189</v>
      </c>
      <c r="B231" s="1">
        <v>45314</v>
      </c>
      <c r="C231" s="8">
        <v>45326</v>
      </c>
      <c r="D231" t="s">
        <v>29</v>
      </c>
      <c r="E231" t="s">
        <v>273</v>
      </c>
      <c r="F231">
        <f t="shared" ca="1" si="3"/>
        <v>9</v>
      </c>
      <c r="G231" s="16" t="s">
        <v>31</v>
      </c>
      <c r="H231" s="11" t="s">
        <v>2190</v>
      </c>
      <c r="I231" t="s">
        <v>1336</v>
      </c>
      <c r="J231" t="s">
        <v>1405</v>
      </c>
      <c r="K231" t="s">
        <v>2191</v>
      </c>
      <c r="L231" t="s">
        <v>120</v>
      </c>
      <c r="M231" t="str">
        <f>VLOOKUP(Requests[[#This Row],[Ticket ID]],[2]Requests!$A$2:$D$649,4,FALSE)</f>
        <v>4 - Low</v>
      </c>
      <c r="N231">
        <f>VLOOKUP(Requests[[#This Row],[Priority]],'SLA Config'!$B$3:$C$6,2,FALSE)</f>
        <v>25</v>
      </c>
      <c r="O231" t="str">
        <f ca="1">IF(Requests[[#This Row],[Age (days)]]&gt;Requests[[#This Row],[SLA Threshold]],"Yes","No")</f>
        <v>No</v>
      </c>
    </row>
    <row r="232" spans="1:15" hidden="1" x14ac:dyDescent="0.25">
      <c r="A232" s="17" t="s">
        <v>2192</v>
      </c>
      <c r="B232" s="1">
        <v>45314</v>
      </c>
      <c r="C232" s="8">
        <v>45322</v>
      </c>
      <c r="D232" t="s">
        <v>29</v>
      </c>
      <c r="E232" t="s">
        <v>273</v>
      </c>
      <c r="F232">
        <f t="shared" ca="1" si="3"/>
        <v>7</v>
      </c>
      <c r="G232" s="16" t="s">
        <v>31</v>
      </c>
      <c r="H232" s="11" t="s">
        <v>2193</v>
      </c>
      <c r="I232" t="s">
        <v>1336</v>
      </c>
      <c r="J232" t="s">
        <v>1405</v>
      </c>
      <c r="K232" t="s">
        <v>2194</v>
      </c>
      <c r="L232" t="s">
        <v>120</v>
      </c>
      <c r="M232" t="str">
        <f>VLOOKUP(Requests[[#This Row],[Ticket ID]],[2]Requests!$A$2:$D$649,4,FALSE)</f>
        <v>4 - Low</v>
      </c>
      <c r="N232">
        <f>VLOOKUP(Requests[[#This Row],[Priority]],'SLA Config'!$B$3:$C$6,2,FALSE)</f>
        <v>25</v>
      </c>
      <c r="O232" t="str">
        <f ca="1">IF(Requests[[#This Row],[Age (days)]]&gt;Requests[[#This Row],[SLA Threshold]],"Yes","No")</f>
        <v>No</v>
      </c>
    </row>
    <row r="233" spans="1:15" hidden="1" x14ac:dyDescent="0.25">
      <c r="A233" s="17" t="s">
        <v>2195</v>
      </c>
      <c r="B233" s="1">
        <v>45316</v>
      </c>
      <c r="C233" s="8">
        <v>45325</v>
      </c>
      <c r="D233" t="s">
        <v>29</v>
      </c>
      <c r="E233" t="s">
        <v>324</v>
      </c>
      <c r="F233">
        <f t="shared" ca="1" si="3"/>
        <v>7</v>
      </c>
      <c r="G233" s="16" t="s">
        <v>31</v>
      </c>
      <c r="H233" s="11" t="s">
        <v>2196</v>
      </c>
      <c r="I233" t="s">
        <v>1336</v>
      </c>
      <c r="J233" t="s">
        <v>1405</v>
      </c>
      <c r="K233" t="s">
        <v>2197</v>
      </c>
      <c r="L233" t="s">
        <v>120</v>
      </c>
      <c r="M233" t="str">
        <f>VLOOKUP(Requests[[#This Row],[Ticket ID]],[2]Requests!$A$2:$D$649,4,FALSE)</f>
        <v>4 - Low</v>
      </c>
      <c r="N233">
        <f>VLOOKUP(Requests[[#This Row],[Priority]],'SLA Config'!$B$3:$C$6,2,FALSE)</f>
        <v>25</v>
      </c>
      <c r="O233" t="str">
        <f ca="1">IF(Requests[[#This Row],[Age (days)]]&gt;Requests[[#This Row],[SLA Threshold]],"Yes","No")</f>
        <v>No</v>
      </c>
    </row>
    <row r="234" spans="1:15" hidden="1" x14ac:dyDescent="0.25">
      <c r="A234" s="17" t="s">
        <v>2198</v>
      </c>
      <c r="B234" s="1">
        <v>45317</v>
      </c>
      <c r="C234" s="8">
        <v>45353</v>
      </c>
      <c r="D234" t="s">
        <v>29</v>
      </c>
      <c r="E234" t="s">
        <v>324</v>
      </c>
      <c r="F234">
        <f t="shared" ca="1" si="3"/>
        <v>26</v>
      </c>
      <c r="G234" s="16" t="s">
        <v>31</v>
      </c>
      <c r="H234" s="11" t="s">
        <v>2199</v>
      </c>
      <c r="I234" t="s">
        <v>1327</v>
      </c>
      <c r="J234" t="s">
        <v>40</v>
      </c>
      <c r="K234" t="s">
        <v>44</v>
      </c>
      <c r="L234" t="s">
        <v>36</v>
      </c>
      <c r="M234" t="str">
        <f>VLOOKUP(Requests[[#This Row],[Ticket ID]],[2]Requests!$A$2:$D$649,4,FALSE)</f>
        <v>4 - Low</v>
      </c>
      <c r="N234">
        <f>VLOOKUP(Requests[[#This Row],[Priority]],'SLA Config'!$B$3:$C$6,2,FALSE)</f>
        <v>25</v>
      </c>
      <c r="O234" t="str">
        <f ca="1">IF(Requests[[#This Row],[Age (days)]]&gt;Requests[[#This Row],[SLA Threshold]],"Yes","No")</f>
        <v>Yes</v>
      </c>
    </row>
    <row r="235" spans="1:15" hidden="1" x14ac:dyDescent="0.25">
      <c r="A235" s="17" t="s">
        <v>2200</v>
      </c>
      <c r="B235" s="1">
        <v>45320</v>
      </c>
      <c r="C235" s="8">
        <v>45326</v>
      </c>
      <c r="D235" t="s">
        <v>29</v>
      </c>
      <c r="E235" t="s">
        <v>324</v>
      </c>
      <c r="F235">
        <f t="shared" ca="1" si="3"/>
        <v>5</v>
      </c>
      <c r="G235" s="16" t="s">
        <v>31</v>
      </c>
      <c r="H235" s="11" t="s">
        <v>2201</v>
      </c>
      <c r="I235" t="s">
        <v>1336</v>
      </c>
      <c r="J235" t="s">
        <v>1405</v>
      </c>
      <c r="K235" t="s">
        <v>295</v>
      </c>
      <c r="L235" t="s">
        <v>120</v>
      </c>
      <c r="M235" t="str">
        <f>VLOOKUP(Requests[[#This Row],[Ticket ID]],[2]Requests!$A$2:$D$649,4,FALSE)</f>
        <v>4 - Low</v>
      </c>
      <c r="N235">
        <f>VLOOKUP(Requests[[#This Row],[Priority]],'SLA Config'!$B$3:$C$6,2,FALSE)</f>
        <v>25</v>
      </c>
      <c r="O235" t="str">
        <f ca="1">IF(Requests[[#This Row],[Age (days)]]&gt;Requests[[#This Row],[SLA Threshold]],"Yes","No")</f>
        <v>No</v>
      </c>
    </row>
    <row r="236" spans="1:15" hidden="1" x14ac:dyDescent="0.25">
      <c r="A236" s="17" t="s">
        <v>2202</v>
      </c>
      <c r="B236" s="1">
        <v>45320</v>
      </c>
      <c r="C236" s="8">
        <v>45326</v>
      </c>
      <c r="D236" t="s">
        <v>29</v>
      </c>
      <c r="E236" t="s">
        <v>324</v>
      </c>
      <c r="F236">
        <f t="shared" ca="1" si="3"/>
        <v>5</v>
      </c>
      <c r="G236" s="16" t="s">
        <v>31</v>
      </c>
      <c r="H236" s="11" t="s">
        <v>2203</v>
      </c>
      <c r="I236" t="s">
        <v>1336</v>
      </c>
      <c r="J236" t="s">
        <v>1405</v>
      </c>
      <c r="K236" t="s">
        <v>1637</v>
      </c>
      <c r="L236" t="s">
        <v>120</v>
      </c>
      <c r="M236" t="str">
        <f>VLOOKUP(Requests[[#This Row],[Ticket ID]],[2]Requests!$A$2:$D$649,4,FALSE)</f>
        <v>4 - Low</v>
      </c>
      <c r="N236">
        <f>VLOOKUP(Requests[[#This Row],[Priority]],'SLA Config'!$B$3:$C$6,2,FALSE)</f>
        <v>25</v>
      </c>
      <c r="O236" t="str">
        <f ca="1">IF(Requests[[#This Row],[Age (days)]]&gt;Requests[[#This Row],[SLA Threshold]],"Yes","No")</f>
        <v>No</v>
      </c>
    </row>
    <row r="237" spans="1:15" hidden="1" x14ac:dyDescent="0.25">
      <c r="A237" s="17" t="s">
        <v>2204</v>
      </c>
      <c r="B237" s="1">
        <v>45321</v>
      </c>
      <c r="C237" s="8">
        <v>45327</v>
      </c>
      <c r="D237" t="s">
        <v>29</v>
      </c>
      <c r="E237" t="s">
        <v>104</v>
      </c>
      <c r="F237">
        <f t="shared" ca="1" si="3"/>
        <v>5</v>
      </c>
      <c r="G237" s="16" t="s">
        <v>51</v>
      </c>
      <c r="H237" s="11" t="s">
        <v>2205</v>
      </c>
      <c r="I237" t="s">
        <v>1321</v>
      </c>
      <c r="J237" t="s">
        <v>1743</v>
      </c>
      <c r="K237" t="s">
        <v>119</v>
      </c>
      <c r="L237" t="s">
        <v>120</v>
      </c>
      <c r="M237" t="str">
        <f>VLOOKUP(Requests[[#This Row],[Ticket ID]],[2]Requests!$A$2:$D$649,4,FALSE)</f>
        <v>4 - Low</v>
      </c>
      <c r="N237">
        <f>VLOOKUP(Requests[[#This Row],[Priority]],'SLA Config'!$B$3:$C$6,2,FALSE)</f>
        <v>25</v>
      </c>
      <c r="O237" t="str">
        <f ca="1">IF(Requests[[#This Row],[Age (days)]]&gt;Requests[[#This Row],[SLA Threshold]],"Yes","No")</f>
        <v>No</v>
      </c>
    </row>
    <row r="238" spans="1:15" hidden="1" x14ac:dyDescent="0.25">
      <c r="A238" s="17" t="s">
        <v>2206</v>
      </c>
      <c r="B238" s="1">
        <v>45321</v>
      </c>
      <c r="C238" s="8">
        <v>45367</v>
      </c>
      <c r="D238" t="s">
        <v>29</v>
      </c>
      <c r="E238" t="s">
        <v>38</v>
      </c>
      <c r="F238">
        <f t="shared" ca="1" si="3"/>
        <v>34</v>
      </c>
      <c r="G238" s="16" t="s">
        <v>31</v>
      </c>
      <c r="H238" s="11" t="s">
        <v>2207</v>
      </c>
      <c r="I238" t="s">
        <v>727</v>
      </c>
      <c r="J238" t="s">
        <v>2208</v>
      </c>
      <c r="K238" t="s">
        <v>44</v>
      </c>
      <c r="L238" t="s">
        <v>36</v>
      </c>
      <c r="M238" t="str">
        <f>VLOOKUP(Requests[[#This Row],[Ticket ID]],[2]Requests!$A$2:$D$649,4,FALSE)</f>
        <v>4 - Low</v>
      </c>
      <c r="N238">
        <f>VLOOKUP(Requests[[#This Row],[Priority]],'SLA Config'!$B$3:$C$6,2,FALSE)</f>
        <v>25</v>
      </c>
      <c r="O238" t="str">
        <f ca="1">IF(Requests[[#This Row],[Age (days)]]&gt;Requests[[#This Row],[SLA Threshold]],"Yes","No")</f>
        <v>Yes</v>
      </c>
    </row>
    <row r="239" spans="1:15" hidden="1" x14ac:dyDescent="0.25">
      <c r="A239" s="17" t="s">
        <v>2209</v>
      </c>
      <c r="B239" s="1">
        <v>45322</v>
      </c>
      <c r="C239" s="8">
        <v>45333</v>
      </c>
      <c r="D239" t="s">
        <v>29</v>
      </c>
      <c r="E239" t="s">
        <v>324</v>
      </c>
      <c r="F239">
        <f t="shared" ca="1" si="3"/>
        <v>8</v>
      </c>
      <c r="G239" s="16" t="s">
        <v>31</v>
      </c>
      <c r="H239" s="11" t="s">
        <v>2210</v>
      </c>
      <c r="I239" t="s">
        <v>1336</v>
      </c>
      <c r="J239" t="s">
        <v>1405</v>
      </c>
      <c r="K239" t="s">
        <v>2211</v>
      </c>
      <c r="L239" t="s">
        <v>71</v>
      </c>
      <c r="M239" t="str">
        <f>VLOOKUP(Requests[[#This Row],[Ticket ID]],[2]Requests!$A$2:$D$649,4,FALSE)</f>
        <v>4 - Low</v>
      </c>
      <c r="N239">
        <f>VLOOKUP(Requests[[#This Row],[Priority]],'SLA Config'!$B$3:$C$6,2,FALSE)</f>
        <v>25</v>
      </c>
      <c r="O239" t="str">
        <f ca="1">IF(Requests[[#This Row],[Age (days)]]&gt;Requests[[#This Row],[SLA Threshold]],"Yes","No")</f>
        <v>No</v>
      </c>
    </row>
    <row r="240" spans="1:15" hidden="1" x14ac:dyDescent="0.25">
      <c r="A240" s="17" t="s">
        <v>2212</v>
      </c>
      <c r="B240" s="1">
        <v>45322</v>
      </c>
      <c r="C240" s="8">
        <v>45329</v>
      </c>
      <c r="D240" t="s">
        <v>29</v>
      </c>
      <c r="E240" t="s">
        <v>324</v>
      </c>
      <c r="F240">
        <f t="shared" ca="1" si="3"/>
        <v>6</v>
      </c>
      <c r="G240" s="16" t="s">
        <v>31</v>
      </c>
      <c r="H240" s="11" t="s">
        <v>2213</v>
      </c>
      <c r="I240" t="s">
        <v>1336</v>
      </c>
      <c r="J240" t="s">
        <v>1405</v>
      </c>
      <c r="K240" t="s">
        <v>2150</v>
      </c>
      <c r="L240" t="s">
        <v>120</v>
      </c>
      <c r="M240" t="str">
        <f>VLOOKUP(Requests[[#This Row],[Ticket ID]],[2]Requests!$A$2:$D$649,4,FALSE)</f>
        <v>4 - Low</v>
      </c>
      <c r="N240">
        <f>VLOOKUP(Requests[[#This Row],[Priority]],'SLA Config'!$B$3:$C$6,2,FALSE)</f>
        <v>25</v>
      </c>
      <c r="O240" t="str">
        <f ca="1">IF(Requests[[#This Row],[Age (days)]]&gt;Requests[[#This Row],[SLA Threshold]],"Yes","No")</f>
        <v>No</v>
      </c>
    </row>
    <row r="241" spans="1:15" hidden="1" x14ac:dyDescent="0.25">
      <c r="A241" s="17" t="s">
        <v>2214</v>
      </c>
      <c r="B241" s="1">
        <v>45323</v>
      </c>
      <c r="C241" s="8">
        <v>45341</v>
      </c>
      <c r="D241" t="s">
        <v>29</v>
      </c>
      <c r="E241" t="s">
        <v>30</v>
      </c>
      <c r="F241">
        <f t="shared" ca="1" si="3"/>
        <v>13</v>
      </c>
      <c r="G241" s="16" t="s">
        <v>31</v>
      </c>
      <c r="H241" s="11" t="s">
        <v>2215</v>
      </c>
      <c r="I241" t="s">
        <v>1321</v>
      </c>
      <c r="J241" t="s">
        <v>1743</v>
      </c>
      <c r="K241" t="s">
        <v>215</v>
      </c>
      <c r="L241" t="s">
        <v>120</v>
      </c>
      <c r="M241" t="str">
        <f>VLOOKUP(Requests[[#This Row],[Ticket ID]],[2]Requests!$A$2:$D$649,4,FALSE)</f>
        <v>4 - Low</v>
      </c>
      <c r="N241">
        <f>VLOOKUP(Requests[[#This Row],[Priority]],'SLA Config'!$B$3:$C$6,2,FALSE)</f>
        <v>25</v>
      </c>
      <c r="O241" t="str">
        <f ca="1">IF(Requests[[#This Row],[Age (days)]]&gt;Requests[[#This Row],[SLA Threshold]],"Yes","No")</f>
        <v>No</v>
      </c>
    </row>
    <row r="242" spans="1:15" hidden="1" x14ac:dyDescent="0.25">
      <c r="A242" s="17" t="s">
        <v>2216</v>
      </c>
      <c r="B242" s="1">
        <v>45323</v>
      </c>
      <c r="C242" s="8">
        <v>45341</v>
      </c>
      <c r="D242" t="s">
        <v>29</v>
      </c>
      <c r="E242" t="s">
        <v>324</v>
      </c>
      <c r="F242">
        <f t="shared" ca="1" si="3"/>
        <v>13</v>
      </c>
      <c r="G242" s="16" t="s">
        <v>31</v>
      </c>
      <c r="H242" s="11" t="s">
        <v>2217</v>
      </c>
      <c r="I242" t="s">
        <v>1321</v>
      </c>
      <c r="J242" t="s">
        <v>307</v>
      </c>
      <c r="K242" t="s">
        <v>215</v>
      </c>
      <c r="L242" t="s">
        <v>120</v>
      </c>
      <c r="M242" t="str">
        <f>VLOOKUP(Requests[[#This Row],[Ticket ID]],[2]Requests!$A$2:$D$649,4,FALSE)</f>
        <v>4 - Low</v>
      </c>
      <c r="N242">
        <f>VLOOKUP(Requests[[#This Row],[Priority]],'SLA Config'!$B$3:$C$6,2,FALSE)</f>
        <v>25</v>
      </c>
      <c r="O242" t="str">
        <f ca="1">IF(Requests[[#This Row],[Age (days)]]&gt;Requests[[#This Row],[SLA Threshold]],"Yes","No")</f>
        <v>No</v>
      </c>
    </row>
    <row r="243" spans="1:15" hidden="1" x14ac:dyDescent="0.25">
      <c r="A243" s="17" t="s">
        <v>2218</v>
      </c>
      <c r="B243" s="1">
        <v>45323</v>
      </c>
      <c r="C243" s="8">
        <v>45347</v>
      </c>
      <c r="D243" t="s">
        <v>29</v>
      </c>
      <c r="E243" t="s">
        <v>38</v>
      </c>
      <c r="F243">
        <f t="shared" ca="1" si="3"/>
        <v>17</v>
      </c>
      <c r="G243" s="16" t="s">
        <v>31</v>
      </c>
      <c r="H243" s="11" t="s">
        <v>2219</v>
      </c>
      <c r="I243" t="s">
        <v>193</v>
      </c>
      <c r="J243" t="s">
        <v>307</v>
      </c>
      <c r="K243" t="s">
        <v>215</v>
      </c>
      <c r="L243" t="s">
        <v>120</v>
      </c>
      <c r="M243" t="str">
        <f>VLOOKUP(Requests[[#This Row],[Ticket ID]],[2]Requests!$A$2:$D$649,4,FALSE)</f>
        <v>4 - Low</v>
      </c>
      <c r="N243">
        <f>VLOOKUP(Requests[[#This Row],[Priority]],'SLA Config'!$B$3:$C$6,2,FALSE)</f>
        <v>25</v>
      </c>
      <c r="O243" t="str">
        <f ca="1">IF(Requests[[#This Row],[Age (days)]]&gt;Requests[[#This Row],[SLA Threshold]],"Yes","No")</f>
        <v>No</v>
      </c>
    </row>
    <row r="244" spans="1:15" hidden="1" x14ac:dyDescent="0.25">
      <c r="A244" s="17" t="s">
        <v>2220</v>
      </c>
      <c r="B244" s="1">
        <v>45323</v>
      </c>
      <c r="C244" s="8">
        <v>45367</v>
      </c>
      <c r="D244" t="s">
        <v>29</v>
      </c>
      <c r="E244" t="s">
        <v>30</v>
      </c>
      <c r="F244">
        <f t="shared" ca="1" si="3"/>
        <v>32</v>
      </c>
      <c r="G244" s="16" t="s">
        <v>51</v>
      </c>
      <c r="H244" s="11" t="s">
        <v>2221</v>
      </c>
      <c r="I244" t="s">
        <v>193</v>
      </c>
      <c r="J244" t="s">
        <v>307</v>
      </c>
      <c r="K244" t="s">
        <v>119</v>
      </c>
      <c r="L244" t="s">
        <v>120</v>
      </c>
      <c r="M244" t="str">
        <f>VLOOKUP(Requests[[#This Row],[Ticket ID]],[2]Requests!$A$2:$D$649,4,FALSE)</f>
        <v>4 - Low</v>
      </c>
      <c r="N244">
        <f>VLOOKUP(Requests[[#This Row],[Priority]],'SLA Config'!$B$3:$C$6,2,FALSE)</f>
        <v>25</v>
      </c>
      <c r="O244" t="str">
        <f ca="1">IF(Requests[[#This Row],[Age (days)]]&gt;Requests[[#This Row],[SLA Threshold]],"Yes","No")</f>
        <v>Yes</v>
      </c>
    </row>
    <row r="245" spans="1:15" hidden="1" x14ac:dyDescent="0.25">
      <c r="A245" s="17" t="s">
        <v>2222</v>
      </c>
      <c r="B245" s="1">
        <v>45323</v>
      </c>
      <c r="C245" s="8">
        <v>45332</v>
      </c>
      <c r="D245" t="s">
        <v>29</v>
      </c>
      <c r="E245" t="s">
        <v>30</v>
      </c>
      <c r="F245">
        <f t="shared" ca="1" si="3"/>
        <v>7</v>
      </c>
      <c r="G245" s="16" t="s">
        <v>51</v>
      </c>
      <c r="H245" s="11" t="s">
        <v>2223</v>
      </c>
      <c r="I245" t="s">
        <v>1321</v>
      </c>
      <c r="J245" t="s">
        <v>1743</v>
      </c>
      <c r="K245" t="s">
        <v>119</v>
      </c>
      <c r="L245" t="s">
        <v>120</v>
      </c>
      <c r="M245" t="str">
        <f>VLOOKUP(Requests[[#This Row],[Ticket ID]],[2]Requests!$A$2:$D$649,4,FALSE)</f>
        <v>4 - Low</v>
      </c>
      <c r="N245">
        <f>VLOOKUP(Requests[[#This Row],[Priority]],'SLA Config'!$B$3:$C$6,2,FALSE)</f>
        <v>25</v>
      </c>
      <c r="O245" t="str">
        <f ca="1">IF(Requests[[#This Row],[Age (days)]]&gt;Requests[[#This Row],[SLA Threshold]],"Yes","No")</f>
        <v>No</v>
      </c>
    </row>
    <row r="246" spans="1:15" hidden="1" x14ac:dyDescent="0.25">
      <c r="A246" s="17" t="s">
        <v>2224</v>
      </c>
      <c r="B246" s="1">
        <v>45327</v>
      </c>
      <c r="C246" s="8">
        <v>45333</v>
      </c>
      <c r="D246" t="s">
        <v>29</v>
      </c>
      <c r="E246" t="s">
        <v>104</v>
      </c>
      <c r="F246">
        <f t="shared" ca="1" si="3"/>
        <v>5</v>
      </c>
      <c r="G246" s="16" t="s">
        <v>51</v>
      </c>
      <c r="H246" s="11" t="s">
        <v>2225</v>
      </c>
      <c r="I246" t="s">
        <v>1321</v>
      </c>
      <c r="J246" t="s">
        <v>1743</v>
      </c>
      <c r="K246" t="s">
        <v>119</v>
      </c>
      <c r="L246" t="s">
        <v>120</v>
      </c>
      <c r="M246" t="str">
        <f>VLOOKUP(Requests[[#This Row],[Ticket ID]],[2]Requests!$A$2:$D$649,4,FALSE)</f>
        <v>4 - Low</v>
      </c>
      <c r="N246">
        <f>VLOOKUP(Requests[[#This Row],[Priority]],'SLA Config'!$B$3:$C$6,2,FALSE)</f>
        <v>25</v>
      </c>
      <c r="O246" t="str">
        <f ca="1">IF(Requests[[#This Row],[Age (days)]]&gt;Requests[[#This Row],[SLA Threshold]],"Yes","No")</f>
        <v>No</v>
      </c>
    </row>
    <row r="247" spans="1:15" hidden="1" x14ac:dyDescent="0.25">
      <c r="A247" s="17" t="s">
        <v>2226</v>
      </c>
      <c r="B247" s="1">
        <v>45328</v>
      </c>
      <c r="C247" s="8">
        <v>45350</v>
      </c>
      <c r="D247" t="s">
        <v>29</v>
      </c>
      <c r="E247" t="s">
        <v>38</v>
      </c>
      <c r="F247">
        <f t="shared" ca="1" si="3"/>
        <v>17</v>
      </c>
      <c r="G247" s="16" t="s">
        <v>51</v>
      </c>
      <c r="H247" s="11" t="s">
        <v>2227</v>
      </c>
      <c r="I247" t="s">
        <v>394</v>
      </c>
      <c r="J247" t="s">
        <v>584</v>
      </c>
      <c r="K247" t="s">
        <v>119</v>
      </c>
      <c r="L247" t="s">
        <v>120</v>
      </c>
      <c r="M247" t="str">
        <f>VLOOKUP(Requests[[#This Row],[Ticket ID]],[2]Requests!$A$2:$D$649,4,FALSE)</f>
        <v>4 - Low</v>
      </c>
      <c r="N247">
        <f>VLOOKUP(Requests[[#This Row],[Priority]],'SLA Config'!$B$3:$C$6,2,FALSE)</f>
        <v>25</v>
      </c>
      <c r="O247" t="str">
        <f ca="1">IF(Requests[[#This Row],[Age (days)]]&gt;Requests[[#This Row],[SLA Threshold]],"Yes","No")</f>
        <v>No</v>
      </c>
    </row>
    <row r="248" spans="1:15" hidden="1" x14ac:dyDescent="0.25">
      <c r="A248" s="17" t="s">
        <v>2228</v>
      </c>
      <c r="B248" s="1">
        <v>45329</v>
      </c>
      <c r="C248" s="8">
        <v>45348</v>
      </c>
      <c r="D248" t="s">
        <v>29</v>
      </c>
      <c r="E248" t="s">
        <v>104</v>
      </c>
      <c r="F248">
        <f t="shared" ca="1" si="3"/>
        <v>14</v>
      </c>
      <c r="G248" s="16" t="s">
        <v>31</v>
      </c>
      <c r="H248" s="11" t="s">
        <v>2229</v>
      </c>
      <c r="I248" t="s">
        <v>193</v>
      </c>
      <c r="J248" t="s">
        <v>307</v>
      </c>
      <c r="K248" t="s">
        <v>207</v>
      </c>
      <c r="L248" t="s">
        <v>71</v>
      </c>
      <c r="M248" t="str">
        <f>VLOOKUP(Requests[[#This Row],[Ticket ID]],[2]Requests!$A$2:$D$649,4,FALSE)</f>
        <v>4 - Low</v>
      </c>
      <c r="N248">
        <f>VLOOKUP(Requests[[#This Row],[Priority]],'SLA Config'!$B$3:$C$6,2,FALSE)</f>
        <v>25</v>
      </c>
      <c r="O248" t="str">
        <f ca="1">IF(Requests[[#This Row],[Age (days)]]&gt;Requests[[#This Row],[SLA Threshold]],"Yes","No")</f>
        <v>No</v>
      </c>
    </row>
    <row r="249" spans="1:15" hidden="1" x14ac:dyDescent="0.25">
      <c r="A249" s="17" t="s">
        <v>2230</v>
      </c>
      <c r="B249" s="1">
        <v>45330</v>
      </c>
      <c r="C249" s="8">
        <v>45405</v>
      </c>
      <c r="D249" t="s">
        <v>29</v>
      </c>
      <c r="E249" t="s">
        <v>104</v>
      </c>
      <c r="F249">
        <f t="shared" ca="1" si="3"/>
        <v>54</v>
      </c>
      <c r="G249" s="16" t="s">
        <v>51</v>
      </c>
      <c r="H249" s="11" t="s">
        <v>2231</v>
      </c>
      <c r="I249" t="s">
        <v>193</v>
      </c>
      <c r="J249" t="s">
        <v>307</v>
      </c>
      <c r="K249" t="s">
        <v>119</v>
      </c>
      <c r="L249" t="s">
        <v>120</v>
      </c>
      <c r="M249" t="str">
        <f>VLOOKUP(Requests[[#This Row],[Ticket ID]],[2]Requests!$A$2:$D$649,4,FALSE)</f>
        <v>4 - Low</v>
      </c>
      <c r="N249">
        <f>VLOOKUP(Requests[[#This Row],[Priority]],'SLA Config'!$B$3:$C$6,2,FALSE)</f>
        <v>25</v>
      </c>
      <c r="O249" t="str">
        <f ca="1">IF(Requests[[#This Row],[Age (days)]]&gt;Requests[[#This Row],[SLA Threshold]],"Yes","No")</f>
        <v>Yes</v>
      </c>
    </row>
    <row r="250" spans="1:15" hidden="1" x14ac:dyDescent="0.25">
      <c r="A250" t="s">
        <v>2232</v>
      </c>
      <c r="B250" s="1">
        <v>45334</v>
      </c>
      <c r="C250" s="8">
        <v>45340</v>
      </c>
      <c r="D250" t="s">
        <v>29</v>
      </c>
      <c r="E250" t="s">
        <v>30</v>
      </c>
      <c r="F250">
        <f t="shared" ca="1" si="3"/>
        <v>5</v>
      </c>
      <c r="G250" t="s">
        <v>31</v>
      </c>
      <c r="H250" s="11" t="s">
        <v>2233</v>
      </c>
      <c r="I250" t="s">
        <v>394</v>
      </c>
      <c r="J250" t="s">
        <v>34</v>
      </c>
      <c r="K250" t="s">
        <v>44</v>
      </c>
      <c r="L250" t="s">
        <v>36</v>
      </c>
      <c r="M250" t="str">
        <f>VLOOKUP(Requests[[#This Row],[Ticket ID]],[2]Requests!$A$2:$D$649,4,FALSE)</f>
        <v>4 - Low</v>
      </c>
      <c r="N250">
        <f>VLOOKUP(Requests[[#This Row],[Priority]],'SLA Config'!$B$3:$C$6,2,FALSE)</f>
        <v>25</v>
      </c>
      <c r="O250" t="str">
        <f ca="1">IF(Requests[[#This Row],[Age (days)]]&gt;Requests[[#This Row],[SLA Threshold]],"Yes","No")</f>
        <v>No</v>
      </c>
    </row>
    <row r="251" spans="1:15" hidden="1" x14ac:dyDescent="0.25">
      <c r="A251" t="s">
        <v>2234</v>
      </c>
      <c r="B251" s="1">
        <v>45334</v>
      </c>
      <c r="C251" s="8">
        <v>45349</v>
      </c>
      <c r="D251" t="s">
        <v>29</v>
      </c>
      <c r="E251" t="s">
        <v>324</v>
      </c>
      <c r="F251">
        <f t="shared" ca="1" si="3"/>
        <v>12</v>
      </c>
      <c r="G251" t="s">
        <v>31</v>
      </c>
      <c r="H251" s="11" t="s">
        <v>2235</v>
      </c>
      <c r="I251" t="s">
        <v>1336</v>
      </c>
      <c r="J251" t="s">
        <v>1405</v>
      </c>
      <c r="K251" t="s">
        <v>1634</v>
      </c>
      <c r="L251" t="s">
        <v>120</v>
      </c>
      <c r="M251" t="str">
        <f>VLOOKUP(Requests[[#This Row],[Ticket ID]],[2]Requests!$A$2:$D$649,4,FALSE)</f>
        <v>4 - Low</v>
      </c>
      <c r="N251">
        <f>VLOOKUP(Requests[[#This Row],[Priority]],'SLA Config'!$B$3:$C$6,2,FALSE)</f>
        <v>25</v>
      </c>
      <c r="O251" t="str">
        <f ca="1">IF(Requests[[#This Row],[Age (days)]]&gt;Requests[[#This Row],[SLA Threshold]],"Yes","No")</f>
        <v>No</v>
      </c>
    </row>
    <row r="252" spans="1:15" hidden="1" x14ac:dyDescent="0.25">
      <c r="A252" t="s">
        <v>2236</v>
      </c>
      <c r="B252" s="1">
        <v>45334</v>
      </c>
      <c r="C252" s="8">
        <v>45343</v>
      </c>
      <c r="D252" t="s">
        <v>29</v>
      </c>
      <c r="E252" t="s">
        <v>324</v>
      </c>
      <c r="F252">
        <f t="shared" ca="1" si="3"/>
        <v>8</v>
      </c>
      <c r="G252" t="s">
        <v>31</v>
      </c>
      <c r="H252" s="11" t="s">
        <v>2237</v>
      </c>
      <c r="I252" t="s">
        <v>1336</v>
      </c>
      <c r="J252" t="s">
        <v>1405</v>
      </c>
      <c r="K252" t="s">
        <v>1631</v>
      </c>
      <c r="L252" t="s">
        <v>120</v>
      </c>
      <c r="M252" t="str">
        <f>VLOOKUP(Requests[[#This Row],[Ticket ID]],[2]Requests!$A$2:$D$649,4,FALSE)</f>
        <v>4 - Low</v>
      </c>
      <c r="N252">
        <f>VLOOKUP(Requests[[#This Row],[Priority]],'SLA Config'!$B$3:$C$6,2,FALSE)</f>
        <v>25</v>
      </c>
      <c r="O252" t="str">
        <f ca="1">IF(Requests[[#This Row],[Age (days)]]&gt;Requests[[#This Row],[SLA Threshold]],"Yes","No")</f>
        <v>No</v>
      </c>
    </row>
    <row r="253" spans="1:15" hidden="1" x14ac:dyDescent="0.25">
      <c r="A253" t="s">
        <v>2238</v>
      </c>
      <c r="B253" s="1">
        <v>45335</v>
      </c>
      <c r="C253" s="8">
        <v>45341</v>
      </c>
      <c r="D253" t="s">
        <v>29</v>
      </c>
      <c r="E253" t="s">
        <v>30</v>
      </c>
      <c r="F253">
        <f t="shared" ca="1" si="3"/>
        <v>5</v>
      </c>
      <c r="G253" t="s">
        <v>51</v>
      </c>
      <c r="H253" s="11" t="s">
        <v>2239</v>
      </c>
      <c r="I253" t="s">
        <v>1321</v>
      </c>
      <c r="J253" t="s">
        <v>1743</v>
      </c>
      <c r="K253" t="s">
        <v>119</v>
      </c>
      <c r="L253" t="s">
        <v>120</v>
      </c>
      <c r="M253" t="str">
        <f>VLOOKUP(Requests[[#This Row],[Ticket ID]],[2]Requests!$A$2:$D$649,4,FALSE)</f>
        <v>4 - Low</v>
      </c>
      <c r="N253">
        <f>VLOOKUP(Requests[[#This Row],[Priority]],'SLA Config'!$B$3:$C$6,2,FALSE)</f>
        <v>25</v>
      </c>
      <c r="O253" t="str">
        <f ca="1">IF(Requests[[#This Row],[Age (days)]]&gt;Requests[[#This Row],[SLA Threshold]],"Yes","No")</f>
        <v>No</v>
      </c>
    </row>
    <row r="254" spans="1:15" hidden="1" x14ac:dyDescent="0.25">
      <c r="A254" t="s">
        <v>2240</v>
      </c>
      <c r="B254" s="1">
        <v>45337</v>
      </c>
      <c r="C254" s="8">
        <v>45350</v>
      </c>
      <c r="D254" t="s">
        <v>29</v>
      </c>
      <c r="E254" t="s">
        <v>38</v>
      </c>
      <c r="F254">
        <f t="shared" ca="1" si="3"/>
        <v>10</v>
      </c>
      <c r="G254" t="s">
        <v>51</v>
      </c>
      <c r="H254" s="11" t="s">
        <v>2003</v>
      </c>
      <c r="I254" t="s">
        <v>394</v>
      </c>
      <c r="J254" t="s">
        <v>584</v>
      </c>
      <c r="K254" t="s">
        <v>119</v>
      </c>
      <c r="L254" t="s">
        <v>120</v>
      </c>
      <c r="M254" t="str">
        <f>VLOOKUP(Requests[[#This Row],[Ticket ID]],[2]Requests!$A$2:$D$649,4,FALSE)</f>
        <v>4 - Low</v>
      </c>
      <c r="N254">
        <f>VLOOKUP(Requests[[#This Row],[Priority]],'SLA Config'!$B$3:$C$6,2,FALSE)</f>
        <v>25</v>
      </c>
      <c r="O254" t="str">
        <f ca="1">IF(Requests[[#This Row],[Age (days)]]&gt;Requests[[#This Row],[SLA Threshold]],"Yes","No")</f>
        <v>No</v>
      </c>
    </row>
    <row r="255" spans="1:15" hidden="1" x14ac:dyDescent="0.25">
      <c r="A255" t="s">
        <v>2241</v>
      </c>
      <c r="B255" s="1">
        <v>45338</v>
      </c>
      <c r="C255" s="8">
        <v>45367</v>
      </c>
      <c r="D255" t="s">
        <v>29</v>
      </c>
      <c r="E255" t="s">
        <v>38</v>
      </c>
      <c r="F255">
        <f t="shared" ca="1" si="3"/>
        <v>21</v>
      </c>
      <c r="G255" t="s">
        <v>31</v>
      </c>
      <c r="H255" s="11" t="s">
        <v>2242</v>
      </c>
      <c r="I255" t="s">
        <v>727</v>
      </c>
      <c r="J255" t="s">
        <v>40</v>
      </c>
      <c r="K255" t="s">
        <v>507</v>
      </c>
      <c r="L255" t="s">
        <v>71</v>
      </c>
      <c r="M255" t="str">
        <f>VLOOKUP(Requests[[#This Row],[Ticket ID]],[2]Requests!$A$2:$D$649,4,FALSE)</f>
        <v>4 - Low</v>
      </c>
      <c r="N255">
        <f>VLOOKUP(Requests[[#This Row],[Priority]],'SLA Config'!$B$3:$C$6,2,FALSE)</f>
        <v>25</v>
      </c>
      <c r="O255" t="str">
        <f ca="1">IF(Requests[[#This Row],[Age (days)]]&gt;Requests[[#This Row],[SLA Threshold]],"Yes","No")</f>
        <v>No</v>
      </c>
    </row>
    <row r="256" spans="1:15" hidden="1" x14ac:dyDescent="0.25">
      <c r="A256" t="s">
        <v>2243</v>
      </c>
      <c r="B256" s="1">
        <v>45342</v>
      </c>
      <c r="C256" s="8">
        <v>45389</v>
      </c>
      <c r="D256" t="s">
        <v>29</v>
      </c>
      <c r="E256" t="s">
        <v>324</v>
      </c>
      <c r="F256">
        <f t="shared" ca="1" si="3"/>
        <v>34</v>
      </c>
      <c r="G256" t="s">
        <v>31</v>
      </c>
      <c r="H256" s="11" t="s">
        <v>2244</v>
      </c>
      <c r="I256" t="s">
        <v>1336</v>
      </c>
      <c r="J256" t="s">
        <v>1405</v>
      </c>
      <c r="K256" t="s">
        <v>44</v>
      </c>
      <c r="L256" t="s">
        <v>36</v>
      </c>
      <c r="M256" t="str">
        <f>VLOOKUP(Requests[[#This Row],[Ticket ID]],[2]Requests!$A$2:$D$649,4,FALSE)</f>
        <v>4 - Low</v>
      </c>
      <c r="N256">
        <f>VLOOKUP(Requests[[#This Row],[Priority]],'SLA Config'!$B$3:$C$6,2,FALSE)</f>
        <v>25</v>
      </c>
      <c r="O256" t="str">
        <f ca="1">IF(Requests[[#This Row],[Age (days)]]&gt;Requests[[#This Row],[SLA Threshold]],"Yes","No")</f>
        <v>Yes</v>
      </c>
    </row>
    <row r="257" spans="1:15" hidden="1" x14ac:dyDescent="0.25">
      <c r="A257" t="s">
        <v>2245</v>
      </c>
      <c r="B257" s="1">
        <v>45343</v>
      </c>
      <c r="C257" s="8">
        <v>45425</v>
      </c>
      <c r="D257" t="s">
        <v>29</v>
      </c>
      <c r="E257" t="s">
        <v>30</v>
      </c>
      <c r="F257">
        <f t="shared" ca="1" si="3"/>
        <v>59</v>
      </c>
      <c r="G257" t="s">
        <v>31</v>
      </c>
      <c r="H257" s="11" t="s">
        <v>2246</v>
      </c>
      <c r="I257" t="s">
        <v>580</v>
      </c>
      <c r="J257" t="s">
        <v>581</v>
      </c>
      <c r="K257" t="s">
        <v>44</v>
      </c>
      <c r="L257" t="s">
        <v>36</v>
      </c>
      <c r="M257" t="str">
        <f>VLOOKUP(Requests[[#This Row],[Ticket ID]],[2]Requests!$A$2:$D$649,4,FALSE)</f>
        <v>4 - Low</v>
      </c>
      <c r="N257">
        <f>VLOOKUP(Requests[[#This Row],[Priority]],'SLA Config'!$B$3:$C$6,2,FALSE)</f>
        <v>25</v>
      </c>
      <c r="O257" t="str">
        <f ca="1">IF(Requests[[#This Row],[Age (days)]]&gt;Requests[[#This Row],[SLA Threshold]],"Yes","No")</f>
        <v>Yes</v>
      </c>
    </row>
    <row r="258" spans="1:15" hidden="1" x14ac:dyDescent="0.25">
      <c r="A258" t="s">
        <v>2247</v>
      </c>
      <c r="B258" s="1">
        <v>45344</v>
      </c>
      <c r="C258" s="8">
        <v>45389</v>
      </c>
      <c r="D258" t="s">
        <v>29</v>
      </c>
      <c r="E258" t="s">
        <v>324</v>
      </c>
      <c r="F258">
        <f t="shared" ref="F258:F265" ca="1" si="4">IF(ISBLANK(C258), NETWORKDAYS(B258,TODAY()), NETWORKDAYS(B258,C258))</f>
        <v>32</v>
      </c>
      <c r="G258" t="s">
        <v>31</v>
      </c>
      <c r="H258" s="11" t="s">
        <v>2244</v>
      </c>
      <c r="I258" t="s">
        <v>1336</v>
      </c>
      <c r="J258" t="s">
        <v>1405</v>
      </c>
      <c r="K258" t="s">
        <v>605</v>
      </c>
      <c r="L258" t="s">
        <v>36</v>
      </c>
      <c r="M258" t="str">
        <f>VLOOKUP(Requests[[#This Row],[Ticket ID]],[2]Requests!$A$2:$D$649,4,FALSE)</f>
        <v>4 - Low</v>
      </c>
      <c r="N258">
        <f>VLOOKUP(Requests[[#This Row],[Priority]],'SLA Config'!$B$3:$C$6,2,FALSE)</f>
        <v>25</v>
      </c>
      <c r="O258" t="str">
        <f ca="1">IF(Requests[[#This Row],[Age (days)]]&gt;Requests[[#This Row],[SLA Threshold]],"Yes","No")</f>
        <v>Yes</v>
      </c>
    </row>
    <row r="259" spans="1:15" hidden="1" x14ac:dyDescent="0.25">
      <c r="A259" t="s">
        <v>2248</v>
      </c>
      <c r="B259" s="1">
        <v>45345</v>
      </c>
      <c r="C259" s="8">
        <v>45411</v>
      </c>
      <c r="D259" t="s">
        <v>29</v>
      </c>
      <c r="E259" t="s">
        <v>38</v>
      </c>
      <c r="F259">
        <f t="shared" ca="1" si="4"/>
        <v>47</v>
      </c>
      <c r="G259" t="s">
        <v>31</v>
      </c>
      <c r="H259" s="11" t="s">
        <v>2249</v>
      </c>
      <c r="I259" t="s">
        <v>589</v>
      </c>
      <c r="J259" t="s">
        <v>1827</v>
      </c>
      <c r="K259" t="s">
        <v>741</v>
      </c>
      <c r="L259" t="s">
        <v>71</v>
      </c>
      <c r="M259" t="str">
        <f>VLOOKUP(Requests[[#This Row],[Ticket ID]],[2]Requests!$A$2:$D$649,4,FALSE)</f>
        <v>4 - Low</v>
      </c>
      <c r="N259">
        <f>VLOOKUP(Requests[[#This Row],[Priority]],'SLA Config'!$B$3:$C$6,2,FALSE)</f>
        <v>25</v>
      </c>
      <c r="O259" t="str">
        <f ca="1">IF(Requests[[#This Row],[Age (days)]]&gt;Requests[[#This Row],[SLA Threshold]],"Yes","No")</f>
        <v>Yes</v>
      </c>
    </row>
    <row r="260" spans="1:15" hidden="1" x14ac:dyDescent="0.25">
      <c r="A260" t="s">
        <v>2250</v>
      </c>
      <c r="B260" s="1">
        <v>45348</v>
      </c>
      <c r="C260" s="8">
        <v>45430</v>
      </c>
      <c r="D260" t="s">
        <v>29</v>
      </c>
      <c r="E260" t="s">
        <v>30</v>
      </c>
      <c r="F260">
        <f t="shared" ca="1" si="4"/>
        <v>60</v>
      </c>
      <c r="G260" t="s">
        <v>51</v>
      </c>
      <c r="H260" s="11" t="s">
        <v>2251</v>
      </c>
      <c r="I260" t="s">
        <v>1321</v>
      </c>
      <c r="J260" t="s">
        <v>1743</v>
      </c>
      <c r="K260" t="s">
        <v>119</v>
      </c>
      <c r="L260" t="s">
        <v>120</v>
      </c>
      <c r="M260" t="str">
        <f>VLOOKUP(Requests[[#This Row],[Ticket ID]],[2]Requests!$A$2:$D$649,4,FALSE)</f>
        <v>4 - Low</v>
      </c>
      <c r="N260">
        <f>VLOOKUP(Requests[[#This Row],[Priority]],'SLA Config'!$B$3:$C$6,2,FALSE)</f>
        <v>25</v>
      </c>
      <c r="O260" t="str">
        <f ca="1">IF(Requests[[#This Row],[Age (days)]]&gt;Requests[[#This Row],[SLA Threshold]],"Yes","No")</f>
        <v>Yes</v>
      </c>
    </row>
    <row r="261" spans="1:15" hidden="1" x14ac:dyDescent="0.25">
      <c r="A261" t="s">
        <v>2252</v>
      </c>
      <c r="B261" s="1">
        <v>45349</v>
      </c>
      <c r="C261" s="8">
        <v>45360</v>
      </c>
      <c r="D261" t="s">
        <v>29</v>
      </c>
      <c r="E261" t="s">
        <v>324</v>
      </c>
      <c r="F261">
        <f t="shared" ca="1" si="4"/>
        <v>9</v>
      </c>
      <c r="G261" t="s">
        <v>51</v>
      </c>
      <c r="H261" s="11" t="s">
        <v>1716</v>
      </c>
      <c r="I261" t="s">
        <v>1336</v>
      </c>
      <c r="J261" t="s">
        <v>1717</v>
      </c>
      <c r="K261" t="s">
        <v>119</v>
      </c>
      <c r="L261" t="s">
        <v>120</v>
      </c>
      <c r="M261" t="str">
        <f>VLOOKUP(Requests[[#This Row],[Ticket ID]],[2]Requests!$A$2:$D$649,4,FALSE)</f>
        <v>4 - Low</v>
      </c>
      <c r="N261">
        <f>VLOOKUP(Requests[[#This Row],[Priority]],'SLA Config'!$B$3:$C$6,2,FALSE)</f>
        <v>25</v>
      </c>
      <c r="O261" t="str">
        <f ca="1">IF(Requests[[#This Row],[Age (days)]]&gt;Requests[[#This Row],[SLA Threshold]],"Yes","No")</f>
        <v>No</v>
      </c>
    </row>
    <row r="262" spans="1:15" hidden="1" x14ac:dyDescent="0.25">
      <c r="A262" t="s">
        <v>2253</v>
      </c>
      <c r="B262" s="1">
        <v>45351</v>
      </c>
      <c r="C262" s="8">
        <v>45395</v>
      </c>
      <c r="D262" t="s">
        <v>29</v>
      </c>
      <c r="E262" t="s">
        <v>38</v>
      </c>
      <c r="F262">
        <f t="shared" ca="1" si="4"/>
        <v>32</v>
      </c>
      <c r="G262" t="s">
        <v>31</v>
      </c>
      <c r="H262" s="11" t="s">
        <v>2254</v>
      </c>
      <c r="I262" t="s">
        <v>1327</v>
      </c>
      <c r="J262" t="s">
        <v>34</v>
      </c>
      <c r="K262" t="s">
        <v>44</v>
      </c>
      <c r="L262" t="s">
        <v>36</v>
      </c>
      <c r="M262" t="str">
        <f>VLOOKUP(Requests[[#This Row],[Ticket ID]],[2]Requests!$A$2:$D$649,4,FALSE)</f>
        <v>4 - Low</v>
      </c>
      <c r="N262">
        <f>VLOOKUP(Requests[[#This Row],[Priority]],'SLA Config'!$B$3:$C$6,2,FALSE)</f>
        <v>25</v>
      </c>
      <c r="O262" t="str">
        <f ca="1">IF(Requests[[#This Row],[Age (days)]]&gt;Requests[[#This Row],[SLA Threshold]],"Yes","No")</f>
        <v>Yes</v>
      </c>
    </row>
    <row r="263" spans="1:15" hidden="1" x14ac:dyDescent="0.25">
      <c r="A263" t="s">
        <v>2255</v>
      </c>
      <c r="B263" s="1">
        <v>45351</v>
      </c>
      <c r="C263" s="8">
        <v>45370</v>
      </c>
      <c r="D263" t="s">
        <v>29</v>
      </c>
      <c r="E263" t="s">
        <v>38</v>
      </c>
      <c r="F263">
        <f t="shared" ca="1" si="4"/>
        <v>14</v>
      </c>
      <c r="G263" t="s">
        <v>51</v>
      </c>
      <c r="H263" s="11" t="s">
        <v>2256</v>
      </c>
      <c r="I263" t="s">
        <v>394</v>
      </c>
      <c r="J263" t="s">
        <v>584</v>
      </c>
      <c r="K263" t="s">
        <v>119</v>
      </c>
      <c r="L263" t="s">
        <v>120</v>
      </c>
      <c r="M263" t="str">
        <f>VLOOKUP(Requests[[#This Row],[Ticket ID]],[2]Requests!$A$2:$D$649,4,FALSE)</f>
        <v>4 - Low</v>
      </c>
      <c r="N263">
        <f>VLOOKUP(Requests[[#This Row],[Priority]],'SLA Config'!$B$3:$C$6,2,FALSE)</f>
        <v>25</v>
      </c>
      <c r="O263" t="str">
        <f ca="1">IF(Requests[[#This Row],[Age (days)]]&gt;Requests[[#This Row],[SLA Threshold]],"Yes","No")</f>
        <v>No</v>
      </c>
    </row>
    <row r="264" spans="1:15" hidden="1" x14ac:dyDescent="0.25">
      <c r="A264" t="s">
        <v>2257</v>
      </c>
      <c r="B264" s="1">
        <v>45352</v>
      </c>
      <c r="C264" s="8">
        <v>45383</v>
      </c>
      <c r="D264" t="s">
        <v>29</v>
      </c>
      <c r="E264" t="s">
        <v>38</v>
      </c>
      <c r="F264">
        <f t="shared" ca="1" si="4"/>
        <v>22</v>
      </c>
      <c r="G264" t="s">
        <v>31</v>
      </c>
      <c r="H264" s="11" t="s">
        <v>2258</v>
      </c>
      <c r="I264" t="s">
        <v>394</v>
      </c>
      <c r="J264" t="s">
        <v>40</v>
      </c>
      <c r="K264" t="s">
        <v>231</v>
      </c>
      <c r="L264" t="s">
        <v>120</v>
      </c>
      <c r="M264" t="str">
        <f>VLOOKUP(Requests[[#This Row],[Ticket ID]],[2]Requests!$A$2:$D$649,4,FALSE)</f>
        <v>4 - Low</v>
      </c>
      <c r="N264">
        <f>VLOOKUP(Requests[[#This Row],[Priority]],'SLA Config'!$B$3:$C$6,2,FALSE)</f>
        <v>25</v>
      </c>
      <c r="O264" t="str">
        <f ca="1">IF(Requests[[#This Row],[Age (days)]]&gt;Requests[[#This Row],[SLA Threshold]],"Yes","No")</f>
        <v>No</v>
      </c>
    </row>
    <row r="265" spans="1:15" hidden="1" x14ac:dyDescent="0.25">
      <c r="A265" t="s">
        <v>2259</v>
      </c>
      <c r="B265" s="1">
        <v>45352</v>
      </c>
      <c r="C265" s="8">
        <v>45367</v>
      </c>
      <c r="D265" t="s">
        <v>29</v>
      </c>
      <c r="E265" t="s">
        <v>104</v>
      </c>
      <c r="F265">
        <f t="shared" ca="1" si="4"/>
        <v>11</v>
      </c>
      <c r="G265" t="s">
        <v>31</v>
      </c>
      <c r="H265" s="11" t="s">
        <v>2260</v>
      </c>
      <c r="I265" t="s">
        <v>193</v>
      </c>
      <c r="J265" t="s">
        <v>1966</v>
      </c>
      <c r="K265" t="s">
        <v>621</v>
      </c>
      <c r="L265" t="s">
        <v>71</v>
      </c>
      <c r="M265" t="str">
        <f>VLOOKUP(Requests[[#This Row],[Ticket ID]],[2]Requests!$A$2:$D$649,4,FALSE)</f>
        <v>4 - Low</v>
      </c>
      <c r="N265">
        <f>VLOOKUP(Requests[[#This Row],[Priority]],'SLA Config'!$B$3:$C$6,2,FALSE)</f>
        <v>25</v>
      </c>
      <c r="O265" t="str">
        <f ca="1">IF(Requests[[#This Row],[Age (days)]]&gt;Requests[[#This Row],[SLA Threshold]],"Yes","No")</f>
        <v>No</v>
      </c>
    </row>
    <row r="266" spans="1:15" hidden="1" x14ac:dyDescent="0.25">
      <c r="A266" t="s">
        <v>2261</v>
      </c>
      <c r="B266" s="1">
        <v>45359</v>
      </c>
      <c r="C266" s="8">
        <v>45370</v>
      </c>
      <c r="D266" t="s">
        <v>29</v>
      </c>
      <c r="E266" t="s">
        <v>324</v>
      </c>
      <c r="F266">
        <f t="shared" ref="F266:F277" ca="1" si="5">IF(ISBLANK(C266), NETWORKDAYS(B266,TODAY()), NETWORKDAYS(B266,C266))</f>
        <v>8</v>
      </c>
      <c r="G266" t="s">
        <v>31</v>
      </c>
      <c r="H266" t="s">
        <v>2262</v>
      </c>
      <c r="I266" t="s">
        <v>1336</v>
      </c>
      <c r="J266" t="s">
        <v>1827</v>
      </c>
      <c r="K266" t="s">
        <v>2172</v>
      </c>
      <c r="L266" t="s">
        <v>71</v>
      </c>
      <c r="M266" t="str">
        <f>VLOOKUP(Requests[[#This Row],[Ticket ID]],[2]Requests!$A$2:$D$649,4,FALSE)</f>
        <v>4 - Low</v>
      </c>
      <c r="N266">
        <f>VLOOKUP(Requests[[#This Row],[Priority]],'SLA Config'!$B$3:$C$6,2,FALSE)</f>
        <v>25</v>
      </c>
      <c r="O266" t="str">
        <f ca="1">IF(Requests[[#This Row],[Age (days)]]&gt;Requests[[#This Row],[SLA Threshold]],"Yes","No")</f>
        <v>No</v>
      </c>
    </row>
    <row r="267" spans="1:15" hidden="1" x14ac:dyDescent="0.25">
      <c r="A267" t="s">
        <v>2263</v>
      </c>
      <c r="B267" s="1">
        <v>45359</v>
      </c>
      <c r="C267" s="8">
        <v>45370</v>
      </c>
      <c r="D267" t="s">
        <v>29</v>
      </c>
      <c r="E267" t="s">
        <v>324</v>
      </c>
      <c r="F267">
        <f t="shared" ca="1" si="5"/>
        <v>8</v>
      </c>
      <c r="G267" t="s">
        <v>31</v>
      </c>
      <c r="H267" t="s">
        <v>2262</v>
      </c>
      <c r="I267" t="s">
        <v>1336</v>
      </c>
      <c r="J267" t="s">
        <v>1827</v>
      </c>
      <c r="K267" t="s">
        <v>1644</v>
      </c>
      <c r="L267" t="s">
        <v>71</v>
      </c>
      <c r="M267" t="str">
        <f>VLOOKUP(Requests[[#This Row],[Ticket ID]],[2]Requests!$A$2:$D$649,4,FALSE)</f>
        <v>4 - Low</v>
      </c>
      <c r="N267">
        <f>VLOOKUP(Requests[[#This Row],[Priority]],'SLA Config'!$B$3:$C$6,2,FALSE)</f>
        <v>25</v>
      </c>
      <c r="O267" t="str">
        <f ca="1">IF(Requests[[#This Row],[Age (days)]]&gt;Requests[[#This Row],[SLA Threshold]],"Yes","No")</f>
        <v>No</v>
      </c>
    </row>
    <row r="268" spans="1:15" hidden="1" x14ac:dyDescent="0.25">
      <c r="A268" t="s">
        <v>2264</v>
      </c>
      <c r="B268" s="1">
        <v>45359</v>
      </c>
      <c r="C268" s="8">
        <v>45402</v>
      </c>
      <c r="D268" t="s">
        <v>29</v>
      </c>
      <c r="E268" t="s">
        <v>38</v>
      </c>
      <c r="F268">
        <f t="shared" ca="1" si="5"/>
        <v>31</v>
      </c>
      <c r="G268" t="s">
        <v>51</v>
      </c>
      <c r="H268" t="s">
        <v>2265</v>
      </c>
      <c r="I268" t="s">
        <v>394</v>
      </c>
      <c r="J268" t="s">
        <v>584</v>
      </c>
      <c r="K268" t="s">
        <v>119</v>
      </c>
      <c r="L268" t="s">
        <v>120</v>
      </c>
      <c r="M268" t="str">
        <f>VLOOKUP(Requests[[#This Row],[Ticket ID]],[2]Requests!$A$2:$D$649,4,FALSE)</f>
        <v>4 - Low</v>
      </c>
      <c r="N268">
        <f>VLOOKUP(Requests[[#This Row],[Priority]],'SLA Config'!$B$3:$C$6,2,FALSE)</f>
        <v>25</v>
      </c>
      <c r="O268" t="str">
        <f ca="1">IF(Requests[[#This Row],[Age (days)]]&gt;Requests[[#This Row],[SLA Threshold]],"Yes","No")</f>
        <v>Yes</v>
      </c>
    </row>
    <row r="269" spans="1:15" hidden="1" x14ac:dyDescent="0.25">
      <c r="A269" t="s">
        <v>2266</v>
      </c>
      <c r="B269" s="1">
        <v>45364</v>
      </c>
      <c r="C269" s="8">
        <v>45375</v>
      </c>
      <c r="D269" t="s">
        <v>29</v>
      </c>
      <c r="E269" t="s">
        <v>38</v>
      </c>
      <c r="F269">
        <f t="shared" ca="1" si="5"/>
        <v>8</v>
      </c>
      <c r="G269" t="s">
        <v>51</v>
      </c>
      <c r="H269" t="s">
        <v>2267</v>
      </c>
      <c r="I269" t="s">
        <v>589</v>
      </c>
      <c r="J269" t="s">
        <v>40</v>
      </c>
      <c r="K269" t="s">
        <v>119</v>
      </c>
      <c r="L269" t="s">
        <v>120</v>
      </c>
      <c r="M269" t="str">
        <f>VLOOKUP(Requests[[#This Row],[Ticket ID]],[2]Requests!$A$2:$D$649,4,FALSE)</f>
        <v>4 - Low</v>
      </c>
      <c r="N269">
        <f>VLOOKUP(Requests[[#This Row],[Priority]],'SLA Config'!$B$3:$C$6,2,FALSE)</f>
        <v>25</v>
      </c>
      <c r="O269" t="str">
        <f ca="1">IF(Requests[[#This Row],[Age (days)]]&gt;Requests[[#This Row],[SLA Threshold]],"Yes","No")</f>
        <v>No</v>
      </c>
    </row>
    <row r="270" spans="1:15" hidden="1" x14ac:dyDescent="0.25">
      <c r="A270" t="s">
        <v>2268</v>
      </c>
      <c r="B270" s="1">
        <v>45364</v>
      </c>
      <c r="C270" s="8">
        <v>45425</v>
      </c>
      <c r="D270" t="s">
        <v>29</v>
      </c>
      <c r="E270" t="s">
        <v>104</v>
      </c>
      <c r="F270">
        <f t="shared" ca="1" si="5"/>
        <v>44</v>
      </c>
      <c r="G270" t="s">
        <v>31</v>
      </c>
      <c r="H270" t="s">
        <v>2269</v>
      </c>
      <c r="I270" t="s">
        <v>193</v>
      </c>
      <c r="J270" t="s">
        <v>1966</v>
      </c>
      <c r="K270" t="s">
        <v>621</v>
      </c>
      <c r="L270" t="s">
        <v>427</v>
      </c>
      <c r="M270" t="str">
        <f>VLOOKUP(Requests[[#This Row],[Ticket ID]],[2]Requests!$A$2:$D$649,4,FALSE)</f>
        <v>4 - Low</v>
      </c>
      <c r="N270">
        <f>VLOOKUP(Requests[[#This Row],[Priority]],'SLA Config'!$B$3:$C$6,2,FALSE)</f>
        <v>25</v>
      </c>
      <c r="O270" t="str">
        <f ca="1">IF(Requests[[#This Row],[Age (days)]]&gt;Requests[[#This Row],[SLA Threshold]],"Yes","No")</f>
        <v>Yes</v>
      </c>
    </row>
    <row r="271" spans="1:15" hidden="1" x14ac:dyDescent="0.25">
      <c r="A271" t="s">
        <v>2270</v>
      </c>
      <c r="B271" s="1">
        <v>45365</v>
      </c>
      <c r="C271" s="8">
        <v>45370</v>
      </c>
      <c r="D271" t="s">
        <v>29</v>
      </c>
      <c r="E271" t="s">
        <v>38</v>
      </c>
      <c r="F271">
        <f t="shared" ca="1" si="5"/>
        <v>4</v>
      </c>
      <c r="G271" t="s">
        <v>51</v>
      </c>
      <c r="H271" t="s">
        <v>2271</v>
      </c>
      <c r="I271" t="s">
        <v>193</v>
      </c>
      <c r="J271" t="s">
        <v>1966</v>
      </c>
      <c r="K271" t="s">
        <v>119</v>
      </c>
      <c r="L271" t="s">
        <v>120</v>
      </c>
      <c r="M271" t="str">
        <f>VLOOKUP(Requests[[#This Row],[Ticket ID]],[2]Requests!$A$2:$D$649,4,FALSE)</f>
        <v>4 - Low</v>
      </c>
      <c r="N271">
        <f>VLOOKUP(Requests[[#This Row],[Priority]],'SLA Config'!$B$3:$C$6,2,FALSE)</f>
        <v>25</v>
      </c>
      <c r="O271" t="str">
        <f ca="1">IF(Requests[[#This Row],[Age (days)]]&gt;Requests[[#This Row],[SLA Threshold]],"Yes","No")</f>
        <v>No</v>
      </c>
    </row>
    <row r="272" spans="1:15" hidden="1" x14ac:dyDescent="0.25">
      <c r="A272" t="s">
        <v>2272</v>
      </c>
      <c r="B272" s="1">
        <v>45365</v>
      </c>
      <c r="C272" s="8">
        <v>45385</v>
      </c>
      <c r="D272" t="s">
        <v>29</v>
      </c>
      <c r="E272" t="s">
        <v>38</v>
      </c>
      <c r="F272">
        <f t="shared" ca="1" si="5"/>
        <v>15</v>
      </c>
      <c r="G272" t="s">
        <v>51</v>
      </c>
      <c r="H272" t="s">
        <v>2273</v>
      </c>
      <c r="I272" t="s">
        <v>1336</v>
      </c>
      <c r="J272" t="s">
        <v>304</v>
      </c>
      <c r="K272" t="s">
        <v>119</v>
      </c>
      <c r="L272" t="s">
        <v>120</v>
      </c>
      <c r="M272" t="str">
        <f>VLOOKUP(Requests[[#This Row],[Ticket ID]],[2]Requests!$A$2:$D$649,4,FALSE)</f>
        <v>4 - Low</v>
      </c>
      <c r="N272">
        <f>VLOOKUP(Requests[[#This Row],[Priority]],'SLA Config'!$B$3:$C$6,2,FALSE)</f>
        <v>25</v>
      </c>
      <c r="O272" t="str">
        <f ca="1">IF(Requests[[#This Row],[Age (days)]]&gt;Requests[[#This Row],[SLA Threshold]],"Yes","No")</f>
        <v>No</v>
      </c>
    </row>
    <row r="273" spans="1:15" hidden="1" x14ac:dyDescent="0.25">
      <c r="A273" t="s">
        <v>2274</v>
      </c>
      <c r="B273" s="1">
        <v>45366</v>
      </c>
      <c r="C273" s="8">
        <v>45447</v>
      </c>
      <c r="D273" t="s">
        <v>29</v>
      </c>
      <c r="E273" t="s">
        <v>104</v>
      </c>
      <c r="F273">
        <f t="shared" ca="1" si="5"/>
        <v>58</v>
      </c>
      <c r="G273" t="s">
        <v>31</v>
      </c>
      <c r="H273" t="s">
        <v>2275</v>
      </c>
      <c r="I273" t="s">
        <v>394</v>
      </c>
      <c r="J273" t="s">
        <v>584</v>
      </c>
      <c r="K273" t="s">
        <v>201</v>
      </c>
      <c r="L273" t="s">
        <v>120</v>
      </c>
      <c r="M273" t="str">
        <f>VLOOKUP(Requests[[#This Row],[Ticket ID]],[2]Requests!$A$2:$D$649,4,FALSE)</f>
        <v>4 - Low</v>
      </c>
      <c r="N273">
        <f>VLOOKUP(Requests[[#This Row],[Priority]],'SLA Config'!$B$3:$C$6,2,FALSE)</f>
        <v>25</v>
      </c>
      <c r="O273" t="str">
        <f ca="1">IF(Requests[[#This Row],[Age (days)]]&gt;Requests[[#This Row],[SLA Threshold]],"Yes","No")</f>
        <v>Yes</v>
      </c>
    </row>
    <row r="274" spans="1:15" hidden="1" x14ac:dyDescent="0.25">
      <c r="A274" t="s">
        <v>2276</v>
      </c>
      <c r="B274" s="1">
        <v>45369</v>
      </c>
      <c r="C274" s="8">
        <v>45382</v>
      </c>
      <c r="D274" t="s">
        <v>29</v>
      </c>
      <c r="E274" t="s">
        <v>324</v>
      </c>
      <c r="F274">
        <f t="shared" ca="1" si="5"/>
        <v>10</v>
      </c>
      <c r="G274" t="s">
        <v>31</v>
      </c>
      <c r="H274" t="s">
        <v>2277</v>
      </c>
      <c r="I274" t="s">
        <v>1336</v>
      </c>
      <c r="J274" t="s">
        <v>1827</v>
      </c>
      <c r="K274" t="s">
        <v>231</v>
      </c>
      <c r="L274" t="s">
        <v>120</v>
      </c>
      <c r="M274" t="str">
        <f>VLOOKUP(Requests[[#This Row],[Ticket ID]],[2]Requests!$A$2:$D$649,4,FALSE)</f>
        <v>4 - Low</v>
      </c>
      <c r="N274">
        <f>VLOOKUP(Requests[[#This Row],[Priority]],'SLA Config'!$B$3:$C$6,2,FALSE)</f>
        <v>25</v>
      </c>
      <c r="O274" t="str">
        <f ca="1">IF(Requests[[#This Row],[Age (days)]]&gt;Requests[[#This Row],[SLA Threshold]],"Yes","No")</f>
        <v>No</v>
      </c>
    </row>
    <row r="275" spans="1:15" hidden="1" x14ac:dyDescent="0.25">
      <c r="A275" t="s">
        <v>2278</v>
      </c>
      <c r="B275" s="1">
        <v>45370</v>
      </c>
      <c r="C275" s="8">
        <v>45378</v>
      </c>
      <c r="D275" t="s">
        <v>29</v>
      </c>
      <c r="E275" t="s">
        <v>104</v>
      </c>
      <c r="F275">
        <f t="shared" ca="1" si="5"/>
        <v>7</v>
      </c>
      <c r="G275" t="s">
        <v>31</v>
      </c>
      <c r="H275" t="s">
        <v>2279</v>
      </c>
      <c r="I275" t="s">
        <v>193</v>
      </c>
      <c r="J275" t="s">
        <v>1966</v>
      </c>
      <c r="K275" t="s">
        <v>572</v>
      </c>
      <c r="L275" t="s">
        <v>427</v>
      </c>
      <c r="M275" t="str">
        <f>VLOOKUP(Requests[[#This Row],[Ticket ID]],[2]Requests!$A$2:$D$649,4,FALSE)</f>
        <v>4 - Low</v>
      </c>
      <c r="N275">
        <f>VLOOKUP(Requests[[#This Row],[Priority]],'SLA Config'!$B$3:$C$6,2,FALSE)</f>
        <v>25</v>
      </c>
      <c r="O275" t="str">
        <f ca="1">IF(Requests[[#This Row],[Age (days)]]&gt;Requests[[#This Row],[SLA Threshold]],"Yes","No")</f>
        <v>No</v>
      </c>
    </row>
    <row r="276" spans="1:15" hidden="1" x14ac:dyDescent="0.25">
      <c r="A276" t="s">
        <v>2280</v>
      </c>
      <c r="B276" s="1">
        <v>45371</v>
      </c>
      <c r="C276" s="8">
        <v>45378</v>
      </c>
      <c r="D276" t="s">
        <v>29</v>
      </c>
      <c r="E276" t="s">
        <v>324</v>
      </c>
      <c r="F276">
        <f t="shared" ca="1" si="5"/>
        <v>6</v>
      </c>
      <c r="G276" t="s">
        <v>31</v>
      </c>
      <c r="H276" t="s">
        <v>2281</v>
      </c>
      <c r="I276" t="s">
        <v>1336</v>
      </c>
      <c r="J276" t="s">
        <v>40</v>
      </c>
      <c r="K276" t="s">
        <v>2194</v>
      </c>
      <c r="L276" t="s">
        <v>120</v>
      </c>
      <c r="M276" t="str">
        <f>VLOOKUP(Requests[[#This Row],[Ticket ID]],[2]Requests!$A$2:$D$649,4,FALSE)</f>
        <v>4 - Low</v>
      </c>
      <c r="N276">
        <f>VLOOKUP(Requests[[#This Row],[Priority]],'SLA Config'!$B$3:$C$6,2,FALSE)</f>
        <v>25</v>
      </c>
      <c r="O276" t="str">
        <f ca="1">IF(Requests[[#This Row],[Age (days)]]&gt;Requests[[#This Row],[SLA Threshold]],"Yes","No")</f>
        <v>No</v>
      </c>
    </row>
    <row r="277" spans="1:15" hidden="1" x14ac:dyDescent="0.25">
      <c r="A277" t="s">
        <v>2282</v>
      </c>
      <c r="B277" s="1">
        <v>45378</v>
      </c>
      <c r="C277" s="8">
        <v>45388</v>
      </c>
      <c r="D277" t="s">
        <v>29</v>
      </c>
      <c r="E277" t="s">
        <v>104</v>
      </c>
      <c r="F277">
        <f t="shared" ca="1" si="5"/>
        <v>8</v>
      </c>
      <c r="G277" t="s">
        <v>31</v>
      </c>
      <c r="H277" t="s">
        <v>2283</v>
      </c>
      <c r="I277" t="s">
        <v>1321</v>
      </c>
      <c r="J277" t="s">
        <v>307</v>
      </c>
      <c r="K277" t="s">
        <v>215</v>
      </c>
      <c r="L277" t="s">
        <v>120</v>
      </c>
      <c r="M277" t="str">
        <f>VLOOKUP(Requests[[#This Row],[Ticket ID]],[2]Requests!$A$2:$D$649,4,FALSE)</f>
        <v>4 - Low</v>
      </c>
      <c r="N277">
        <f>VLOOKUP(Requests[[#This Row],[Priority]],'SLA Config'!$B$3:$C$6,2,FALSE)</f>
        <v>25</v>
      </c>
      <c r="O277" t="str">
        <f ca="1">IF(Requests[[#This Row],[Age (days)]]&gt;Requests[[#This Row],[SLA Threshold]],"Yes","No")</f>
        <v>No</v>
      </c>
    </row>
    <row r="278" spans="1:15" hidden="1" x14ac:dyDescent="0.25">
      <c r="A278" s="17" t="s">
        <v>2284</v>
      </c>
      <c r="B278" s="8">
        <v>45384</v>
      </c>
      <c r="C278" s="8">
        <v>45425</v>
      </c>
      <c r="D278" t="s">
        <v>29</v>
      </c>
      <c r="E278" t="s">
        <v>30</v>
      </c>
      <c r="F278">
        <f t="shared" ref="F278:F295" ca="1" si="6">IF(ISBLANK(C278), NETWORKDAYS(B278,TODAY()), NETWORKDAYS(B278,C278))</f>
        <v>30</v>
      </c>
      <c r="G278" s="16" t="s">
        <v>31</v>
      </c>
      <c r="H278" t="s">
        <v>2285</v>
      </c>
      <c r="I278" t="s">
        <v>193</v>
      </c>
      <c r="J278" t="s">
        <v>1827</v>
      </c>
      <c r="K278" t="s">
        <v>44</v>
      </c>
      <c r="L278" t="s">
        <v>36</v>
      </c>
      <c r="M278" t="str">
        <f>VLOOKUP(Requests[[#This Row],[Ticket ID]],[2]Requests!$A$2:$D$649,4,FALSE)</f>
        <v>4 - Low</v>
      </c>
      <c r="N278">
        <f>VLOOKUP(Requests[[#This Row],[Priority]],'SLA Config'!$B$3:$C$6,2,FALSE)</f>
        <v>25</v>
      </c>
      <c r="O278" t="str">
        <f ca="1">IF(Requests[[#This Row],[Age (days)]]&gt;Requests[[#This Row],[SLA Threshold]],"Yes","No")</f>
        <v>Yes</v>
      </c>
    </row>
    <row r="279" spans="1:15" hidden="1" x14ac:dyDescent="0.25">
      <c r="A279" s="17" t="s">
        <v>2286</v>
      </c>
      <c r="B279" s="8">
        <v>45384</v>
      </c>
      <c r="C279" s="8">
        <v>45495</v>
      </c>
      <c r="D279" t="s">
        <v>29</v>
      </c>
      <c r="E279" t="s">
        <v>104</v>
      </c>
      <c r="F279">
        <f t="shared" ca="1" si="6"/>
        <v>80</v>
      </c>
      <c r="G279" s="16" t="s">
        <v>31</v>
      </c>
      <c r="H279" t="s">
        <v>2287</v>
      </c>
      <c r="I279" t="s">
        <v>1336</v>
      </c>
      <c r="J279" t="s">
        <v>40</v>
      </c>
      <c r="K279" t="s">
        <v>215</v>
      </c>
      <c r="L279" t="s">
        <v>120</v>
      </c>
      <c r="M279" t="str">
        <f>VLOOKUP(Requests[[#This Row],[Ticket ID]],[2]Requests!$A$2:$D$649,4,FALSE)</f>
        <v>4 - Low</v>
      </c>
      <c r="N279">
        <f>VLOOKUP(Requests[[#This Row],[Priority]],'SLA Config'!$B$3:$C$6,2,FALSE)</f>
        <v>25</v>
      </c>
      <c r="O279" t="str">
        <f ca="1">IF(Requests[[#This Row],[Age (days)]]&gt;Requests[[#This Row],[SLA Threshold]],"Yes","No")</f>
        <v>Yes</v>
      </c>
    </row>
    <row r="280" spans="1:15" hidden="1" x14ac:dyDescent="0.25">
      <c r="A280" s="17" t="s">
        <v>2288</v>
      </c>
      <c r="B280" s="8">
        <v>45384</v>
      </c>
      <c r="C280" s="8">
        <v>45402</v>
      </c>
      <c r="D280" t="s">
        <v>29</v>
      </c>
      <c r="E280" s="17" t="s">
        <v>324</v>
      </c>
      <c r="F280">
        <f t="shared" ca="1" si="6"/>
        <v>14</v>
      </c>
      <c r="G280" s="16" t="s">
        <v>31</v>
      </c>
      <c r="H280" s="17" t="s">
        <v>2289</v>
      </c>
      <c r="I280" t="s">
        <v>1336</v>
      </c>
      <c r="J280" t="s">
        <v>1405</v>
      </c>
      <c r="K280" s="17" t="s">
        <v>2290</v>
      </c>
      <c r="L280" t="s">
        <v>36</v>
      </c>
      <c r="M280" t="str">
        <f>VLOOKUP(Requests[[#This Row],[Ticket ID]],[2]Requests!$A$2:$D$649,4,FALSE)</f>
        <v>4 - Low</v>
      </c>
      <c r="N280">
        <f>VLOOKUP(Requests[[#This Row],[Priority]],'SLA Config'!$B$3:$C$6,2,FALSE)</f>
        <v>25</v>
      </c>
      <c r="O280" t="str">
        <f ca="1">IF(Requests[[#This Row],[Age (days)]]&gt;Requests[[#This Row],[SLA Threshold]],"Yes","No")</f>
        <v>No</v>
      </c>
    </row>
    <row r="281" spans="1:15" hidden="1" x14ac:dyDescent="0.25">
      <c r="A281" s="17" t="s">
        <v>2291</v>
      </c>
      <c r="B281" s="8">
        <v>45384</v>
      </c>
      <c r="C281" s="8">
        <v>45397</v>
      </c>
      <c r="D281" t="s">
        <v>29</v>
      </c>
      <c r="E281" t="s">
        <v>324</v>
      </c>
      <c r="F281">
        <f t="shared" ca="1" si="6"/>
        <v>10</v>
      </c>
      <c r="G281" s="16" t="s">
        <v>31</v>
      </c>
      <c r="H281" t="s">
        <v>2292</v>
      </c>
      <c r="I281" t="s">
        <v>1336</v>
      </c>
      <c r="J281" t="s">
        <v>1405</v>
      </c>
      <c r="K281" t="s">
        <v>44</v>
      </c>
      <c r="L281" t="s">
        <v>36</v>
      </c>
      <c r="M281" t="str">
        <f>VLOOKUP(Requests[[#This Row],[Ticket ID]],[2]Requests!$A$2:$D$649,4,FALSE)</f>
        <v>4 - Low</v>
      </c>
      <c r="N281">
        <f>VLOOKUP(Requests[[#This Row],[Priority]],'SLA Config'!$B$3:$C$6,2,FALSE)</f>
        <v>25</v>
      </c>
      <c r="O281" t="str">
        <f ca="1">IF(Requests[[#This Row],[Age (days)]]&gt;Requests[[#This Row],[SLA Threshold]],"Yes","No")</f>
        <v>No</v>
      </c>
    </row>
    <row r="282" spans="1:15" hidden="1" x14ac:dyDescent="0.25">
      <c r="A282" s="17" t="s">
        <v>2293</v>
      </c>
      <c r="B282" s="8">
        <v>45385</v>
      </c>
      <c r="C282" s="8">
        <v>45437</v>
      </c>
      <c r="D282" t="s">
        <v>29</v>
      </c>
      <c r="E282" t="s">
        <v>38</v>
      </c>
      <c r="F282">
        <f t="shared" ca="1" si="6"/>
        <v>38</v>
      </c>
      <c r="G282" s="16" t="s">
        <v>31</v>
      </c>
      <c r="H282" t="s">
        <v>2294</v>
      </c>
      <c r="I282" t="s">
        <v>394</v>
      </c>
      <c r="J282" t="s">
        <v>584</v>
      </c>
      <c r="K282" t="s">
        <v>44</v>
      </c>
      <c r="L282" t="s">
        <v>36</v>
      </c>
      <c r="M282" t="str">
        <f>VLOOKUP(Requests[[#This Row],[Ticket ID]],[2]Requests!$A$2:$D$649,4,FALSE)</f>
        <v>4 - Low</v>
      </c>
      <c r="N282">
        <f>VLOOKUP(Requests[[#This Row],[Priority]],'SLA Config'!$B$3:$C$6,2,FALSE)</f>
        <v>25</v>
      </c>
      <c r="O282" t="str">
        <f ca="1">IF(Requests[[#This Row],[Age (days)]]&gt;Requests[[#This Row],[SLA Threshold]],"Yes","No")</f>
        <v>Yes</v>
      </c>
    </row>
    <row r="283" spans="1:15" hidden="1" x14ac:dyDescent="0.25">
      <c r="A283" s="17" t="s">
        <v>2295</v>
      </c>
      <c r="B283" s="8">
        <v>45390</v>
      </c>
      <c r="C283" s="8">
        <v>45402</v>
      </c>
      <c r="D283" t="s">
        <v>29</v>
      </c>
      <c r="E283" t="s">
        <v>324</v>
      </c>
      <c r="F283">
        <f t="shared" ca="1" si="6"/>
        <v>10</v>
      </c>
      <c r="G283" s="16" t="s">
        <v>31</v>
      </c>
      <c r="H283" t="s">
        <v>2296</v>
      </c>
      <c r="I283" t="s">
        <v>1336</v>
      </c>
      <c r="J283" t="s">
        <v>1405</v>
      </c>
      <c r="K283" t="s">
        <v>2191</v>
      </c>
      <c r="L283" t="s">
        <v>71</v>
      </c>
      <c r="M283" t="str">
        <f>VLOOKUP(Requests[[#This Row],[Ticket ID]],[2]Requests!$A$2:$D$649,4,FALSE)</f>
        <v>4 - Low</v>
      </c>
      <c r="N283">
        <f>VLOOKUP(Requests[[#This Row],[Priority]],'SLA Config'!$B$3:$C$6,2,FALSE)</f>
        <v>25</v>
      </c>
      <c r="O283" t="str">
        <f ca="1">IF(Requests[[#This Row],[Age (days)]]&gt;Requests[[#This Row],[SLA Threshold]],"Yes","No")</f>
        <v>No</v>
      </c>
    </row>
    <row r="284" spans="1:15" hidden="1" x14ac:dyDescent="0.25">
      <c r="A284" s="17" t="s">
        <v>2297</v>
      </c>
      <c r="B284" s="8">
        <v>45394</v>
      </c>
      <c r="C284" s="8">
        <v>45433</v>
      </c>
      <c r="D284" t="s">
        <v>29</v>
      </c>
      <c r="E284" t="s">
        <v>30</v>
      </c>
      <c r="F284">
        <f t="shared" ca="1" si="6"/>
        <v>28</v>
      </c>
      <c r="G284" s="16" t="s">
        <v>31</v>
      </c>
      <c r="H284" t="s">
        <v>2298</v>
      </c>
      <c r="I284" t="s">
        <v>1321</v>
      </c>
      <c r="J284" t="s">
        <v>1690</v>
      </c>
      <c r="K284" t="s">
        <v>201</v>
      </c>
      <c r="L284" t="s">
        <v>120</v>
      </c>
      <c r="M284" t="str">
        <f>VLOOKUP(Requests[[#This Row],[Ticket ID]],[2]Requests!$A$2:$D$649,4,FALSE)</f>
        <v>4 - Low</v>
      </c>
      <c r="N284">
        <f>VLOOKUP(Requests[[#This Row],[Priority]],'SLA Config'!$B$3:$C$6,2,FALSE)</f>
        <v>25</v>
      </c>
      <c r="O284" t="str">
        <f ca="1">IF(Requests[[#This Row],[Age (days)]]&gt;Requests[[#This Row],[SLA Threshold]],"Yes","No")</f>
        <v>Yes</v>
      </c>
    </row>
    <row r="285" spans="1:15" hidden="1" x14ac:dyDescent="0.25">
      <c r="A285" s="17" t="s">
        <v>2299</v>
      </c>
      <c r="B285" s="8">
        <v>45397</v>
      </c>
      <c r="C285" s="8">
        <v>45413</v>
      </c>
      <c r="D285" t="s">
        <v>29</v>
      </c>
      <c r="E285" t="s">
        <v>38</v>
      </c>
      <c r="F285">
        <f t="shared" ca="1" si="6"/>
        <v>13</v>
      </c>
      <c r="G285" s="16" t="s">
        <v>51</v>
      </c>
      <c r="H285" t="s">
        <v>2300</v>
      </c>
      <c r="I285" t="s">
        <v>394</v>
      </c>
      <c r="J285" t="s">
        <v>584</v>
      </c>
      <c r="K285" t="s">
        <v>119</v>
      </c>
      <c r="L285" t="s">
        <v>120</v>
      </c>
      <c r="M285" t="str">
        <f>VLOOKUP(Requests[[#This Row],[Ticket ID]],[2]Requests!$A$2:$D$649,4,FALSE)</f>
        <v>4 - Low</v>
      </c>
      <c r="N285">
        <f>VLOOKUP(Requests[[#This Row],[Priority]],'SLA Config'!$B$3:$C$6,2,FALSE)</f>
        <v>25</v>
      </c>
      <c r="O285" t="str">
        <f ca="1">IF(Requests[[#This Row],[Age (days)]]&gt;Requests[[#This Row],[SLA Threshold]],"Yes","No")</f>
        <v>No</v>
      </c>
    </row>
    <row r="286" spans="1:15" hidden="1" x14ac:dyDescent="0.25">
      <c r="A286" s="17" t="s">
        <v>2301</v>
      </c>
      <c r="B286" s="8">
        <v>45398</v>
      </c>
      <c r="C286" s="8">
        <v>45404</v>
      </c>
      <c r="D286" t="s">
        <v>29</v>
      </c>
      <c r="E286" t="s">
        <v>324</v>
      </c>
      <c r="F286">
        <f t="shared" ca="1" si="6"/>
        <v>5</v>
      </c>
      <c r="G286" s="16" t="s">
        <v>31</v>
      </c>
      <c r="H286" t="s">
        <v>2302</v>
      </c>
      <c r="I286" t="s">
        <v>1336</v>
      </c>
      <c r="J286" t="s">
        <v>1827</v>
      </c>
      <c r="K286" t="s">
        <v>2303</v>
      </c>
      <c r="L286" t="s">
        <v>71</v>
      </c>
      <c r="M286" t="str">
        <f>VLOOKUP(Requests[[#This Row],[Ticket ID]],[2]Requests!$A$2:$D$649,4,FALSE)</f>
        <v>4 - Low</v>
      </c>
      <c r="N286">
        <f>VLOOKUP(Requests[[#This Row],[Priority]],'SLA Config'!$B$3:$C$6,2,FALSE)</f>
        <v>25</v>
      </c>
      <c r="O286" t="str">
        <f ca="1">IF(Requests[[#This Row],[Age (days)]]&gt;Requests[[#This Row],[SLA Threshold]],"Yes","No")</f>
        <v>No</v>
      </c>
    </row>
    <row r="287" spans="1:15" hidden="1" x14ac:dyDescent="0.25">
      <c r="A287" s="17" t="s">
        <v>2304</v>
      </c>
      <c r="B287" s="8">
        <v>45398</v>
      </c>
      <c r="C287" s="8">
        <v>45404</v>
      </c>
      <c r="D287" t="s">
        <v>29</v>
      </c>
      <c r="E287" t="s">
        <v>324</v>
      </c>
      <c r="F287">
        <f t="shared" ca="1" si="6"/>
        <v>5</v>
      </c>
      <c r="G287" s="16" t="s">
        <v>31</v>
      </c>
      <c r="H287" t="s">
        <v>2305</v>
      </c>
      <c r="I287" t="s">
        <v>1336</v>
      </c>
      <c r="J287" t="s">
        <v>304</v>
      </c>
      <c r="K287" t="s">
        <v>418</v>
      </c>
      <c r="L287" t="s">
        <v>71</v>
      </c>
      <c r="M287" t="str">
        <f>VLOOKUP(Requests[[#This Row],[Ticket ID]],[2]Requests!$A$2:$D$649,4,FALSE)</f>
        <v>4 - Low</v>
      </c>
      <c r="N287">
        <f>VLOOKUP(Requests[[#This Row],[Priority]],'SLA Config'!$B$3:$C$6,2,FALSE)</f>
        <v>25</v>
      </c>
      <c r="O287" t="str">
        <f ca="1">IF(Requests[[#This Row],[Age (days)]]&gt;Requests[[#This Row],[SLA Threshold]],"Yes","No")</f>
        <v>No</v>
      </c>
    </row>
    <row r="288" spans="1:15" hidden="1" x14ac:dyDescent="0.25">
      <c r="A288" t="s">
        <v>2306</v>
      </c>
      <c r="B288" s="8">
        <v>45400</v>
      </c>
      <c r="C288" s="8">
        <v>45410</v>
      </c>
      <c r="D288" t="s">
        <v>29</v>
      </c>
      <c r="E288" t="s">
        <v>324</v>
      </c>
      <c r="F288">
        <f t="shared" ca="1" si="6"/>
        <v>7</v>
      </c>
      <c r="G288" s="16" t="s">
        <v>31</v>
      </c>
      <c r="H288" t="s">
        <v>2307</v>
      </c>
      <c r="I288" t="s">
        <v>1336</v>
      </c>
      <c r="J288" t="s">
        <v>40</v>
      </c>
      <c r="K288" t="s">
        <v>1983</v>
      </c>
      <c r="L288" t="s">
        <v>71</v>
      </c>
      <c r="M288" t="str">
        <f>VLOOKUP(Requests[[#This Row],[Ticket ID]],[2]Requests!$A$2:$D$649,4,FALSE)</f>
        <v>4 - Low</v>
      </c>
      <c r="N288">
        <f>VLOOKUP(Requests[[#This Row],[Priority]],'SLA Config'!$B$3:$C$6,2,FALSE)</f>
        <v>25</v>
      </c>
      <c r="O288" t="str">
        <f ca="1">IF(Requests[[#This Row],[Age (days)]]&gt;Requests[[#This Row],[SLA Threshold]],"Yes","No")</f>
        <v>No</v>
      </c>
    </row>
    <row r="289" spans="1:15" hidden="1" x14ac:dyDescent="0.25">
      <c r="A289" t="s">
        <v>2308</v>
      </c>
      <c r="B289" s="8">
        <v>45401</v>
      </c>
      <c r="C289" s="8">
        <v>45434</v>
      </c>
      <c r="D289" t="s">
        <v>29</v>
      </c>
      <c r="E289" t="s">
        <v>324</v>
      </c>
      <c r="F289">
        <f t="shared" ca="1" si="6"/>
        <v>24</v>
      </c>
      <c r="G289" s="16" t="s">
        <v>31</v>
      </c>
      <c r="H289" t="s">
        <v>2309</v>
      </c>
      <c r="I289" t="s">
        <v>1336</v>
      </c>
      <c r="J289" t="s">
        <v>40</v>
      </c>
      <c r="K289" t="s">
        <v>2310</v>
      </c>
      <c r="L289" t="s">
        <v>120</v>
      </c>
      <c r="M289" t="str">
        <f>VLOOKUP(Requests[[#This Row],[Ticket ID]],[2]Requests!$A$2:$D$649,4,FALSE)</f>
        <v>4 - Low</v>
      </c>
      <c r="N289">
        <f>VLOOKUP(Requests[[#This Row],[Priority]],'SLA Config'!$B$3:$C$6,2,FALSE)</f>
        <v>25</v>
      </c>
      <c r="O289" t="str">
        <f ca="1">IF(Requests[[#This Row],[Age (days)]]&gt;Requests[[#This Row],[SLA Threshold]],"Yes","No")</f>
        <v>No</v>
      </c>
    </row>
    <row r="290" spans="1:15" hidden="1" x14ac:dyDescent="0.25">
      <c r="A290" t="s">
        <v>2311</v>
      </c>
      <c r="B290" s="8">
        <v>45405</v>
      </c>
      <c r="C290" s="8">
        <v>45525</v>
      </c>
      <c r="D290" t="s">
        <v>29</v>
      </c>
      <c r="E290" t="s">
        <v>324</v>
      </c>
      <c r="F290">
        <f t="shared" ca="1" si="6"/>
        <v>87</v>
      </c>
      <c r="G290" s="16" t="s">
        <v>51</v>
      </c>
      <c r="H290" t="s">
        <v>2312</v>
      </c>
      <c r="I290" t="s">
        <v>589</v>
      </c>
      <c r="J290" t="s">
        <v>304</v>
      </c>
      <c r="K290" t="s">
        <v>207</v>
      </c>
      <c r="L290" t="s">
        <v>71</v>
      </c>
      <c r="M290" t="str">
        <f>VLOOKUP(Requests[[#This Row],[Ticket ID]],[2]Requests!$A$2:$D$649,4,FALSE)</f>
        <v>4 - Low</v>
      </c>
      <c r="N290">
        <f>VLOOKUP(Requests[[#This Row],[Priority]],'SLA Config'!$B$3:$C$6,2,FALSE)</f>
        <v>25</v>
      </c>
      <c r="O290" t="str">
        <f ca="1">IF(Requests[[#This Row],[Age (days)]]&gt;Requests[[#This Row],[SLA Threshold]],"Yes","No")</f>
        <v>Yes</v>
      </c>
    </row>
    <row r="291" spans="1:15" hidden="1" x14ac:dyDescent="0.25">
      <c r="A291" t="s">
        <v>2313</v>
      </c>
      <c r="B291" s="8">
        <v>45407</v>
      </c>
      <c r="C291" s="8">
        <v>45413</v>
      </c>
      <c r="D291" t="s">
        <v>29</v>
      </c>
      <c r="E291" t="s">
        <v>324</v>
      </c>
      <c r="F291">
        <f t="shared" ca="1" si="6"/>
        <v>5</v>
      </c>
      <c r="G291" s="16" t="s">
        <v>51</v>
      </c>
      <c r="H291" t="s">
        <v>2314</v>
      </c>
      <c r="I291" t="s">
        <v>1336</v>
      </c>
      <c r="J291" t="s">
        <v>304</v>
      </c>
      <c r="K291" t="s">
        <v>2303</v>
      </c>
      <c r="L291" t="s">
        <v>71</v>
      </c>
      <c r="M291" t="str">
        <f>VLOOKUP(Requests[[#This Row],[Ticket ID]],[2]Requests!$A$2:$D$649,4,FALSE)</f>
        <v>4 - Low</v>
      </c>
      <c r="N291">
        <f>VLOOKUP(Requests[[#This Row],[Priority]],'SLA Config'!$B$3:$C$6,2,FALSE)</f>
        <v>25</v>
      </c>
      <c r="O291" t="str">
        <f ca="1">IF(Requests[[#This Row],[Age (days)]]&gt;Requests[[#This Row],[SLA Threshold]],"Yes","No")</f>
        <v>No</v>
      </c>
    </row>
    <row r="292" spans="1:15" hidden="1" x14ac:dyDescent="0.25">
      <c r="A292" t="s">
        <v>2315</v>
      </c>
      <c r="B292" s="8">
        <v>45407</v>
      </c>
      <c r="C292" s="8">
        <v>45434</v>
      </c>
      <c r="D292" t="s">
        <v>29</v>
      </c>
      <c r="E292" t="s">
        <v>324</v>
      </c>
      <c r="F292">
        <f t="shared" ca="1" si="6"/>
        <v>20</v>
      </c>
      <c r="G292" s="16" t="s">
        <v>31</v>
      </c>
      <c r="H292" t="s">
        <v>2316</v>
      </c>
      <c r="I292" t="s">
        <v>1336</v>
      </c>
      <c r="J292" t="s">
        <v>40</v>
      </c>
      <c r="K292" t="s">
        <v>231</v>
      </c>
      <c r="L292" t="s">
        <v>120</v>
      </c>
      <c r="M292" t="str">
        <f>VLOOKUP(Requests[[#This Row],[Ticket ID]],[2]Requests!$A$2:$D$649,4,FALSE)</f>
        <v>4 - Low</v>
      </c>
      <c r="N292">
        <f>VLOOKUP(Requests[[#This Row],[Priority]],'SLA Config'!$B$3:$C$6,2,FALSE)</f>
        <v>25</v>
      </c>
      <c r="O292" t="str">
        <f ca="1">IF(Requests[[#This Row],[Age (days)]]&gt;Requests[[#This Row],[SLA Threshold]],"Yes","No")</f>
        <v>No</v>
      </c>
    </row>
    <row r="293" spans="1:15" hidden="1" x14ac:dyDescent="0.25">
      <c r="A293" t="s">
        <v>2317</v>
      </c>
      <c r="B293" s="8">
        <v>45410</v>
      </c>
      <c r="C293" s="8">
        <v>45416</v>
      </c>
      <c r="D293" t="s">
        <v>29</v>
      </c>
      <c r="E293" t="s">
        <v>104</v>
      </c>
      <c r="F293">
        <f t="shared" ca="1" si="6"/>
        <v>5</v>
      </c>
      <c r="G293" s="16" t="s">
        <v>31</v>
      </c>
      <c r="H293" t="s">
        <v>1692</v>
      </c>
      <c r="I293" t="s">
        <v>1693</v>
      </c>
      <c r="J293" t="s">
        <v>1694</v>
      </c>
      <c r="K293" t="s">
        <v>1695</v>
      </c>
      <c r="L293" t="s">
        <v>71</v>
      </c>
      <c r="M293" t="str">
        <f>VLOOKUP(Requests[[#This Row],[Ticket ID]],[2]Requests!$A$2:$D$649,4,FALSE)</f>
        <v>4 - Low</v>
      </c>
      <c r="N293">
        <f>VLOOKUP(Requests[[#This Row],[Priority]],'SLA Config'!$B$3:$C$6,2,FALSE)</f>
        <v>25</v>
      </c>
      <c r="O293" t="str">
        <f ca="1">IF(Requests[[#This Row],[Age (days)]]&gt;Requests[[#This Row],[SLA Threshold]],"Yes","No")</f>
        <v>No</v>
      </c>
    </row>
    <row r="294" spans="1:15" hidden="1" x14ac:dyDescent="0.25">
      <c r="A294" s="17" t="s">
        <v>2318</v>
      </c>
      <c r="B294" s="8">
        <v>45411</v>
      </c>
      <c r="C294" s="8">
        <v>45424</v>
      </c>
      <c r="D294" t="s">
        <v>29</v>
      </c>
      <c r="E294" s="17" t="s">
        <v>324</v>
      </c>
      <c r="F294">
        <f t="shared" ca="1" si="6"/>
        <v>10</v>
      </c>
      <c r="G294" s="16" t="s">
        <v>31</v>
      </c>
      <c r="H294" s="17" t="s">
        <v>2319</v>
      </c>
      <c r="I294" t="s">
        <v>1336</v>
      </c>
      <c r="J294" t="s">
        <v>1717</v>
      </c>
      <c r="K294" s="17" t="s">
        <v>2320</v>
      </c>
      <c r="L294" t="s">
        <v>120</v>
      </c>
      <c r="M294" t="str">
        <f>VLOOKUP(Requests[[#This Row],[Ticket ID]],[2]Requests!$A$2:$D$649,4,FALSE)</f>
        <v>4 - Low</v>
      </c>
      <c r="N294">
        <f>VLOOKUP(Requests[[#This Row],[Priority]],'SLA Config'!$B$3:$C$6,2,FALSE)</f>
        <v>25</v>
      </c>
      <c r="O294" t="str">
        <f ca="1">IF(Requests[[#This Row],[Age (days)]]&gt;Requests[[#This Row],[SLA Threshold]],"Yes","No")</f>
        <v>No</v>
      </c>
    </row>
    <row r="295" spans="1:15" hidden="1" x14ac:dyDescent="0.25">
      <c r="A295" s="17" t="s">
        <v>2321</v>
      </c>
      <c r="B295" s="8">
        <v>45411</v>
      </c>
      <c r="C295" s="8">
        <v>45417</v>
      </c>
      <c r="D295" t="s">
        <v>29</v>
      </c>
      <c r="E295" s="17" t="s">
        <v>324</v>
      </c>
      <c r="F295">
        <f t="shared" ca="1" si="6"/>
        <v>5</v>
      </c>
      <c r="G295" s="16" t="s">
        <v>31</v>
      </c>
      <c r="H295" s="17" t="s">
        <v>2319</v>
      </c>
      <c r="I295" t="s">
        <v>1336</v>
      </c>
      <c r="J295" t="s">
        <v>1717</v>
      </c>
      <c r="K295" s="17" t="s">
        <v>2320</v>
      </c>
      <c r="L295" t="s">
        <v>120</v>
      </c>
      <c r="M295" t="str">
        <f>VLOOKUP(Requests[[#This Row],[Ticket ID]],[2]Requests!$A$2:$D$649,4,FALSE)</f>
        <v>4 - Low</v>
      </c>
      <c r="N295">
        <f>VLOOKUP(Requests[[#This Row],[Priority]],'SLA Config'!$B$3:$C$6,2,FALSE)</f>
        <v>25</v>
      </c>
      <c r="O295" t="str">
        <f ca="1">IF(Requests[[#This Row],[Age (days)]]&gt;Requests[[#This Row],[SLA Threshold]],"Yes","No")</f>
        <v>No</v>
      </c>
    </row>
    <row r="296" spans="1:15" hidden="1" x14ac:dyDescent="0.25">
      <c r="A296" s="17" t="s">
        <v>2322</v>
      </c>
      <c r="B296" s="8">
        <v>45419</v>
      </c>
      <c r="C296" s="8">
        <v>45426</v>
      </c>
      <c r="D296" t="s">
        <v>29</v>
      </c>
      <c r="E296" t="s">
        <v>324</v>
      </c>
      <c r="F296">
        <f t="shared" ref="F296:F320" ca="1" si="7">IF(ISBLANK(C296), NETWORKDAYS(B296,TODAY()), NETWORKDAYS(B296,C296))</f>
        <v>6</v>
      </c>
      <c r="G296" s="16" t="s">
        <v>31</v>
      </c>
      <c r="H296" t="s">
        <v>2323</v>
      </c>
      <c r="I296" t="s">
        <v>1336</v>
      </c>
      <c r="J296" t="s">
        <v>1705</v>
      </c>
      <c r="K296" t="s">
        <v>236</v>
      </c>
      <c r="L296" t="s">
        <v>36</v>
      </c>
      <c r="M296" t="str">
        <f>VLOOKUP(Requests[[#This Row],[Ticket ID]],[2]Requests!$A$2:$D$649,4,FALSE)</f>
        <v>3 - Medium</v>
      </c>
      <c r="N296">
        <f>VLOOKUP(Requests[[#This Row],[Priority]],'SLA Config'!$B$3:$C$6,2,FALSE)</f>
        <v>15</v>
      </c>
      <c r="O296" t="str">
        <f ca="1">IF(Requests[[#This Row],[Age (days)]]&gt;Requests[[#This Row],[SLA Threshold]],"Yes","No")</f>
        <v>No</v>
      </c>
    </row>
    <row r="297" spans="1:15" hidden="1" x14ac:dyDescent="0.25">
      <c r="A297" s="17" t="s">
        <v>2324</v>
      </c>
      <c r="B297" s="8">
        <v>45420</v>
      </c>
      <c r="C297" s="8">
        <v>45425</v>
      </c>
      <c r="D297" t="s">
        <v>29</v>
      </c>
      <c r="E297" t="s">
        <v>38</v>
      </c>
      <c r="F297">
        <f t="shared" ca="1" si="7"/>
        <v>4</v>
      </c>
      <c r="G297" s="16" t="s">
        <v>31</v>
      </c>
      <c r="H297" t="s">
        <v>2325</v>
      </c>
      <c r="I297" t="s">
        <v>33</v>
      </c>
      <c r="J297" t="s">
        <v>2326</v>
      </c>
      <c r="K297" t="s">
        <v>81</v>
      </c>
      <c r="L297" t="s">
        <v>71</v>
      </c>
      <c r="M297" t="str">
        <f>VLOOKUP(Requests[[#This Row],[Ticket ID]],[2]Requests!$A$2:$D$649,4,FALSE)</f>
        <v>4 - Low</v>
      </c>
      <c r="N297">
        <f>VLOOKUP(Requests[[#This Row],[Priority]],'SLA Config'!$B$3:$C$6,2,FALSE)</f>
        <v>25</v>
      </c>
      <c r="O297" t="str">
        <f ca="1">IF(Requests[[#This Row],[Age (days)]]&gt;Requests[[#This Row],[SLA Threshold]],"Yes","No")</f>
        <v>No</v>
      </c>
    </row>
    <row r="298" spans="1:15" hidden="1" x14ac:dyDescent="0.25">
      <c r="A298" s="17" t="s">
        <v>2327</v>
      </c>
      <c r="B298" s="8">
        <v>45422</v>
      </c>
      <c r="C298" s="8">
        <v>45430</v>
      </c>
      <c r="D298" t="s">
        <v>29</v>
      </c>
      <c r="E298" s="17" t="s">
        <v>30</v>
      </c>
      <c r="F298">
        <f t="shared" ca="1" si="7"/>
        <v>6</v>
      </c>
      <c r="G298" s="16" t="s">
        <v>31</v>
      </c>
      <c r="H298" t="s">
        <v>2328</v>
      </c>
      <c r="I298" t="s">
        <v>33</v>
      </c>
      <c r="J298" t="s">
        <v>2326</v>
      </c>
      <c r="K298" t="s">
        <v>70</v>
      </c>
      <c r="L298" t="s">
        <v>71</v>
      </c>
      <c r="M298" t="str">
        <f>VLOOKUP(Requests[[#This Row],[Ticket ID]],[2]Requests!$A$2:$D$649,4,FALSE)</f>
        <v>4 - Low</v>
      </c>
      <c r="N298">
        <f>VLOOKUP(Requests[[#This Row],[Priority]],'SLA Config'!$B$3:$C$6,2,FALSE)</f>
        <v>25</v>
      </c>
      <c r="O298" t="str">
        <f ca="1">IF(Requests[[#This Row],[Age (days)]]&gt;Requests[[#This Row],[SLA Threshold]],"Yes","No")</f>
        <v>No</v>
      </c>
    </row>
    <row r="299" spans="1:15" hidden="1" x14ac:dyDescent="0.25">
      <c r="A299" s="17" t="s">
        <v>2329</v>
      </c>
      <c r="B299" s="8">
        <v>45425</v>
      </c>
      <c r="C299" s="8">
        <v>45431</v>
      </c>
      <c r="D299" t="s">
        <v>29</v>
      </c>
      <c r="E299" t="s">
        <v>38</v>
      </c>
      <c r="F299">
        <f t="shared" ca="1" si="7"/>
        <v>5</v>
      </c>
      <c r="G299" s="16" t="s">
        <v>31</v>
      </c>
      <c r="H299" t="s">
        <v>2319</v>
      </c>
      <c r="I299" t="s">
        <v>1336</v>
      </c>
      <c r="J299" t="s">
        <v>1717</v>
      </c>
      <c r="K299" t="s">
        <v>2330</v>
      </c>
      <c r="L299" t="s">
        <v>71</v>
      </c>
      <c r="M299" t="str">
        <f>VLOOKUP(Requests[[#This Row],[Ticket ID]],[2]Requests!$A$2:$D$649,4,FALSE)</f>
        <v>4 - Low</v>
      </c>
      <c r="N299">
        <f>VLOOKUP(Requests[[#This Row],[Priority]],'SLA Config'!$B$3:$C$6,2,FALSE)</f>
        <v>25</v>
      </c>
      <c r="O299" t="str">
        <f ca="1">IF(Requests[[#This Row],[Age (days)]]&gt;Requests[[#This Row],[SLA Threshold]],"Yes","No")</f>
        <v>No</v>
      </c>
    </row>
    <row r="300" spans="1:15" hidden="1" x14ac:dyDescent="0.25">
      <c r="A300" s="17" t="s">
        <v>2331</v>
      </c>
      <c r="B300" s="8">
        <v>45425</v>
      </c>
      <c r="C300" s="8">
        <v>45440</v>
      </c>
      <c r="D300" t="s">
        <v>29</v>
      </c>
      <c r="E300" t="s">
        <v>324</v>
      </c>
      <c r="F300">
        <f t="shared" ca="1" si="7"/>
        <v>12</v>
      </c>
      <c r="G300" s="16" t="s">
        <v>31</v>
      </c>
      <c r="H300" t="s">
        <v>2319</v>
      </c>
      <c r="I300" t="s">
        <v>1336</v>
      </c>
      <c r="J300" t="s">
        <v>1717</v>
      </c>
      <c r="K300" t="s">
        <v>2330</v>
      </c>
      <c r="L300" t="s">
        <v>71</v>
      </c>
      <c r="M300" t="str">
        <f>VLOOKUP(Requests[[#This Row],[Ticket ID]],[2]Requests!$A$2:$D$649,4,FALSE)</f>
        <v>4 - Low</v>
      </c>
      <c r="N300">
        <f>VLOOKUP(Requests[[#This Row],[Priority]],'SLA Config'!$B$3:$C$6,2,FALSE)</f>
        <v>25</v>
      </c>
      <c r="O300" t="str">
        <f ca="1">IF(Requests[[#This Row],[Age (days)]]&gt;Requests[[#This Row],[SLA Threshold]],"Yes","No")</f>
        <v>No</v>
      </c>
    </row>
    <row r="301" spans="1:15" hidden="1" x14ac:dyDescent="0.25">
      <c r="A301" s="17" t="s">
        <v>2332</v>
      </c>
      <c r="B301" s="8">
        <v>45426</v>
      </c>
      <c r="C301" s="8">
        <v>45483</v>
      </c>
      <c r="D301" t="s">
        <v>29</v>
      </c>
      <c r="E301" s="17" t="s">
        <v>30</v>
      </c>
      <c r="F301">
        <f t="shared" ca="1" si="7"/>
        <v>42</v>
      </c>
      <c r="G301" s="16" t="s">
        <v>31</v>
      </c>
      <c r="H301" s="17" t="s">
        <v>2333</v>
      </c>
      <c r="I301" t="s">
        <v>394</v>
      </c>
      <c r="J301" t="s">
        <v>584</v>
      </c>
      <c r="K301" s="17" t="s">
        <v>44</v>
      </c>
      <c r="L301" t="s">
        <v>36</v>
      </c>
      <c r="M301" t="str">
        <f>VLOOKUP(Requests[[#This Row],[Ticket ID]],[2]Requests!$A$2:$D$649,4,FALSE)</f>
        <v>4 - Low</v>
      </c>
      <c r="N301">
        <f>VLOOKUP(Requests[[#This Row],[Priority]],'SLA Config'!$B$3:$C$6,2,FALSE)</f>
        <v>25</v>
      </c>
      <c r="O301" t="str">
        <f ca="1">IF(Requests[[#This Row],[Age (days)]]&gt;Requests[[#This Row],[SLA Threshold]],"Yes","No")</f>
        <v>Yes</v>
      </c>
    </row>
    <row r="302" spans="1:15" hidden="1" x14ac:dyDescent="0.25">
      <c r="A302" s="17" t="s">
        <v>2334</v>
      </c>
      <c r="B302" s="8">
        <v>45426</v>
      </c>
      <c r="C302" s="8">
        <v>45432</v>
      </c>
      <c r="D302" t="s">
        <v>29</v>
      </c>
      <c r="E302" t="s">
        <v>324</v>
      </c>
      <c r="F302">
        <f t="shared" ca="1" si="7"/>
        <v>5</v>
      </c>
      <c r="G302" s="16" t="s">
        <v>31</v>
      </c>
      <c r="H302" t="s">
        <v>2319</v>
      </c>
      <c r="I302" t="s">
        <v>1336</v>
      </c>
      <c r="J302" t="s">
        <v>1717</v>
      </c>
      <c r="K302" t="s">
        <v>2083</v>
      </c>
      <c r="L302" t="s">
        <v>71</v>
      </c>
      <c r="M302" t="str">
        <f>VLOOKUP(Requests[[#This Row],[Ticket ID]],[2]Requests!$A$2:$D$649,4,FALSE)</f>
        <v>4 - Low</v>
      </c>
      <c r="N302">
        <f>VLOOKUP(Requests[[#This Row],[Priority]],'SLA Config'!$B$3:$C$6,2,FALSE)</f>
        <v>25</v>
      </c>
      <c r="O302" t="str">
        <f ca="1">IF(Requests[[#This Row],[Age (days)]]&gt;Requests[[#This Row],[SLA Threshold]],"Yes","No")</f>
        <v>No</v>
      </c>
    </row>
    <row r="303" spans="1:15" hidden="1" x14ac:dyDescent="0.25">
      <c r="A303" s="17" t="s">
        <v>2335</v>
      </c>
      <c r="B303" s="8">
        <v>45426</v>
      </c>
      <c r="C303" s="8">
        <v>45439</v>
      </c>
      <c r="D303" t="s">
        <v>29</v>
      </c>
      <c r="E303" t="s">
        <v>324</v>
      </c>
      <c r="F303">
        <f t="shared" ca="1" si="7"/>
        <v>10</v>
      </c>
      <c r="G303" s="16" t="s">
        <v>31</v>
      </c>
      <c r="H303" t="s">
        <v>2319</v>
      </c>
      <c r="I303" t="s">
        <v>1336</v>
      </c>
      <c r="J303" t="s">
        <v>1717</v>
      </c>
      <c r="K303" t="s">
        <v>2083</v>
      </c>
      <c r="L303" t="s">
        <v>71</v>
      </c>
      <c r="M303" t="str">
        <f>VLOOKUP(Requests[[#This Row],[Ticket ID]],[2]Requests!$A$2:$D$649,4,FALSE)</f>
        <v>4 - Low</v>
      </c>
      <c r="N303">
        <f>VLOOKUP(Requests[[#This Row],[Priority]],'SLA Config'!$B$3:$C$6,2,FALSE)</f>
        <v>25</v>
      </c>
      <c r="O303" t="str">
        <f ca="1">IF(Requests[[#This Row],[Age (days)]]&gt;Requests[[#This Row],[SLA Threshold]],"Yes","No")</f>
        <v>No</v>
      </c>
    </row>
    <row r="304" spans="1:15" hidden="1" x14ac:dyDescent="0.25">
      <c r="A304" s="17" t="s">
        <v>2336</v>
      </c>
      <c r="B304" s="8">
        <v>45426</v>
      </c>
      <c r="C304" s="8">
        <v>45438</v>
      </c>
      <c r="D304" t="s">
        <v>29</v>
      </c>
      <c r="E304" t="s">
        <v>324</v>
      </c>
      <c r="F304">
        <f t="shared" ca="1" si="7"/>
        <v>9</v>
      </c>
      <c r="G304" s="16" t="s">
        <v>31</v>
      </c>
      <c r="H304" t="s">
        <v>2319</v>
      </c>
      <c r="I304" t="s">
        <v>1336</v>
      </c>
      <c r="J304" t="s">
        <v>1717</v>
      </c>
      <c r="K304" t="s">
        <v>207</v>
      </c>
      <c r="L304" t="s">
        <v>71</v>
      </c>
      <c r="M304" t="str">
        <f>VLOOKUP(Requests[[#This Row],[Ticket ID]],[2]Requests!$A$2:$D$649,4,FALSE)</f>
        <v>4 - Low</v>
      </c>
      <c r="N304">
        <f>VLOOKUP(Requests[[#This Row],[Priority]],'SLA Config'!$B$3:$C$6,2,FALSE)</f>
        <v>25</v>
      </c>
      <c r="O304" t="str">
        <f ca="1">IF(Requests[[#This Row],[Age (days)]]&gt;Requests[[#This Row],[SLA Threshold]],"Yes","No")</f>
        <v>No</v>
      </c>
    </row>
    <row r="305" spans="1:15" hidden="1" x14ac:dyDescent="0.25">
      <c r="A305" s="17" t="s">
        <v>2337</v>
      </c>
      <c r="B305" s="8">
        <v>45426</v>
      </c>
      <c r="C305" s="8">
        <v>45432</v>
      </c>
      <c r="D305" t="s">
        <v>29</v>
      </c>
      <c r="E305" t="s">
        <v>324</v>
      </c>
      <c r="F305">
        <f t="shared" ca="1" si="7"/>
        <v>5</v>
      </c>
      <c r="G305" s="16" t="s">
        <v>31</v>
      </c>
      <c r="H305" t="s">
        <v>2319</v>
      </c>
      <c r="I305" t="s">
        <v>1336</v>
      </c>
      <c r="J305" t="s">
        <v>1717</v>
      </c>
      <c r="K305" t="s">
        <v>207</v>
      </c>
      <c r="L305" t="s">
        <v>71</v>
      </c>
      <c r="M305" t="str">
        <f>VLOOKUP(Requests[[#This Row],[Ticket ID]],[2]Requests!$A$2:$D$649,4,FALSE)</f>
        <v>4 - Low</v>
      </c>
      <c r="N305">
        <f>VLOOKUP(Requests[[#This Row],[Priority]],'SLA Config'!$B$3:$C$6,2,FALSE)</f>
        <v>25</v>
      </c>
      <c r="O305" t="str">
        <f ca="1">IF(Requests[[#This Row],[Age (days)]]&gt;Requests[[#This Row],[SLA Threshold]],"Yes","No")</f>
        <v>No</v>
      </c>
    </row>
    <row r="306" spans="1:15" hidden="1" x14ac:dyDescent="0.25">
      <c r="A306" s="17" t="s">
        <v>2338</v>
      </c>
      <c r="B306" s="8">
        <v>45427</v>
      </c>
      <c r="C306" s="8">
        <v>45440</v>
      </c>
      <c r="D306" t="s">
        <v>29</v>
      </c>
      <c r="E306" t="s">
        <v>324</v>
      </c>
      <c r="F306">
        <f t="shared" ca="1" si="7"/>
        <v>10</v>
      </c>
      <c r="G306" s="16" t="s">
        <v>31</v>
      </c>
      <c r="H306" t="s">
        <v>2339</v>
      </c>
      <c r="I306" t="s">
        <v>1336</v>
      </c>
      <c r="J306" t="s">
        <v>1405</v>
      </c>
      <c r="K306" t="s">
        <v>207</v>
      </c>
      <c r="L306" t="s">
        <v>71</v>
      </c>
      <c r="M306" t="str">
        <f>VLOOKUP(Requests[[#This Row],[Ticket ID]],[2]Requests!$A$2:$D$649,4,FALSE)</f>
        <v>4 - Low</v>
      </c>
      <c r="N306">
        <f>VLOOKUP(Requests[[#This Row],[Priority]],'SLA Config'!$B$3:$C$6,2,FALSE)</f>
        <v>25</v>
      </c>
      <c r="O306" t="str">
        <f ca="1">IF(Requests[[#This Row],[Age (days)]]&gt;Requests[[#This Row],[SLA Threshold]],"Yes","No")</f>
        <v>No</v>
      </c>
    </row>
    <row r="307" spans="1:15" hidden="1" x14ac:dyDescent="0.25">
      <c r="A307" s="17" t="s">
        <v>2340</v>
      </c>
      <c r="B307" s="8">
        <v>45427</v>
      </c>
      <c r="C307" s="8">
        <v>45432</v>
      </c>
      <c r="D307" t="s">
        <v>29</v>
      </c>
      <c r="E307" s="17" t="s">
        <v>30</v>
      </c>
      <c r="F307">
        <f t="shared" ca="1" si="7"/>
        <v>4</v>
      </c>
      <c r="G307" s="16" t="s">
        <v>31</v>
      </c>
      <c r="H307" s="17" t="s">
        <v>2341</v>
      </c>
      <c r="I307" t="s">
        <v>33</v>
      </c>
      <c r="J307" t="s">
        <v>2326</v>
      </c>
      <c r="K307" s="17" t="s">
        <v>401</v>
      </c>
      <c r="L307" t="s">
        <v>71</v>
      </c>
      <c r="M307" t="str">
        <f>VLOOKUP(Requests[[#This Row],[Ticket ID]],[2]Requests!$A$2:$D$649,4,FALSE)</f>
        <v>4 - Low</v>
      </c>
      <c r="N307">
        <f>VLOOKUP(Requests[[#This Row],[Priority]],'SLA Config'!$B$3:$C$6,2,FALSE)</f>
        <v>25</v>
      </c>
      <c r="O307" t="str">
        <f ca="1">IF(Requests[[#This Row],[Age (days)]]&gt;Requests[[#This Row],[SLA Threshold]],"Yes","No")</f>
        <v>No</v>
      </c>
    </row>
    <row r="308" spans="1:15" hidden="1" x14ac:dyDescent="0.25">
      <c r="A308" s="17" t="s">
        <v>2342</v>
      </c>
      <c r="B308" s="8">
        <v>45427</v>
      </c>
      <c r="C308" s="8">
        <v>45432</v>
      </c>
      <c r="D308" t="s">
        <v>29</v>
      </c>
      <c r="E308" s="17" t="s">
        <v>30</v>
      </c>
      <c r="F308">
        <f t="shared" ca="1" si="7"/>
        <v>4</v>
      </c>
      <c r="G308" s="16" t="s">
        <v>31</v>
      </c>
      <c r="H308" s="17" t="s">
        <v>2341</v>
      </c>
      <c r="I308" t="s">
        <v>33</v>
      </c>
      <c r="J308" t="s">
        <v>2326</v>
      </c>
      <c r="K308" s="17" t="s">
        <v>401</v>
      </c>
      <c r="L308" t="s">
        <v>71</v>
      </c>
      <c r="M308" t="str">
        <f>VLOOKUP(Requests[[#This Row],[Ticket ID]],[2]Requests!$A$2:$D$649,4,FALSE)</f>
        <v>4 - Low</v>
      </c>
      <c r="N308">
        <f>VLOOKUP(Requests[[#This Row],[Priority]],'SLA Config'!$B$3:$C$6,2,FALSE)</f>
        <v>25</v>
      </c>
      <c r="O308" t="str">
        <f ca="1">IF(Requests[[#This Row],[Age (days)]]&gt;Requests[[#This Row],[SLA Threshold]],"Yes","No")</f>
        <v>No</v>
      </c>
    </row>
    <row r="309" spans="1:15" hidden="1" x14ac:dyDescent="0.25">
      <c r="A309" s="17" t="s">
        <v>2343</v>
      </c>
      <c r="B309" s="8">
        <v>45428</v>
      </c>
      <c r="C309" s="8">
        <v>45437</v>
      </c>
      <c r="D309" t="s">
        <v>29</v>
      </c>
      <c r="E309" t="s">
        <v>30</v>
      </c>
      <c r="F309">
        <f t="shared" ca="1" si="7"/>
        <v>7</v>
      </c>
      <c r="G309" s="16" t="s">
        <v>51</v>
      </c>
      <c r="H309" t="s">
        <v>2344</v>
      </c>
      <c r="I309" t="s">
        <v>1321</v>
      </c>
      <c r="J309" t="s">
        <v>307</v>
      </c>
      <c r="K309" t="s">
        <v>119</v>
      </c>
      <c r="L309" t="s">
        <v>120</v>
      </c>
      <c r="M309" t="str">
        <f>VLOOKUP(Requests[[#This Row],[Ticket ID]],[2]Requests!$A$2:$D$649,4,FALSE)</f>
        <v>4 - Low</v>
      </c>
      <c r="N309">
        <f>VLOOKUP(Requests[[#This Row],[Priority]],'SLA Config'!$B$3:$C$6,2,FALSE)</f>
        <v>25</v>
      </c>
      <c r="O309" t="str">
        <f ca="1">IF(Requests[[#This Row],[Age (days)]]&gt;Requests[[#This Row],[SLA Threshold]],"Yes","No")</f>
        <v>No</v>
      </c>
    </row>
    <row r="310" spans="1:15" hidden="1" x14ac:dyDescent="0.25">
      <c r="A310" s="17" t="s">
        <v>2345</v>
      </c>
      <c r="B310" s="8">
        <v>45428</v>
      </c>
      <c r="C310" s="8">
        <v>45439</v>
      </c>
      <c r="D310" t="s">
        <v>29</v>
      </c>
      <c r="E310" t="s">
        <v>30</v>
      </c>
      <c r="F310">
        <f t="shared" ca="1" si="7"/>
        <v>8</v>
      </c>
      <c r="G310" s="16" t="s">
        <v>31</v>
      </c>
      <c r="H310" t="s">
        <v>2319</v>
      </c>
      <c r="I310" t="s">
        <v>1336</v>
      </c>
      <c r="J310" t="s">
        <v>1717</v>
      </c>
      <c r="K310" t="s">
        <v>2346</v>
      </c>
      <c r="L310" t="s">
        <v>71</v>
      </c>
      <c r="M310" t="str">
        <f>VLOOKUP(Requests[[#This Row],[Ticket ID]],[2]Requests!$A$2:$D$649,4,FALSE)</f>
        <v>4 - Low</v>
      </c>
      <c r="N310">
        <f>VLOOKUP(Requests[[#This Row],[Priority]],'SLA Config'!$B$3:$C$6,2,FALSE)</f>
        <v>25</v>
      </c>
      <c r="O310" t="str">
        <f ca="1">IF(Requests[[#This Row],[Age (days)]]&gt;Requests[[#This Row],[SLA Threshold]],"Yes","No")</f>
        <v>No</v>
      </c>
    </row>
    <row r="311" spans="1:15" hidden="1" x14ac:dyDescent="0.25">
      <c r="A311" s="17" t="s">
        <v>2347</v>
      </c>
      <c r="B311" s="8">
        <v>45429</v>
      </c>
      <c r="C311" s="8">
        <v>45439</v>
      </c>
      <c r="D311" t="s">
        <v>29</v>
      </c>
      <c r="E311" t="s">
        <v>38</v>
      </c>
      <c r="F311">
        <f t="shared" ca="1" si="7"/>
        <v>7</v>
      </c>
      <c r="G311" s="16" t="s">
        <v>31</v>
      </c>
      <c r="H311" t="s">
        <v>2348</v>
      </c>
      <c r="I311" t="s">
        <v>1336</v>
      </c>
      <c r="J311" t="s">
        <v>1705</v>
      </c>
      <c r="K311" t="s">
        <v>398</v>
      </c>
      <c r="L311" t="s">
        <v>71</v>
      </c>
      <c r="M311" t="str">
        <f>VLOOKUP(Requests[[#This Row],[Ticket ID]],[2]Requests!$A$2:$D$649,4,FALSE)</f>
        <v>4 - Low</v>
      </c>
      <c r="N311">
        <f>VLOOKUP(Requests[[#This Row],[Priority]],'SLA Config'!$B$3:$C$6,2,FALSE)</f>
        <v>25</v>
      </c>
      <c r="O311" t="str">
        <f ca="1">IF(Requests[[#This Row],[Age (days)]]&gt;Requests[[#This Row],[SLA Threshold]],"Yes","No")</f>
        <v>No</v>
      </c>
    </row>
    <row r="312" spans="1:15" hidden="1" x14ac:dyDescent="0.25">
      <c r="A312" s="17" t="s">
        <v>2349</v>
      </c>
      <c r="B312" s="8">
        <v>45433</v>
      </c>
      <c r="C312" s="8">
        <v>45439</v>
      </c>
      <c r="D312" t="s">
        <v>29</v>
      </c>
      <c r="E312" s="17" t="s">
        <v>30</v>
      </c>
      <c r="F312">
        <f t="shared" ca="1" si="7"/>
        <v>5</v>
      </c>
      <c r="G312" s="16" t="s">
        <v>31</v>
      </c>
      <c r="H312" t="s">
        <v>2341</v>
      </c>
      <c r="I312" t="s">
        <v>33</v>
      </c>
      <c r="J312" t="s">
        <v>2326</v>
      </c>
      <c r="K312" t="s">
        <v>401</v>
      </c>
      <c r="L312" t="s">
        <v>71</v>
      </c>
      <c r="M312" t="str">
        <f>VLOOKUP(Requests[[#This Row],[Ticket ID]],[2]Requests!$A$2:$D$649,4,FALSE)</f>
        <v>4 - Low</v>
      </c>
      <c r="N312">
        <f>VLOOKUP(Requests[[#This Row],[Priority]],'SLA Config'!$B$3:$C$6,2,FALSE)</f>
        <v>25</v>
      </c>
      <c r="O312" t="str">
        <f ca="1">IF(Requests[[#This Row],[Age (days)]]&gt;Requests[[#This Row],[SLA Threshold]],"Yes","No")</f>
        <v>No</v>
      </c>
    </row>
    <row r="313" spans="1:15" hidden="1" x14ac:dyDescent="0.25">
      <c r="A313" t="s">
        <v>2350</v>
      </c>
      <c r="B313" s="8">
        <v>45436</v>
      </c>
      <c r="C313" s="8">
        <v>45591</v>
      </c>
      <c r="D313" t="s">
        <v>29</v>
      </c>
      <c r="E313" t="s">
        <v>38</v>
      </c>
      <c r="F313">
        <f t="shared" ca="1" si="7"/>
        <v>111</v>
      </c>
      <c r="G313" s="16" t="s">
        <v>31</v>
      </c>
      <c r="H313" t="s">
        <v>2351</v>
      </c>
      <c r="I313" t="s">
        <v>394</v>
      </c>
      <c r="J313" t="s">
        <v>34</v>
      </c>
      <c r="K313" t="s">
        <v>207</v>
      </c>
      <c r="L313" t="s">
        <v>71</v>
      </c>
      <c r="M313" t="str">
        <f>VLOOKUP(Requests[[#This Row],[Ticket ID]],[2]Requests!$A$2:$D$649,4,FALSE)</f>
        <v>4 - Low</v>
      </c>
      <c r="N313">
        <f>VLOOKUP(Requests[[#This Row],[Priority]],'SLA Config'!$B$3:$C$6,2,FALSE)</f>
        <v>25</v>
      </c>
      <c r="O313" t="str">
        <f ca="1">IF(Requests[[#This Row],[Age (days)]]&gt;Requests[[#This Row],[SLA Threshold]],"Yes","No")</f>
        <v>Yes</v>
      </c>
    </row>
    <row r="314" spans="1:15" ht="30" hidden="1" x14ac:dyDescent="0.25">
      <c r="A314" t="s">
        <v>2352</v>
      </c>
      <c r="B314" s="8">
        <v>45439</v>
      </c>
      <c r="C314" s="8">
        <v>45448</v>
      </c>
      <c r="D314" t="s">
        <v>29</v>
      </c>
      <c r="E314" t="s">
        <v>324</v>
      </c>
      <c r="F314">
        <f t="shared" ca="1" si="7"/>
        <v>8</v>
      </c>
      <c r="G314" s="16" t="s">
        <v>31</v>
      </c>
      <c r="H314" s="11" t="s">
        <v>2353</v>
      </c>
      <c r="I314" t="s">
        <v>1336</v>
      </c>
      <c r="J314" t="s">
        <v>1705</v>
      </c>
      <c r="K314" t="s">
        <v>207</v>
      </c>
      <c r="L314" t="s">
        <v>71</v>
      </c>
      <c r="M314" t="str">
        <f>VLOOKUP(Requests[[#This Row],[Ticket ID]],[2]Requests!$A$2:$D$649,4,FALSE)</f>
        <v>4 - Low</v>
      </c>
      <c r="N314">
        <f>VLOOKUP(Requests[[#This Row],[Priority]],'SLA Config'!$B$3:$C$6,2,FALSE)</f>
        <v>25</v>
      </c>
      <c r="O314" t="str">
        <f ca="1">IF(Requests[[#This Row],[Age (days)]]&gt;Requests[[#This Row],[SLA Threshold]],"Yes","No")</f>
        <v>No</v>
      </c>
    </row>
    <row r="315" spans="1:15" hidden="1" x14ac:dyDescent="0.25">
      <c r="A315" t="s">
        <v>2354</v>
      </c>
      <c r="B315" s="8">
        <v>45439</v>
      </c>
      <c r="C315" s="8">
        <v>45447</v>
      </c>
      <c r="D315" t="s">
        <v>29</v>
      </c>
      <c r="E315" t="s">
        <v>324</v>
      </c>
      <c r="F315">
        <f t="shared" ca="1" si="7"/>
        <v>7</v>
      </c>
      <c r="G315" s="16" t="s">
        <v>31</v>
      </c>
      <c r="H315" t="s">
        <v>2355</v>
      </c>
      <c r="I315" t="s">
        <v>1336</v>
      </c>
      <c r="J315" t="s">
        <v>1405</v>
      </c>
      <c r="K315" t="s">
        <v>207</v>
      </c>
      <c r="L315" t="s">
        <v>71</v>
      </c>
      <c r="M315" t="str">
        <f>VLOOKUP(Requests[[#This Row],[Ticket ID]],[2]Requests!$A$2:$D$649,4,FALSE)</f>
        <v>4 - Low</v>
      </c>
      <c r="N315">
        <f>VLOOKUP(Requests[[#This Row],[Priority]],'SLA Config'!$B$3:$C$6,2,FALSE)</f>
        <v>25</v>
      </c>
      <c r="O315" t="str">
        <f ca="1">IF(Requests[[#This Row],[Age (days)]]&gt;Requests[[#This Row],[SLA Threshold]],"Yes","No")</f>
        <v>No</v>
      </c>
    </row>
    <row r="316" spans="1:15" hidden="1" x14ac:dyDescent="0.25">
      <c r="A316" t="s">
        <v>2356</v>
      </c>
      <c r="B316" s="8">
        <v>45439</v>
      </c>
      <c r="C316" s="8">
        <v>45445</v>
      </c>
      <c r="D316" t="s">
        <v>29</v>
      </c>
      <c r="E316" t="s">
        <v>324</v>
      </c>
      <c r="F316">
        <f t="shared" ca="1" si="7"/>
        <v>5</v>
      </c>
      <c r="G316" s="16" t="s">
        <v>31</v>
      </c>
      <c r="H316" t="s">
        <v>2357</v>
      </c>
      <c r="I316" t="s">
        <v>1336</v>
      </c>
      <c r="J316" t="s">
        <v>1705</v>
      </c>
      <c r="K316" t="s">
        <v>215</v>
      </c>
      <c r="L316" t="s">
        <v>120</v>
      </c>
      <c r="M316" t="str">
        <f>VLOOKUP(Requests[[#This Row],[Ticket ID]],[2]Requests!$A$2:$D$649,4,FALSE)</f>
        <v>4 - Low</v>
      </c>
      <c r="N316">
        <f>VLOOKUP(Requests[[#This Row],[Priority]],'SLA Config'!$B$3:$C$6,2,FALSE)</f>
        <v>25</v>
      </c>
      <c r="O316" t="str">
        <f ca="1">IF(Requests[[#This Row],[Age (days)]]&gt;Requests[[#This Row],[SLA Threshold]],"Yes","No")</f>
        <v>No</v>
      </c>
    </row>
    <row r="317" spans="1:15" hidden="1" x14ac:dyDescent="0.25">
      <c r="A317" t="s">
        <v>2358</v>
      </c>
      <c r="B317" s="8">
        <v>45441</v>
      </c>
      <c r="C317" s="8">
        <v>45448</v>
      </c>
      <c r="D317" t="s">
        <v>29</v>
      </c>
      <c r="E317" t="s">
        <v>30</v>
      </c>
      <c r="F317">
        <f t="shared" ca="1" si="7"/>
        <v>6</v>
      </c>
      <c r="G317" s="16" t="s">
        <v>31</v>
      </c>
      <c r="H317" t="s">
        <v>2341</v>
      </c>
      <c r="I317" t="s">
        <v>33</v>
      </c>
      <c r="J317" t="s">
        <v>2326</v>
      </c>
      <c r="K317" t="s">
        <v>401</v>
      </c>
      <c r="L317" t="s">
        <v>71</v>
      </c>
      <c r="M317" t="str">
        <f>VLOOKUP(Requests[[#This Row],[Ticket ID]],[2]Requests!$A$2:$D$649,4,FALSE)</f>
        <v>4 - Low</v>
      </c>
      <c r="N317">
        <f>VLOOKUP(Requests[[#This Row],[Priority]],'SLA Config'!$B$3:$C$6,2,FALSE)</f>
        <v>25</v>
      </c>
      <c r="O317" t="str">
        <f ca="1">IF(Requests[[#This Row],[Age (days)]]&gt;Requests[[#This Row],[SLA Threshold]],"Yes","No")</f>
        <v>No</v>
      </c>
    </row>
    <row r="318" spans="1:15" hidden="1" x14ac:dyDescent="0.25">
      <c r="A318" s="17" t="s">
        <v>2359</v>
      </c>
      <c r="B318" s="8">
        <v>45443</v>
      </c>
      <c r="C318" s="8">
        <v>45451</v>
      </c>
      <c r="D318" t="s">
        <v>29</v>
      </c>
      <c r="E318" s="17" t="s">
        <v>30</v>
      </c>
      <c r="F318">
        <f t="shared" ca="1" si="7"/>
        <v>6</v>
      </c>
      <c r="G318" s="16" t="s">
        <v>31</v>
      </c>
      <c r="H318" s="17" t="s">
        <v>2341</v>
      </c>
      <c r="I318" t="s">
        <v>33</v>
      </c>
      <c r="J318" t="s">
        <v>2326</v>
      </c>
      <c r="K318" s="17" t="s">
        <v>401</v>
      </c>
      <c r="L318" t="s">
        <v>71</v>
      </c>
      <c r="M318" t="str">
        <f>VLOOKUP(Requests[[#This Row],[Ticket ID]],[2]Requests!$A$2:$D$649,4,FALSE)</f>
        <v>4 - Low</v>
      </c>
      <c r="N318">
        <f>VLOOKUP(Requests[[#This Row],[Priority]],'SLA Config'!$B$3:$C$6,2,FALSE)</f>
        <v>25</v>
      </c>
      <c r="O318" t="str">
        <f ca="1">IF(Requests[[#This Row],[Age (days)]]&gt;Requests[[#This Row],[SLA Threshold]],"Yes","No")</f>
        <v>No</v>
      </c>
    </row>
    <row r="319" spans="1:15" hidden="1" x14ac:dyDescent="0.25">
      <c r="A319" s="17" t="s">
        <v>2360</v>
      </c>
      <c r="B319" s="8">
        <v>45443</v>
      </c>
      <c r="C319" s="8">
        <v>45455</v>
      </c>
      <c r="D319" t="s">
        <v>29</v>
      </c>
      <c r="E319" t="s">
        <v>104</v>
      </c>
      <c r="F319">
        <f t="shared" ca="1" si="7"/>
        <v>9</v>
      </c>
      <c r="G319" s="16" t="s">
        <v>51</v>
      </c>
      <c r="H319" t="s">
        <v>2361</v>
      </c>
      <c r="I319" t="s">
        <v>1321</v>
      </c>
      <c r="J319" t="s">
        <v>1743</v>
      </c>
      <c r="K319" t="s">
        <v>201</v>
      </c>
      <c r="L319" t="s">
        <v>120</v>
      </c>
      <c r="M319" t="str">
        <f>VLOOKUP(Requests[[#This Row],[Ticket ID]],[2]Requests!$A$2:$D$649,4,FALSE)</f>
        <v>4 - Low</v>
      </c>
      <c r="N319">
        <f>VLOOKUP(Requests[[#This Row],[Priority]],'SLA Config'!$B$3:$C$6,2,FALSE)</f>
        <v>25</v>
      </c>
      <c r="O319" t="str">
        <f ca="1">IF(Requests[[#This Row],[Age (days)]]&gt;Requests[[#This Row],[SLA Threshold]],"Yes","No")</f>
        <v>No</v>
      </c>
    </row>
    <row r="320" spans="1:15" hidden="1" x14ac:dyDescent="0.25">
      <c r="A320" s="17" t="s">
        <v>2362</v>
      </c>
      <c r="B320" s="8">
        <v>45446</v>
      </c>
      <c r="C320" s="8">
        <v>45481</v>
      </c>
      <c r="D320" t="s">
        <v>29</v>
      </c>
      <c r="E320" t="s">
        <v>30</v>
      </c>
      <c r="F320">
        <f t="shared" ca="1" si="7"/>
        <v>26</v>
      </c>
      <c r="G320" s="16" t="s">
        <v>31</v>
      </c>
      <c r="H320" t="s">
        <v>2363</v>
      </c>
      <c r="I320" t="s">
        <v>193</v>
      </c>
      <c r="J320" t="s">
        <v>307</v>
      </c>
      <c r="K320" t="s">
        <v>2364</v>
      </c>
      <c r="L320" t="s">
        <v>71</v>
      </c>
      <c r="M320" t="str">
        <f>VLOOKUP(Requests[[#This Row],[Ticket ID]],[2]Requests!$A$2:$D$649,4,FALSE)</f>
        <v>4 - Low</v>
      </c>
      <c r="N320">
        <f>VLOOKUP(Requests[[#This Row],[Priority]],'SLA Config'!$B$3:$C$6,2,FALSE)</f>
        <v>25</v>
      </c>
      <c r="O320" t="str">
        <f ca="1">IF(Requests[[#This Row],[Age (days)]]&gt;Requests[[#This Row],[SLA Threshold]],"Yes","No")</f>
        <v>Yes</v>
      </c>
    </row>
    <row r="321" spans="1:15" hidden="1" x14ac:dyDescent="0.25">
      <c r="A321" s="17" t="s">
        <v>2365</v>
      </c>
      <c r="B321" s="8">
        <v>45448</v>
      </c>
      <c r="C321" s="8">
        <v>45459</v>
      </c>
      <c r="D321" t="s">
        <v>29</v>
      </c>
      <c r="E321" s="17" t="s">
        <v>324</v>
      </c>
      <c r="F321">
        <f t="shared" ref="F321:F338" ca="1" si="8">IF(ISBLANK(C321), NETWORKDAYS(B321,TODAY()), NETWORKDAYS(B321,C321))</f>
        <v>8</v>
      </c>
      <c r="G321" s="16" t="s">
        <v>31</v>
      </c>
      <c r="H321" t="s">
        <v>2366</v>
      </c>
      <c r="I321" t="s">
        <v>1336</v>
      </c>
      <c r="J321" t="s">
        <v>1405</v>
      </c>
      <c r="K321" t="s">
        <v>2367</v>
      </c>
      <c r="L321" t="s">
        <v>120</v>
      </c>
      <c r="M321" t="str">
        <f>VLOOKUP(Requests[[#This Row],[Ticket ID]],[2]Requests!$A$2:$D$649,4,FALSE)</f>
        <v>4 - Low</v>
      </c>
      <c r="N321">
        <f>VLOOKUP(Requests[[#This Row],[Priority]],'SLA Config'!$B$3:$C$6,2,FALSE)</f>
        <v>25</v>
      </c>
      <c r="O321" t="str">
        <f ca="1">IF(Requests[[#This Row],[Age (days)]]&gt;Requests[[#This Row],[SLA Threshold]],"Yes","No")</f>
        <v>No</v>
      </c>
    </row>
    <row r="322" spans="1:15" hidden="1" x14ac:dyDescent="0.25">
      <c r="A322" s="17" t="s">
        <v>2368</v>
      </c>
      <c r="B322" s="8">
        <v>45449</v>
      </c>
      <c r="C322" s="8">
        <v>45461</v>
      </c>
      <c r="D322" t="s">
        <v>29</v>
      </c>
      <c r="E322" t="s">
        <v>324</v>
      </c>
      <c r="F322">
        <f t="shared" ca="1" si="8"/>
        <v>9</v>
      </c>
      <c r="G322" s="16" t="s">
        <v>31</v>
      </c>
      <c r="H322" t="s">
        <v>2369</v>
      </c>
      <c r="I322" t="s">
        <v>1336</v>
      </c>
      <c r="J322" t="s">
        <v>1405</v>
      </c>
      <c r="K322" t="s">
        <v>215</v>
      </c>
      <c r="L322" t="s">
        <v>120</v>
      </c>
      <c r="M322" t="str">
        <f>VLOOKUP(Requests[[#This Row],[Ticket ID]],[2]Requests!$A$2:$D$649,4,FALSE)</f>
        <v>4 - Low</v>
      </c>
      <c r="N322">
        <f>VLOOKUP(Requests[[#This Row],[Priority]],'SLA Config'!$B$3:$C$6,2,FALSE)</f>
        <v>25</v>
      </c>
      <c r="O322" t="str">
        <f ca="1">IF(Requests[[#This Row],[Age (days)]]&gt;Requests[[#This Row],[SLA Threshold]],"Yes","No")</f>
        <v>No</v>
      </c>
    </row>
    <row r="323" spans="1:15" hidden="1" x14ac:dyDescent="0.25">
      <c r="A323" s="17" t="s">
        <v>2370</v>
      </c>
      <c r="B323" s="8">
        <v>45449</v>
      </c>
      <c r="C323" s="8">
        <v>45460</v>
      </c>
      <c r="D323" t="s">
        <v>29</v>
      </c>
      <c r="E323" t="s">
        <v>324</v>
      </c>
      <c r="F323">
        <f t="shared" ca="1" si="8"/>
        <v>8</v>
      </c>
      <c r="G323" s="16" t="s">
        <v>31</v>
      </c>
      <c r="H323" t="s">
        <v>2371</v>
      </c>
      <c r="I323" t="s">
        <v>1336</v>
      </c>
      <c r="J323" t="s">
        <v>1405</v>
      </c>
      <c r="K323" t="s">
        <v>2372</v>
      </c>
      <c r="L323" t="s">
        <v>120</v>
      </c>
      <c r="M323" t="str">
        <f>VLOOKUP(Requests[[#This Row],[Ticket ID]],[2]Requests!$A$2:$D$649,4,FALSE)</f>
        <v>4 - Low</v>
      </c>
      <c r="N323">
        <f>VLOOKUP(Requests[[#This Row],[Priority]],'SLA Config'!$B$3:$C$6,2,FALSE)</f>
        <v>25</v>
      </c>
      <c r="O323" t="str">
        <f ca="1">IF(Requests[[#This Row],[Age (days)]]&gt;Requests[[#This Row],[SLA Threshold]],"Yes","No")</f>
        <v>No</v>
      </c>
    </row>
    <row r="324" spans="1:15" hidden="1" x14ac:dyDescent="0.25">
      <c r="A324" s="17" t="s">
        <v>2373</v>
      </c>
      <c r="B324" s="8">
        <v>45449</v>
      </c>
      <c r="C324" s="8">
        <v>45455</v>
      </c>
      <c r="D324" t="s">
        <v>29</v>
      </c>
      <c r="E324" t="s">
        <v>104</v>
      </c>
      <c r="F324">
        <f t="shared" ca="1" si="8"/>
        <v>5</v>
      </c>
      <c r="G324" s="16" t="s">
        <v>51</v>
      </c>
      <c r="H324" t="s">
        <v>2374</v>
      </c>
      <c r="I324" t="s">
        <v>1321</v>
      </c>
      <c r="J324" t="s">
        <v>1743</v>
      </c>
      <c r="K324" t="s">
        <v>119</v>
      </c>
      <c r="L324" t="s">
        <v>120</v>
      </c>
      <c r="M324" t="str">
        <f>VLOOKUP(Requests[[#This Row],[Ticket ID]],[2]Requests!$A$2:$D$649,4,FALSE)</f>
        <v>4 - Low</v>
      </c>
      <c r="N324">
        <f>VLOOKUP(Requests[[#This Row],[Priority]],'SLA Config'!$B$3:$C$6,2,FALSE)</f>
        <v>25</v>
      </c>
      <c r="O324" t="str">
        <f ca="1">IF(Requests[[#This Row],[Age (days)]]&gt;Requests[[#This Row],[SLA Threshold]],"Yes","No")</f>
        <v>No</v>
      </c>
    </row>
    <row r="325" spans="1:15" hidden="1" x14ac:dyDescent="0.25">
      <c r="A325" s="17" t="s">
        <v>2375</v>
      </c>
      <c r="B325" s="8">
        <v>45453</v>
      </c>
      <c r="C325" s="8">
        <v>45458</v>
      </c>
      <c r="D325" t="s">
        <v>29</v>
      </c>
      <c r="E325" s="17" t="s">
        <v>104</v>
      </c>
      <c r="F325">
        <f t="shared" ca="1" si="8"/>
        <v>5</v>
      </c>
      <c r="G325" s="16" t="s">
        <v>51</v>
      </c>
      <c r="H325" s="17" t="s">
        <v>2376</v>
      </c>
      <c r="I325" t="s">
        <v>1321</v>
      </c>
      <c r="J325" t="s">
        <v>1743</v>
      </c>
      <c r="K325" s="17" t="s">
        <v>119</v>
      </c>
      <c r="L325" s="17" t="s">
        <v>120</v>
      </c>
      <c r="M325" t="str">
        <f>VLOOKUP(Requests[[#This Row],[Ticket ID]],[2]Requests!$A$2:$D$649,4,FALSE)</f>
        <v>4 - Low</v>
      </c>
      <c r="N325">
        <f>VLOOKUP(Requests[[#This Row],[Priority]],'SLA Config'!$B$3:$C$6,2,FALSE)</f>
        <v>25</v>
      </c>
      <c r="O325" t="str">
        <f ca="1">IF(Requests[[#This Row],[Age (days)]]&gt;Requests[[#This Row],[SLA Threshold]],"Yes","No")</f>
        <v>No</v>
      </c>
    </row>
    <row r="326" spans="1:15" x14ac:dyDescent="0.25">
      <c r="A326" s="17" t="s">
        <v>2377</v>
      </c>
      <c r="B326" s="8">
        <v>45453</v>
      </c>
      <c r="C326" s="8">
        <v>45462</v>
      </c>
      <c r="D326" t="s">
        <v>29</v>
      </c>
      <c r="E326" s="17" t="s">
        <v>46</v>
      </c>
      <c r="F326">
        <f t="shared" ca="1" si="8"/>
        <v>8</v>
      </c>
      <c r="G326" s="16" t="s">
        <v>31</v>
      </c>
      <c r="H326" s="17" t="s">
        <v>2341</v>
      </c>
      <c r="I326" t="s">
        <v>33</v>
      </c>
      <c r="J326" t="s">
        <v>2326</v>
      </c>
      <c r="K326" s="17" t="s">
        <v>401</v>
      </c>
      <c r="L326" s="17" t="s">
        <v>71</v>
      </c>
      <c r="M326" t="str">
        <f>VLOOKUP(Requests[[#This Row],[Ticket ID]],[2]Requests!$A$2:$D$649,4,FALSE)</f>
        <v>4 - Low</v>
      </c>
      <c r="N326">
        <f>VLOOKUP(Requests[[#This Row],[Priority]],'SLA Config'!$B$3:$C$6,2,FALSE)</f>
        <v>25</v>
      </c>
      <c r="O326" t="str">
        <f ca="1">IF(Requests[[#This Row],[Age (days)]]&gt;Requests[[#This Row],[SLA Threshold]],"Yes","No")</f>
        <v>No</v>
      </c>
    </row>
    <row r="327" spans="1:15" x14ac:dyDescent="0.25">
      <c r="A327" s="17" t="s">
        <v>2378</v>
      </c>
      <c r="B327" s="8">
        <v>45453</v>
      </c>
      <c r="C327" s="8">
        <v>45462</v>
      </c>
      <c r="D327" t="s">
        <v>29</v>
      </c>
      <c r="E327" s="17" t="s">
        <v>46</v>
      </c>
      <c r="F327">
        <f t="shared" ca="1" si="8"/>
        <v>8</v>
      </c>
      <c r="G327" s="16" t="s">
        <v>31</v>
      </c>
      <c r="H327" s="17" t="s">
        <v>2341</v>
      </c>
      <c r="I327" t="s">
        <v>33</v>
      </c>
      <c r="J327" t="s">
        <v>2326</v>
      </c>
      <c r="K327" s="17" t="s">
        <v>401</v>
      </c>
      <c r="L327" s="17" t="s">
        <v>71</v>
      </c>
      <c r="M327" t="str">
        <f>VLOOKUP(Requests[[#This Row],[Ticket ID]],[2]Requests!$A$2:$D$649,4,FALSE)</f>
        <v>4 - Low</v>
      </c>
      <c r="N327">
        <f>VLOOKUP(Requests[[#This Row],[Priority]],'SLA Config'!$B$3:$C$6,2,FALSE)</f>
        <v>25</v>
      </c>
      <c r="O327" t="str">
        <f ca="1">IF(Requests[[#This Row],[Age (days)]]&gt;Requests[[#This Row],[SLA Threshold]],"Yes","No")</f>
        <v>No</v>
      </c>
    </row>
    <row r="328" spans="1:15" hidden="1" x14ac:dyDescent="0.25">
      <c r="A328" s="17" t="s">
        <v>2379</v>
      </c>
      <c r="B328" s="8">
        <v>45456</v>
      </c>
      <c r="C328" s="8">
        <v>45466</v>
      </c>
      <c r="D328" t="s">
        <v>29</v>
      </c>
      <c r="E328" s="17" t="s">
        <v>30</v>
      </c>
      <c r="F328">
        <f t="shared" ca="1" si="8"/>
        <v>7</v>
      </c>
      <c r="G328" s="16" t="s">
        <v>31</v>
      </c>
      <c r="H328" t="s">
        <v>2341</v>
      </c>
      <c r="I328" t="s">
        <v>33</v>
      </c>
      <c r="J328" t="s">
        <v>2326</v>
      </c>
      <c r="K328" s="17" t="s">
        <v>401</v>
      </c>
      <c r="L328" s="17" t="s">
        <v>71</v>
      </c>
      <c r="M328" t="str">
        <f>VLOOKUP(Requests[[#This Row],[Ticket ID]],[2]Requests!$A$2:$D$649,4,FALSE)</f>
        <v>4 - Low</v>
      </c>
      <c r="N328">
        <f>VLOOKUP(Requests[[#This Row],[Priority]],'SLA Config'!$B$3:$C$6,2,FALSE)</f>
        <v>25</v>
      </c>
      <c r="O328" t="str">
        <f ca="1">IF(Requests[[#This Row],[Age (days)]]&gt;Requests[[#This Row],[SLA Threshold]],"Yes","No")</f>
        <v>No</v>
      </c>
    </row>
    <row r="329" spans="1:15" hidden="1" x14ac:dyDescent="0.25">
      <c r="A329" s="17" t="s">
        <v>2380</v>
      </c>
      <c r="B329" s="8">
        <v>45460</v>
      </c>
      <c r="C329" s="8">
        <v>45525</v>
      </c>
      <c r="D329" t="s">
        <v>29</v>
      </c>
      <c r="E329" s="17" t="s">
        <v>30</v>
      </c>
      <c r="F329">
        <f t="shared" ca="1" si="8"/>
        <v>48</v>
      </c>
      <c r="G329" s="16" t="s">
        <v>31</v>
      </c>
      <c r="H329" s="17" t="s">
        <v>2381</v>
      </c>
      <c r="I329" t="s">
        <v>394</v>
      </c>
      <c r="J329" t="s">
        <v>584</v>
      </c>
      <c r="K329" s="17" t="s">
        <v>231</v>
      </c>
      <c r="L329" s="17" t="s">
        <v>120</v>
      </c>
      <c r="M329" t="str">
        <f>VLOOKUP(Requests[[#This Row],[Ticket ID]],[2]Requests!$A$2:$D$649,4,FALSE)</f>
        <v>4 - Low</v>
      </c>
      <c r="N329">
        <f>VLOOKUP(Requests[[#This Row],[Priority]],'SLA Config'!$B$3:$C$6,2,FALSE)</f>
        <v>25</v>
      </c>
      <c r="O329" t="str">
        <f ca="1">IF(Requests[[#This Row],[Age (days)]]&gt;Requests[[#This Row],[SLA Threshold]],"Yes","No")</f>
        <v>Yes</v>
      </c>
    </row>
    <row r="330" spans="1:15" x14ac:dyDescent="0.25">
      <c r="A330" s="17" t="s">
        <v>2382</v>
      </c>
      <c r="B330" s="8">
        <v>45461</v>
      </c>
      <c r="C330" s="8">
        <v>45467</v>
      </c>
      <c r="D330" t="s">
        <v>29</v>
      </c>
      <c r="E330" s="17" t="s">
        <v>46</v>
      </c>
      <c r="F330">
        <f t="shared" ca="1" si="8"/>
        <v>5</v>
      </c>
      <c r="G330" s="16" t="s">
        <v>31</v>
      </c>
      <c r="H330" s="17" t="s">
        <v>2341</v>
      </c>
      <c r="I330" t="s">
        <v>33</v>
      </c>
      <c r="J330" t="s">
        <v>2326</v>
      </c>
      <c r="K330" s="17" t="s">
        <v>401</v>
      </c>
      <c r="L330" s="17" t="s">
        <v>71</v>
      </c>
      <c r="M330" t="str">
        <f>VLOOKUP(Requests[[#This Row],[Ticket ID]],[2]Requests!$A$2:$D$649,4,FALSE)</f>
        <v>4 - Low</v>
      </c>
      <c r="N330">
        <f>VLOOKUP(Requests[[#This Row],[Priority]],'SLA Config'!$B$3:$C$6,2,FALSE)</f>
        <v>25</v>
      </c>
      <c r="O330" t="str">
        <f ca="1">IF(Requests[[#This Row],[Age (days)]]&gt;Requests[[#This Row],[SLA Threshold]],"Yes","No")</f>
        <v>No</v>
      </c>
    </row>
    <row r="331" spans="1:15" hidden="1" x14ac:dyDescent="0.25">
      <c r="A331" s="17" t="s">
        <v>2383</v>
      </c>
      <c r="B331" s="8">
        <v>45462</v>
      </c>
      <c r="C331" s="8">
        <v>45473</v>
      </c>
      <c r="D331" t="s">
        <v>29</v>
      </c>
      <c r="E331" s="17" t="s">
        <v>38</v>
      </c>
      <c r="F331">
        <f t="shared" ca="1" si="8"/>
        <v>8</v>
      </c>
      <c r="G331" s="16" t="s">
        <v>31</v>
      </c>
      <c r="H331" t="s">
        <v>2384</v>
      </c>
      <c r="I331" t="s">
        <v>589</v>
      </c>
      <c r="J331" t="s">
        <v>34</v>
      </c>
      <c r="K331" t="s">
        <v>310</v>
      </c>
      <c r="L331" s="17" t="s">
        <v>71</v>
      </c>
      <c r="M331" t="str">
        <f>VLOOKUP(Requests[[#This Row],[Ticket ID]],[2]Requests!$A$2:$D$649,4,FALSE)</f>
        <v>4 - Low</v>
      </c>
      <c r="N331">
        <f>VLOOKUP(Requests[[#This Row],[Priority]],'SLA Config'!$B$3:$C$6,2,FALSE)</f>
        <v>25</v>
      </c>
      <c r="O331" t="str">
        <f ca="1">IF(Requests[[#This Row],[Age (days)]]&gt;Requests[[#This Row],[SLA Threshold]],"Yes","No")</f>
        <v>No</v>
      </c>
    </row>
    <row r="332" spans="1:15" hidden="1" x14ac:dyDescent="0.25">
      <c r="A332" s="17" t="s">
        <v>2385</v>
      </c>
      <c r="B332" s="8">
        <v>45463</v>
      </c>
      <c r="C332" s="8">
        <v>45488</v>
      </c>
      <c r="D332" t="s">
        <v>29</v>
      </c>
      <c r="E332" t="s">
        <v>38</v>
      </c>
      <c r="F332">
        <f t="shared" ca="1" si="8"/>
        <v>18</v>
      </c>
      <c r="G332" s="16" t="s">
        <v>31</v>
      </c>
      <c r="H332" t="s">
        <v>2386</v>
      </c>
      <c r="I332" t="s">
        <v>1327</v>
      </c>
      <c r="J332" t="s">
        <v>34</v>
      </c>
      <c r="K332" t="s">
        <v>44</v>
      </c>
      <c r="L332" s="17" t="s">
        <v>36</v>
      </c>
      <c r="M332" t="str">
        <f>VLOOKUP(Requests[[#This Row],[Ticket ID]],[2]Requests!$A$2:$D$649,4,FALSE)</f>
        <v>4 - Low</v>
      </c>
      <c r="N332">
        <f>VLOOKUP(Requests[[#This Row],[Priority]],'SLA Config'!$B$3:$C$6,2,FALSE)</f>
        <v>25</v>
      </c>
      <c r="O332" t="str">
        <f ca="1">IF(Requests[[#This Row],[Age (days)]]&gt;Requests[[#This Row],[SLA Threshold]],"Yes","No")</f>
        <v>No</v>
      </c>
    </row>
    <row r="333" spans="1:15" hidden="1" x14ac:dyDescent="0.25">
      <c r="A333" s="17" t="s">
        <v>2387</v>
      </c>
      <c r="B333" s="8">
        <v>45463</v>
      </c>
      <c r="C333" s="8">
        <v>45473</v>
      </c>
      <c r="D333" t="s">
        <v>29</v>
      </c>
      <c r="E333" t="s">
        <v>104</v>
      </c>
      <c r="F333">
        <f t="shared" ca="1" si="8"/>
        <v>7</v>
      </c>
      <c r="G333" s="16" t="s">
        <v>51</v>
      </c>
      <c r="H333" t="s">
        <v>2388</v>
      </c>
      <c r="I333" t="s">
        <v>1321</v>
      </c>
      <c r="J333" t="s">
        <v>1743</v>
      </c>
      <c r="K333" t="s">
        <v>119</v>
      </c>
      <c r="L333" s="17" t="s">
        <v>120</v>
      </c>
      <c r="M333" t="str">
        <f>VLOOKUP(Requests[[#This Row],[Ticket ID]],[2]Requests!$A$2:$D$649,4,FALSE)</f>
        <v>4 - Low</v>
      </c>
      <c r="N333">
        <f>VLOOKUP(Requests[[#This Row],[Priority]],'SLA Config'!$B$3:$C$6,2,FALSE)</f>
        <v>25</v>
      </c>
      <c r="O333" t="str">
        <f ca="1">IF(Requests[[#This Row],[Age (days)]]&gt;Requests[[#This Row],[SLA Threshold]],"Yes","No")</f>
        <v>No</v>
      </c>
    </row>
    <row r="334" spans="1:15" hidden="1" x14ac:dyDescent="0.25">
      <c r="A334" s="17" t="s">
        <v>2389</v>
      </c>
      <c r="B334" s="8">
        <v>45468</v>
      </c>
      <c r="C334" s="8">
        <v>45495</v>
      </c>
      <c r="D334" t="s">
        <v>29</v>
      </c>
      <c r="E334" t="s">
        <v>324</v>
      </c>
      <c r="F334">
        <f t="shared" ca="1" si="8"/>
        <v>20</v>
      </c>
      <c r="G334" s="16" t="s">
        <v>31</v>
      </c>
      <c r="H334" t="s">
        <v>2390</v>
      </c>
      <c r="I334" t="s">
        <v>1336</v>
      </c>
      <c r="J334" t="s">
        <v>1405</v>
      </c>
      <c r="K334" t="s">
        <v>231</v>
      </c>
      <c r="L334" s="17" t="s">
        <v>120</v>
      </c>
      <c r="M334" t="str">
        <f>VLOOKUP(Requests[[#This Row],[Ticket ID]],[2]Requests!$A$2:$D$649,4,FALSE)</f>
        <v>4 - Low</v>
      </c>
      <c r="N334">
        <f>VLOOKUP(Requests[[#This Row],[Priority]],'SLA Config'!$B$3:$C$6,2,FALSE)</f>
        <v>25</v>
      </c>
      <c r="O334" t="str">
        <f ca="1">IF(Requests[[#This Row],[Age (days)]]&gt;Requests[[#This Row],[SLA Threshold]],"Yes","No")</f>
        <v>No</v>
      </c>
    </row>
    <row r="335" spans="1:15" hidden="1" x14ac:dyDescent="0.25">
      <c r="A335" s="17" t="s">
        <v>2391</v>
      </c>
      <c r="B335" s="8">
        <v>45468</v>
      </c>
      <c r="C335" s="8">
        <v>45475</v>
      </c>
      <c r="D335" t="s">
        <v>29</v>
      </c>
      <c r="E335" t="s">
        <v>324</v>
      </c>
      <c r="F335">
        <f t="shared" ca="1" si="8"/>
        <v>6</v>
      </c>
      <c r="G335" s="16" t="s">
        <v>31</v>
      </c>
      <c r="H335" t="s">
        <v>2392</v>
      </c>
      <c r="I335" t="s">
        <v>1336</v>
      </c>
      <c r="J335" t="s">
        <v>1405</v>
      </c>
      <c r="K335" t="s">
        <v>310</v>
      </c>
      <c r="L335" s="17" t="s">
        <v>71</v>
      </c>
      <c r="M335" t="str">
        <f>VLOOKUP(Requests[[#This Row],[Ticket ID]],[2]Requests!$A$2:$D$649,4,FALSE)</f>
        <v>4 - Low</v>
      </c>
      <c r="N335">
        <f>VLOOKUP(Requests[[#This Row],[Priority]],'SLA Config'!$B$3:$C$6,2,FALSE)</f>
        <v>25</v>
      </c>
      <c r="O335" t="str">
        <f ca="1">IF(Requests[[#This Row],[Age (days)]]&gt;Requests[[#This Row],[SLA Threshold]],"Yes","No")</f>
        <v>No</v>
      </c>
    </row>
    <row r="336" spans="1:15" hidden="1" x14ac:dyDescent="0.25">
      <c r="A336" s="17" t="s">
        <v>2393</v>
      </c>
      <c r="B336" s="8">
        <v>45469</v>
      </c>
      <c r="C336" s="8">
        <v>45501</v>
      </c>
      <c r="D336" t="s">
        <v>29</v>
      </c>
      <c r="E336" s="17" t="s">
        <v>104</v>
      </c>
      <c r="F336">
        <f t="shared" ca="1" si="8"/>
        <v>23</v>
      </c>
      <c r="G336" s="16" t="s">
        <v>51</v>
      </c>
      <c r="H336" t="s">
        <v>2394</v>
      </c>
      <c r="I336" t="s">
        <v>1321</v>
      </c>
      <c r="J336" t="s">
        <v>1743</v>
      </c>
      <c r="K336" t="s">
        <v>119</v>
      </c>
      <c r="L336" s="17" t="s">
        <v>120</v>
      </c>
      <c r="M336" t="str">
        <f>VLOOKUP(Requests[[#This Row],[Ticket ID]],[2]Requests!$A$2:$D$649,4,FALSE)</f>
        <v>4 - Low</v>
      </c>
      <c r="N336">
        <f>VLOOKUP(Requests[[#This Row],[Priority]],'SLA Config'!$B$3:$C$6,2,FALSE)</f>
        <v>25</v>
      </c>
      <c r="O336" t="str">
        <f ca="1">IF(Requests[[#This Row],[Age (days)]]&gt;Requests[[#This Row],[SLA Threshold]],"Yes","No")</f>
        <v>No</v>
      </c>
    </row>
    <row r="337" spans="1:15" hidden="1" x14ac:dyDescent="0.25">
      <c r="A337" s="17" t="s">
        <v>2395</v>
      </c>
      <c r="B337" s="8">
        <v>45470</v>
      </c>
      <c r="C337" s="8">
        <v>45497</v>
      </c>
      <c r="D337" t="s">
        <v>29</v>
      </c>
      <c r="E337" t="s">
        <v>38</v>
      </c>
      <c r="F337">
        <f t="shared" ca="1" si="8"/>
        <v>20</v>
      </c>
      <c r="G337" s="16" t="s">
        <v>51</v>
      </c>
      <c r="H337" t="s">
        <v>2396</v>
      </c>
      <c r="I337" t="s">
        <v>394</v>
      </c>
      <c r="J337" t="s">
        <v>584</v>
      </c>
      <c r="K337" t="s">
        <v>119</v>
      </c>
      <c r="L337" s="17" t="s">
        <v>120</v>
      </c>
      <c r="M337" t="str">
        <f>VLOOKUP(Requests[[#This Row],[Ticket ID]],[2]Requests!$A$2:$D$649,4,FALSE)</f>
        <v>4 - Low</v>
      </c>
      <c r="N337">
        <f>VLOOKUP(Requests[[#This Row],[Priority]],'SLA Config'!$B$3:$C$6,2,FALSE)</f>
        <v>25</v>
      </c>
      <c r="O337" t="str">
        <f ca="1">IF(Requests[[#This Row],[Age (days)]]&gt;Requests[[#This Row],[SLA Threshold]],"Yes","No")</f>
        <v>No</v>
      </c>
    </row>
    <row r="338" spans="1:15" hidden="1" x14ac:dyDescent="0.25">
      <c r="A338" s="17" t="s">
        <v>2397</v>
      </c>
      <c r="B338" s="8">
        <v>45470</v>
      </c>
      <c r="C338" s="8">
        <v>45476</v>
      </c>
      <c r="D338" t="s">
        <v>29</v>
      </c>
      <c r="E338" t="s">
        <v>324</v>
      </c>
      <c r="F338">
        <f t="shared" ca="1" si="8"/>
        <v>5</v>
      </c>
      <c r="G338" s="16" t="s">
        <v>31</v>
      </c>
      <c r="H338" t="s">
        <v>2398</v>
      </c>
      <c r="I338" t="s">
        <v>1336</v>
      </c>
      <c r="J338" t="s">
        <v>1405</v>
      </c>
      <c r="K338" t="s">
        <v>236</v>
      </c>
      <c r="L338" s="17" t="s">
        <v>36</v>
      </c>
      <c r="M338" t="str">
        <f>VLOOKUP(Requests[[#This Row],[Ticket ID]],[2]Requests!$A$2:$D$649,4,FALSE)</f>
        <v>4 - Low</v>
      </c>
      <c r="N338">
        <f>VLOOKUP(Requests[[#This Row],[Priority]],'SLA Config'!$B$3:$C$6,2,FALSE)</f>
        <v>25</v>
      </c>
      <c r="O338" t="str">
        <f ca="1">IF(Requests[[#This Row],[Age (days)]]&gt;Requests[[#This Row],[SLA Threshold]],"Yes","No")</f>
        <v>No</v>
      </c>
    </row>
    <row r="339" spans="1:15" hidden="1" x14ac:dyDescent="0.25">
      <c r="A339" s="17" t="s">
        <v>2399</v>
      </c>
      <c r="B339" s="8">
        <v>45475</v>
      </c>
      <c r="C339" s="8">
        <v>45495</v>
      </c>
      <c r="D339" t="s">
        <v>29</v>
      </c>
      <c r="E339" s="17" t="s">
        <v>324</v>
      </c>
      <c r="F339">
        <f t="shared" ref="F339:F355" ca="1" si="9">IF(ISBLANK(C339), NETWORKDAYS(B339,TODAY()), NETWORKDAYS(B339,C339))</f>
        <v>15</v>
      </c>
      <c r="G339" s="16" t="s">
        <v>31</v>
      </c>
      <c r="H339" t="s">
        <v>2400</v>
      </c>
      <c r="I339" t="s">
        <v>1336</v>
      </c>
      <c r="J339" t="s">
        <v>1321</v>
      </c>
      <c r="K339" s="17" t="s">
        <v>215</v>
      </c>
      <c r="L339" t="s">
        <v>120</v>
      </c>
      <c r="M339" t="str">
        <f>VLOOKUP(Requests[[#This Row],[Ticket ID]],[2]Requests!$A$2:$D$649,4,FALSE)</f>
        <v>4 - Low</v>
      </c>
      <c r="N339">
        <f>VLOOKUP(Requests[[#This Row],[Priority]],'SLA Config'!$B$3:$C$6,2,FALSE)</f>
        <v>25</v>
      </c>
      <c r="O339" t="str">
        <f ca="1">IF(Requests[[#This Row],[Age (days)]]&gt;Requests[[#This Row],[SLA Threshold]],"Yes","No")</f>
        <v>No</v>
      </c>
    </row>
    <row r="340" spans="1:15" x14ac:dyDescent="0.25">
      <c r="A340" s="17" t="s">
        <v>2401</v>
      </c>
      <c r="B340" s="8">
        <v>45476</v>
      </c>
      <c r="C340" s="8">
        <v>45500</v>
      </c>
      <c r="D340" t="s">
        <v>29</v>
      </c>
      <c r="E340" s="17" t="s">
        <v>46</v>
      </c>
      <c r="F340">
        <f t="shared" ca="1" si="9"/>
        <v>18</v>
      </c>
      <c r="G340" s="16" t="s">
        <v>31</v>
      </c>
      <c r="H340" s="17" t="s">
        <v>2402</v>
      </c>
      <c r="I340" t="s">
        <v>1336</v>
      </c>
      <c r="J340" t="s">
        <v>1405</v>
      </c>
      <c r="K340" s="17" t="s">
        <v>236</v>
      </c>
      <c r="L340" t="s">
        <v>36</v>
      </c>
      <c r="M340" t="str">
        <f>VLOOKUP(Requests[[#This Row],[Ticket ID]],[2]Requests!$A$2:$D$649,4,FALSE)</f>
        <v>3 - Medium</v>
      </c>
      <c r="N340">
        <f>VLOOKUP(Requests[[#This Row],[Priority]],'SLA Config'!$B$3:$C$6,2,FALSE)</f>
        <v>15</v>
      </c>
      <c r="O340" t="str">
        <f ca="1">IF(Requests[[#This Row],[Age (days)]]&gt;Requests[[#This Row],[SLA Threshold]],"Yes","No")</f>
        <v>Yes</v>
      </c>
    </row>
    <row r="341" spans="1:15" hidden="1" x14ac:dyDescent="0.25">
      <c r="A341" s="17" t="s">
        <v>2403</v>
      </c>
      <c r="B341" s="8">
        <v>45483</v>
      </c>
      <c r="C341" s="8">
        <v>45556</v>
      </c>
      <c r="D341" t="s">
        <v>29</v>
      </c>
      <c r="E341" s="17" t="s">
        <v>38</v>
      </c>
      <c r="F341">
        <f t="shared" ca="1" si="9"/>
        <v>53</v>
      </c>
      <c r="G341" s="16" t="s">
        <v>31</v>
      </c>
      <c r="H341" s="17" t="s">
        <v>2404</v>
      </c>
      <c r="I341" t="s">
        <v>589</v>
      </c>
      <c r="J341" t="s">
        <v>1827</v>
      </c>
      <c r="K341" s="17" t="s">
        <v>44</v>
      </c>
      <c r="L341" t="s">
        <v>36</v>
      </c>
      <c r="M341" t="str">
        <f>VLOOKUP(Requests[[#This Row],[Ticket ID]],[2]Requests!$A$2:$D$649,4,FALSE)</f>
        <v>4 - Low</v>
      </c>
      <c r="N341">
        <f>VLOOKUP(Requests[[#This Row],[Priority]],'SLA Config'!$B$3:$C$6,2,FALSE)</f>
        <v>25</v>
      </c>
      <c r="O341" t="str">
        <f ca="1">IF(Requests[[#This Row],[Age (days)]]&gt;Requests[[#This Row],[SLA Threshold]],"Yes","No")</f>
        <v>Yes</v>
      </c>
    </row>
    <row r="342" spans="1:15" x14ac:dyDescent="0.25">
      <c r="A342" s="17" t="s">
        <v>2405</v>
      </c>
      <c r="B342" s="8">
        <v>45484</v>
      </c>
      <c r="C342" s="8">
        <v>45502</v>
      </c>
      <c r="D342" t="s">
        <v>29</v>
      </c>
      <c r="E342" s="17" t="s">
        <v>46</v>
      </c>
      <c r="F342">
        <f t="shared" ca="1" si="9"/>
        <v>13</v>
      </c>
      <c r="G342" s="16" t="s">
        <v>31</v>
      </c>
      <c r="H342" s="17" t="s">
        <v>2406</v>
      </c>
      <c r="I342" t="s">
        <v>727</v>
      </c>
      <c r="J342" t="s">
        <v>1827</v>
      </c>
      <c r="K342" s="17" t="s">
        <v>2407</v>
      </c>
      <c r="L342" t="s">
        <v>71</v>
      </c>
      <c r="M342" t="str">
        <f>VLOOKUP(Requests[[#This Row],[Ticket ID]],[2]Requests!$A$2:$D$649,4,FALSE)</f>
        <v>4 - Low</v>
      </c>
      <c r="N342">
        <f>VLOOKUP(Requests[[#This Row],[Priority]],'SLA Config'!$B$3:$C$6,2,FALSE)</f>
        <v>25</v>
      </c>
      <c r="O342" t="str">
        <f ca="1">IF(Requests[[#This Row],[Age (days)]]&gt;Requests[[#This Row],[SLA Threshold]],"Yes","No")</f>
        <v>No</v>
      </c>
    </row>
    <row r="343" spans="1:15" hidden="1" x14ac:dyDescent="0.25">
      <c r="A343" s="17" t="s">
        <v>2408</v>
      </c>
      <c r="B343" s="8">
        <v>45485</v>
      </c>
      <c r="C343" s="8">
        <v>45503</v>
      </c>
      <c r="D343" t="s">
        <v>29</v>
      </c>
      <c r="E343" s="17" t="s">
        <v>324</v>
      </c>
      <c r="F343">
        <f t="shared" ca="1" si="9"/>
        <v>13</v>
      </c>
      <c r="G343" s="16" t="s">
        <v>31</v>
      </c>
      <c r="H343" s="17" t="s">
        <v>2409</v>
      </c>
      <c r="I343" t="s">
        <v>1336</v>
      </c>
      <c r="J343" t="s">
        <v>1405</v>
      </c>
      <c r="K343" s="17" t="s">
        <v>231</v>
      </c>
      <c r="L343" t="s">
        <v>120</v>
      </c>
      <c r="M343" t="str">
        <f>VLOOKUP(Requests[[#This Row],[Ticket ID]],[2]Requests!$A$2:$D$649,4,FALSE)</f>
        <v>4 - Low</v>
      </c>
      <c r="N343">
        <f>VLOOKUP(Requests[[#This Row],[Priority]],'SLA Config'!$B$3:$C$6,2,FALSE)</f>
        <v>25</v>
      </c>
      <c r="O343" t="str">
        <f ca="1">IF(Requests[[#This Row],[Age (days)]]&gt;Requests[[#This Row],[SLA Threshold]],"Yes","No")</f>
        <v>No</v>
      </c>
    </row>
    <row r="344" spans="1:15" hidden="1" x14ac:dyDescent="0.25">
      <c r="A344" s="17" t="s">
        <v>2410</v>
      </c>
      <c r="B344" s="8">
        <v>45485</v>
      </c>
      <c r="C344" s="8">
        <v>45501</v>
      </c>
      <c r="D344" t="s">
        <v>29</v>
      </c>
      <c r="E344" s="17" t="s">
        <v>324</v>
      </c>
      <c r="F344">
        <f t="shared" ca="1" si="9"/>
        <v>11</v>
      </c>
      <c r="G344" s="16" t="s">
        <v>31</v>
      </c>
      <c r="H344" s="17" t="s">
        <v>2411</v>
      </c>
      <c r="I344" t="s">
        <v>1336</v>
      </c>
      <c r="J344" t="s">
        <v>1405</v>
      </c>
      <c r="K344" s="17" t="s">
        <v>231</v>
      </c>
      <c r="L344" t="s">
        <v>120</v>
      </c>
      <c r="M344" t="str">
        <f>VLOOKUP(Requests[[#This Row],[Ticket ID]],[2]Requests!$A$2:$D$649,4,FALSE)</f>
        <v>3 - Medium</v>
      </c>
      <c r="N344">
        <f>VLOOKUP(Requests[[#This Row],[Priority]],'SLA Config'!$B$3:$C$6,2,FALSE)</f>
        <v>15</v>
      </c>
      <c r="O344" t="str">
        <f ca="1">IF(Requests[[#This Row],[Age (days)]]&gt;Requests[[#This Row],[SLA Threshold]],"Yes","No")</f>
        <v>No</v>
      </c>
    </row>
    <row r="345" spans="1:15" x14ac:dyDescent="0.25">
      <c r="A345" s="17" t="s">
        <v>2412</v>
      </c>
      <c r="B345" s="8">
        <v>45495</v>
      </c>
      <c r="C345" s="8">
        <v>45556</v>
      </c>
      <c r="D345" t="s">
        <v>29</v>
      </c>
      <c r="E345" s="17" t="s">
        <v>46</v>
      </c>
      <c r="F345">
        <f t="shared" ca="1" si="9"/>
        <v>45</v>
      </c>
      <c r="G345" s="16" t="s">
        <v>31</v>
      </c>
      <c r="H345" s="17" t="s">
        <v>2413</v>
      </c>
      <c r="I345" t="s">
        <v>1321</v>
      </c>
      <c r="J345" t="s">
        <v>1690</v>
      </c>
      <c r="K345" s="17" t="s">
        <v>201</v>
      </c>
      <c r="L345" t="s">
        <v>120</v>
      </c>
      <c r="M345" t="str">
        <f>VLOOKUP(Requests[[#This Row],[Ticket ID]],[2]Requests!$A$2:$D$649,4,FALSE)</f>
        <v>4 - Low</v>
      </c>
      <c r="N345">
        <f>VLOOKUP(Requests[[#This Row],[Priority]],'SLA Config'!$B$3:$C$6,2,FALSE)</f>
        <v>25</v>
      </c>
      <c r="O345" t="str">
        <f ca="1">IF(Requests[[#This Row],[Age (days)]]&gt;Requests[[#This Row],[SLA Threshold]],"Yes","No")</f>
        <v>Yes</v>
      </c>
    </row>
    <row r="346" spans="1:15" hidden="1" x14ac:dyDescent="0.25">
      <c r="A346" s="17" t="s">
        <v>2414</v>
      </c>
      <c r="B346" s="8">
        <v>45496</v>
      </c>
      <c r="C346" s="8">
        <v>45521</v>
      </c>
      <c r="D346" t="s">
        <v>29</v>
      </c>
      <c r="E346" s="17" t="s">
        <v>38</v>
      </c>
      <c r="F346">
        <f t="shared" ca="1" si="9"/>
        <v>19</v>
      </c>
      <c r="G346" s="16" t="s">
        <v>51</v>
      </c>
      <c r="H346" s="17" t="s">
        <v>2415</v>
      </c>
      <c r="I346" t="s">
        <v>394</v>
      </c>
      <c r="J346" t="s">
        <v>584</v>
      </c>
      <c r="K346" s="17" t="s">
        <v>119</v>
      </c>
      <c r="L346" t="s">
        <v>120</v>
      </c>
      <c r="M346" t="str">
        <f>VLOOKUP(Requests[[#This Row],[Ticket ID]],[2]Requests!$A$2:$D$649,4,FALSE)</f>
        <v>4 - Low</v>
      </c>
      <c r="N346">
        <f>VLOOKUP(Requests[[#This Row],[Priority]],'SLA Config'!$B$3:$C$6,2,FALSE)</f>
        <v>25</v>
      </c>
      <c r="O346" t="str">
        <f ca="1">IF(Requests[[#This Row],[Age (days)]]&gt;Requests[[#This Row],[SLA Threshold]],"Yes","No")</f>
        <v>No</v>
      </c>
    </row>
    <row r="347" spans="1:15" hidden="1" x14ac:dyDescent="0.25">
      <c r="A347" s="17" t="s">
        <v>2416</v>
      </c>
      <c r="B347" s="8">
        <v>45497</v>
      </c>
      <c r="C347" s="8">
        <v>45516</v>
      </c>
      <c r="D347" t="s">
        <v>29</v>
      </c>
      <c r="E347" s="17" t="s">
        <v>324</v>
      </c>
      <c r="F347">
        <f t="shared" ca="1" si="9"/>
        <v>14</v>
      </c>
      <c r="G347" s="16" t="s">
        <v>31</v>
      </c>
      <c r="H347" t="s">
        <v>2417</v>
      </c>
      <c r="I347" t="s">
        <v>1336</v>
      </c>
      <c r="J347" t="s">
        <v>1405</v>
      </c>
      <c r="K347" t="s">
        <v>2418</v>
      </c>
      <c r="L347" t="s">
        <v>120</v>
      </c>
      <c r="M347" t="str">
        <f>VLOOKUP(Requests[[#This Row],[Ticket ID]],[2]Requests!$A$2:$D$649,4,FALSE)</f>
        <v>4 - Low</v>
      </c>
      <c r="N347">
        <f>VLOOKUP(Requests[[#This Row],[Priority]],'SLA Config'!$B$3:$C$6,2,FALSE)</f>
        <v>25</v>
      </c>
      <c r="O347" t="str">
        <f ca="1">IF(Requests[[#This Row],[Age (days)]]&gt;Requests[[#This Row],[SLA Threshold]],"Yes","No")</f>
        <v>No</v>
      </c>
    </row>
    <row r="348" spans="1:15" hidden="1" x14ac:dyDescent="0.25">
      <c r="A348" s="17" t="s">
        <v>2419</v>
      </c>
      <c r="B348" s="8">
        <v>45497</v>
      </c>
      <c r="C348" s="8">
        <v>45510</v>
      </c>
      <c r="D348" t="s">
        <v>29</v>
      </c>
      <c r="E348" s="17" t="s">
        <v>324</v>
      </c>
      <c r="F348">
        <f t="shared" ca="1" si="9"/>
        <v>10</v>
      </c>
      <c r="G348" s="16" t="s">
        <v>31</v>
      </c>
      <c r="H348" t="s">
        <v>2420</v>
      </c>
      <c r="I348" t="s">
        <v>1336</v>
      </c>
      <c r="J348" t="s">
        <v>1405</v>
      </c>
      <c r="K348" t="s">
        <v>231</v>
      </c>
      <c r="L348" t="s">
        <v>120</v>
      </c>
      <c r="M348" t="str">
        <f>VLOOKUP(Requests[[#This Row],[Ticket ID]],[2]Requests!$A$2:$D$649,4,FALSE)</f>
        <v>4 - Low</v>
      </c>
      <c r="N348">
        <f>VLOOKUP(Requests[[#This Row],[Priority]],'SLA Config'!$B$3:$C$6,2,FALSE)</f>
        <v>25</v>
      </c>
      <c r="O348" t="str">
        <f ca="1">IF(Requests[[#This Row],[Age (days)]]&gt;Requests[[#This Row],[SLA Threshold]],"Yes","No")</f>
        <v>No</v>
      </c>
    </row>
    <row r="349" spans="1:15" hidden="1" x14ac:dyDescent="0.25">
      <c r="A349" s="17" t="s">
        <v>2421</v>
      </c>
      <c r="B349" s="8">
        <v>45497</v>
      </c>
      <c r="C349" s="8">
        <v>45516</v>
      </c>
      <c r="D349" t="s">
        <v>29</v>
      </c>
      <c r="E349" t="s">
        <v>324</v>
      </c>
      <c r="F349">
        <f t="shared" ca="1" si="9"/>
        <v>14</v>
      </c>
      <c r="G349" s="16" t="s">
        <v>31</v>
      </c>
      <c r="H349" t="s">
        <v>2422</v>
      </c>
      <c r="I349" t="s">
        <v>1336</v>
      </c>
      <c r="J349" t="s">
        <v>1405</v>
      </c>
      <c r="K349" t="s">
        <v>2423</v>
      </c>
      <c r="L349" t="s">
        <v>120</v>
      </c>
      <c r="M349" t="str">
        <f>VLOOKUP(Requests[[#This Row],[Ticket ID]],[2]Requests!$A$2:$D$649,4,FALSE)</f>
        <v>4 - Low</v>
      </c>
      <c r="N349">
        <f>VLOOKUP(Requests[[#This Row],[Priority]],'SLA Config'!$B$3:$C$6,2,FALSE)</f>
        <v>25</v>
      </c>
      <c r="O349" t="str">
        <f ca="1">IF(Requests[[#This Row],[Age (days)]]&gt;Requests[[#This Row],[SLA Threshold]],"Yes","No")</f>
        <v>No</v>
      </c>
    </row>
    <row r="350" spans="1:15" hidden="1" x14ac:dyDescent="0.25">
      <c r="A350" s="17" t="s">
        <v>2424</v>
      </c>
      <c r="B350" s="8">
        <v>45497</v>
      </c>
      <c r="C350" s="8">
        <v>45504</v>
      </c>
      <c r="D350" t="s">
        <v>29</v>
      </c>
      <c r="E350" t="s">
        <v>324</v>
      </c>
      <c r="F350">
        <f t="shared" ca="1" si="9"/>
        <v>6</v>
      </c>
      <c r="G350" s="16" t="s">
        <v>31</v>
      </c>
      <c r="H350" t="s">
        <v>2425</v>
      </c>
      <c r="I350" t="s">
        <v>1336</v>
      </c>
      <c r="J350" t="s">
        <v>1405</v>
      </c>
      <c r="K350" t="s">
        <v>2036</v>
      </c>
      <c r="L350" t="s">
        <v>120</v>
      </c>
      <c r="M350" t="str">
        <f>VLOOKUP(Requests[[#This Row],[Ticket ID]],[2]Requests!$A$2:$D$649,4,FALSE)</f>
        <v>4 - Low</v>
      </c>
      <c r="N350">
        <f>VLOOKUP(Requests[[#This Row],[Priority]],'SLA Config'!$B$3:$C$6,2,FALSE)</f>
        <v>25</v>
      </c>
      <c r="O350" t="str">
        <f ca="1">IF(Requests[[#This Row],[Age (days)]]&gt;Requests[[#This Row],[SLA Threshold]],"Yes","No")</f>
        <v>No</v>
      </c>
    </row>
    <row r="351" spans="1:15" hidden="1" x14ac:dyDescent="0.25">
      <c r="A351" s="17" t="s">
        <v>2426</v>
      </c>
      <c r="B351" s="8">
        <v>45497</v>
      </c>
      <c r="C351" s="8">
        <v>45503</v>
      </c>
      <c r="D351" t="s">
        <v>29</v>
      </c>
      <c r="E351" t="s">
        <v>104</v>
      </c>
      <c r="F351">
        <f t="shared" ca="1" si="9"/>
        <v>5</v>
      </c>
      <c r="G351" s="16" t="s">
        <v>51</v>
      </c>
      <c r="H351" t="s">
        <v>2427</v>
      </c>
      <c r="I351" t="s">
        <v>1321</v>
      </c>
      <c r="J351" t="s">
        <v>1827</v>
      </c>
      <c r="K351" t="s">
        <v>119</v>
      </c>
      <c r="L351" t="s">
        <v>120</v>
      </c>
      <c r="M351" t="str">
        <f>VLOOKUP(Requests[[#This Row],[Ticket ID]],[2]Requests!$A$2:$D$649,4,FALSE)</f>
        <v>4 - Low</v>
      </c>
      <c r="N351">
        <f>VLOOKUP(Requests[[#This Row],[Priority]],'SLA Config'!$B$3:$C$6,2,FALSE)</f>
        <v>25</v>
      </c>
      <c r="O351" t="str">
        <f ca="1">IF(Requests[[#This Row],[Age (days)]]&gt;Requests[[#This Row],[SLA Threshold]],"Yes","No")</f>
        <v>No</v>
      </c>
    </row>
    <row r="352" spans="1:15" hidden="1" x14ac:dyDescent="0.25">
      <c r="A352" s="17" t="s">
        <v>2428</v>
      </c>
      <c r="B352" s="8">
        <v>45498</v>
      </c>
      <c r="C352" s="8">
        <v>45518</v>
      </c>
      <c r="D352" t="s">
        <v>29</v>
      </c>
      <c r="E352" t="s">
        <v>104</v>
      </c>
      <c r="F352">
        <f t="shared" ca="1" si="9"/>
        <v>15</v>
      </c>
      <c r="G352" s="16" t="s">
        <v>31</v>
      </c>
      <c r="H352" t="s">
        <v>2429</v>
      </c>
      <c r="I352" t="s">
        <v>1321</v>
      </c>
      <c r="J352" t="s">
        <v>1827</v>
      </c>
      <c r="K352" t="s">
        <v>201</v>
      </c>
      <c r="L352" t="s">
        <v>120</v>
      </c>
      <c r="M352" t="str">
        <f>VLOOKUP(Requests[[#This Row],[Ticket ID]],[2]Requests!$A$2:$D$649,4,FALSE)</f>
        <v>4 - Low</v>
      </c>
      <c r="N352">
        <f>VLOOKUP(Requests[[#This Row],[Priority]],'SLA Config'!$B$3:$C$6,2,FALSE)</f>
        <v>25</v>
      </c>
      <c r="O352" t="str">
        <f ca="1">IF(Requests[[#This Row],[Age (days)]]&gt;Requests[[#This Row],[SLA Threshold]],"Yes","No")</f>
        <v>No</v>
      </c>
    </row>
    <row r="353" spans="1:15" hidden="1" x14ac:dyDescent="0.25">
      <c r="A353" s="17" t="s">
        <v>2430</v>
      </c>
      <c r="B353" s="8">
        <v>45498</v>
      </c>
      <c r="C353" s="8">
        <v>45511</v>
      </c>
      <c r="D353" t="s">
        <v>29</v>
      </c>
      <c r="E353" t="s">
        <v>104</v>
      </c>
      <c r="F353">
        <f t="shared" ca="1" si="9"/>
        <v>10</v>
      </c>
      <c r="G353" s="16" t="s">
        <v>51</v>
      </c>
      <c r="H353" t="s">
        <v>2431</v>
      </c>
      <c r="I353" t="s">
        <v>193</v>
      </c>
      <c r="J353" t="s">
        <v>40</v>
      </c>
      <c r="K353" t="s">
        <v>119</v>
      </c>
      <c r="L353" t="s">
        <v>120</v>
      </c>
      <c r="M353" t="str">
        <f>VLOOKUP(Requests[[#This Row],[Ticket ID]],[2]Requests!$A$2:$D$649,4,FALSE)</f>
        <v>4 - Low</v>
      </c>
      <c r="N353">
        <f>VLOOKUP(Requests[[#This Row],[Priority]],'SLA Config'!$B$3:$C$6,2,FALSE)</f>
        <v>25</v>
      </c>
      <c r="O353" t="str">
        <f ca="1">IF(Requests[[#This Row],[Age (days)]]&gt;Requests[[#This Row],[SLA Threshold]],"Yes","No")</f>
        <v>No</v>
      </c>
    </row>
    <row r="354" spans="1:15" hidden="1" x14ac:dyDescent="0.25">
      <c r="A354" s="17" t="s">
        <v>2432</v>
      </c>
      <c r="B354" s="8">
        <v>45499</v>
      </c>
      <c r="C354" s="8">
        <v>45529</v>
      </c>
      <c r="D354" t="s">
        <v>29</v>
      </c>
      <c r="E354" t="s">
        <v>324</v>
      </c>
      <c r="F354">
        <f t="shared" ca="1" si="9"/>
        <v>21</v>
      </c>
      <c r="G354" s="16" t="s">
        <v>31</v>
      </c>
      <c r="H354" t="s">
        <v>2433</v>
      </c>
      <c r="I354" t="s">
        <v>394</v>
      </c>
      <c r="J354" t="s">
        <v>40</v>
      </c>
      <c r="K354" t="s">
        <v>215</v>
      </c>
      <c r="L354" t="s">
        <v>120</v>
      </c>
      <c r="M354" t="str">
        <f>VLOOKUP(Requests[[#This Row],[Ticket ID]],[2]Requests!$A$2:$D$649,4,FALSE)</f>
        <v>2 - High</v>
      </c>
      <c r="N354">
        <f>VLOOKUP(Requests[[#This Row],[Priority]],'SLA Config'!$B$3:$C$6,2,FALSE)</f>
        <v>5</v>
      </c>
      <c r="O354" t="str">
        <f ca="1">IF(Requests[[#This Row],[Age (days)]]&gt;Requests[[#This Row],[SLA Threshold]],"Yes","No")</f>
        <v>Yes</v>
      </c>
    </row>
    <row r="355" spans="1:15" hidden="1" x14ac:dyDescent="0.25">
      <c r="A355" s="17" t="s">
        <v>2434</v>
      </c>
      <c r="B355" s="8">
        <v>45499</v>
      </c>
      <c r="C355" s="8">
        <v>45558</v>
      </c>
      <c r="D355" t="s">
        <v>29</v>
      </c>
      <c r="E355" t="s">
        <v>30</v>
      </c>
      <c r="F355">
        <f t="shared" ca="1" si="9"/>
        <v>42</v>
      </c>
      <c r="G355" s="16" t="s">
        <v>31</v>
      </c>
      <c r="H355" t="s">
        <v>2435</v>
      </c>
      <c r="I355" t="s">
        <v>394</v>
      </c>
      <c r="J355" t="s">
        <v>34</v>
      </c>
      <c r="K355" t="s">
        <v>215</v>
      </c>
      <c r="L355" t="s">
        <v>120</v>
      </c>
      <c r="M355" t="str">
        <f>VLOOKUP(Requests[[#This Row],[Ticket ID]],[2]Requests!$A$2:$D$649,4,FALSE)</f>
        <v>2 - High</v>
      </c>
      <c r="N355">
        <f>VLOOKUP(Requests[[#This Row],[Priority]],'SLA Config'!$B$3:$C$6,2,FALSE)</f>
        <v>5</v>
      </c>
      <c r="O355" t="str">
        <f ca="1">IF(Requests[[#This Row],[Age (days)]]&gt;Requests[[#This Row],[SLA Threshold]],"Yes","No")</f>
        <v>Yes</v>
      </c>
    </row>
    <row r="356" spans="1:15" hidden="1" x14ac:dyDescent="0.25">
      <c r="A356" s="17" t="s">
        <v>2436</v>
      </c>
      <c r="B356" s="8">
        <v>45509</v>
      </c>
      <c r="C356" s="8">
        <v>45595</v>
      </c>
      <c r="D356" t="s">
        <v>29</v>
      </c>
      <c r="E356" t="s">
        <v>532</v>
      </c>
      <c r="F356">
        <f t="shared" ref="F356:F361" ca="1" si="10">IF(ISBLANK(C356), NETWORKDAYS(B356,TODAY()), NETWORKDAYS(B356,C356))</f>
        <v>63</v>
      </c>
      <c r="G356" s="16" t="s">
        <v>31</v>
      </c>
      <c r="H356" t="s">
        <v>2437</v>
      </c>
      <c r="I356" t="s">
        <v>394</v>
      </c>
      <c r="J356" t="s">
        <v>40</v>
      </c>
      <c r="K356" t="s">
        <v>215</v>
      </c>
      <c r="L356" s="17" t="s">
        <v>120</v>
      </c>
      <c r="M356" t="str">
        <f>VLOOKUP(Requests[[#This Row],[Ticket ID]],[2]Requests!$A$2:$D$649,4,FALSE)</f>
        <v>4 - Low</v>
      </c>
      <c r="N356">
        <f>VLOOKUP(Requests[[#This Row],[Priority]],'SLA Config'!$B$3:$C$6,2,FALSE)</f>
        <v>25</v>
      </c>
      <c r="O356" t="str">
        <f ca="1">IF(Requests[[#This Row],[Age (days)]]&gt;Requests[[#This Row],[SLA Threshold]],"Yes","No")</f>
        <v>Yes</v>
      </c>
    </row>
    <row r="357" spans="1:15" hidden="1" x14ac:dyDescent="0.25">
      <c r="A357" s="17" t="s">
        <v>2438</v>
      </c>
      <c r="B357" s="8">
        <v>45510</v>
      </c>
      <c r="C357" s="8">
        <v>45510</v>
      </c>
      <c r="D357" t="s">
        <v>29</v>
      </c>
      <c r="E357" t="s">
        <v>38</v>
      </c>
      <c r="F357">
        <f t="shared" ca="1" si="10"/>
        <v>1</v>
      </c>
      <c r="G357" s="16" t="s">
        <v>31</v>
      </c>
      <c r="H357" t="s">
        <v>2294</v>
      </c>
      <c r="I357" t="s">
        <v>1321</v>
      </c>
      <c r="J357" t="s">
        <v>1827</v>
      </c>
      <c r="K357" t="s">
        <v>44</v>
      </c>
      <c r="L357" s="17" t="s">
        <v>36</v>
      </c>
      <c r="M357" t="str">
        <f>VLOOKUP(Requests[[#This Row],[Ticket ID]],[2]Requests!$A$2:$D$649,4,FALSE)</f>
        <v>4 - Low</v>
      </c>
      <c r="N357">
        <f>VLOOKUP(Requests[[#This Row],[Priority]],'SLA Config'!$B$3:$C$6,2,FALSE)</f>
        <v>25</v>
      </c>
      <c r="O357" t="str">
        <f ca="1">IF(Requests[[#This Row],[Age (days)]]&gt;Requests[[#This Row],[SLA Threshold]],"Yes","No")</f>
        <v>No</v>
      </c>
    </row>
    <row r="358" spans="1:15" hidden="1" x14ac:dyDescent="0.25">
      <c r="A358" s="17" t="s">
        <v>2439</v>
      </c>
      <c r="B358" s="8">
        <v>45510</v>
      </c>
      <c r="C358" s="8">
        <v>45517</v>
      </c>
      <c r="D358" t="s">
        <v>29</v>
      </c>
      <c r="E358" s="17" t="s">
        <v>38</v>
      </c>
      <c r="F358">
        <f t="shared" ca="1" si="10"/>
        <v>6</v>
      </c>
      <c r="G358" s="16" t="s">
        <v>31</v>
      </c>
      <c r="H358" t="s">
        <v>2294</v>
      </c>
      <c r="I358" t="s">
        <v>1321</v>
      </c>
      <c r="J358" t="s">
        <v>1827</v>
      </c>
      <c r="K358" s="17" t="s">
        <v>201</v>
      </c>
      <c r="L358" s="17" t="s">
        <v>120</v>
      </c>
      <c r="M358" t="str">
        <f>VLOOKUP(Requests[[#This Row],[Ticket ID]],[2]Requests!$A$2:$D$649,4,FALSE)</f>
        <v>4 - Low</v>
      </c>
      <c r="N358">
        <f>VLOOKUP(Requests[[#This Row],[Priority]],'SLA Config'!$B$3:$C$6,2,FALSE)</f>
        <v>25</v>
      </c>
      <c r="O358" t="str">
        <f ca="1">IF(Requests[[#This Row],[Age (days)]]&gt;Requests[[#This Row],[SLA Threshold]],"Yes","No")</f>
        <v>No</v>
      </c>
    </row>
    <row r="359" spans="1:15" hidden="1" x14ac:dyDescent="0.25">
      <c r="A359" s="17" t="s">
        <v>2440</v>
      </c>
      <c r="B359" s="8">
        <v>45512</v>
      </c>
      <c r="C359" s="8">
        <v>45528</v>
      </c>
      <c r="D359" t="s">
        <v>29</v>
      </c>
      <c r="E359" s="17" t="s">
        <v>38</v>
      </c>
      <c r="F359">
        <f t="shared" ca="1" si="10"/>
        <v>12</v>
      </c>
      <c r="G359" s="16" t="s">
        <v>31</v>
      </c>
      <c r="H359" s="17" t="s">
        <v>2441</v>
      </c>
      <c r="I359" t="s">
        <v>589</v>
      </c>
      <c r="J359" t="s">
        <v>397</v>
      </c>
      <c r="K359" s="17" t="s">
        <v>41</v>
      </c>
      <c r="L359" s="17" t="s">
        <v>36</v>
      </c>
      <c r="M359" t="str">
        <f>VLOOKUP(Requests[[#This Row],[Ticket ID]],[2]Requests!$A$2:$D$649,4,FALSE)</f>
        <v>4 - Low</v>
      </c>
      <c r="N359">
        <f>VLOOKUP(Requests[[#This Row],[Priority]],'SLA Config'!$B$3:$C$6,2,FALSE)</f>
        <v>25</v>
      </c>
      <c r="O359" t="str">
        <f ca="1">IF(Requests[[#This Row],[Age (days)]]&gt;Requests[[#This Row],[SLA Threshold]],"Yes","No")</f>
        <v>No</v>
      </c>
    </row>
    <row r="360" spans="1:15" hidden="1" x14ac:dyDescent="0.25">
      <c r="A360" s="17" t="s">
        <v>2442</v>
      </c>
      <c r="B360" s="8">
        <v>45513</v>
      </c>
      <c r="C360" s="8">
        <v>45756</v>
      </c>
      <c r="D360" s="28" t="s">
        <v>29</v>
      </c>
      <c r="E360" s="17" t="s">
        <v>104</v>
      </c>
      <c r="F360">
        <f t="shared" ca="1" si="10"/>
        <v>174</v>
      </c>
      <c r="G360" s="16" t="s">
        <v>31</v>
      </c>
      <c r="H360" t="s">
        <v>2443</v>
      </c>
      <c r="I360" t="s">
        <v>1321</v>
      </c>
      <c r="J360" t="s">
        <v>1827</v>
      </c>
      <c r="K360" s="17" t="s">
        <v>201</v>
      </c>
      <c r="L360" s="17" t="s">
        <v>120</v>
      </c>
      <c r="M360" t="str">
        <f>VLOOKUP(Requests[[#This Row],[Ticket ID]],[2]Requests!$A$2:$D$649,4,FALSE)</f>
        <v>3 - Medium</v>
      </c>
      <c r="N360">
        <f>VLOOKUP(Requests[[#This Row],[Priority]],'SLA Config'!$B$3:$C$6,2,FALSE)</f>
        <v>15</v>
      </c>
      <c r="O360" t="str">
        <f ca="1">IF(Requests[[#This Row],[Age (days)]]&gt;Requests[[#This Row],[SLA Threshold]],"Yes","No")</f>
        <v>Yes</v>
      </c>
    </row>
    <row r="361" spans="1:15" hidden="1" x14ac:dyDescent="0.25">
      <c r="A361" s="17" t="s">
        <v>2444</v>
      </c>
      <c r="B361" s="8">
        <v>45518</v>
      </c>
      <c r="C361" s="8">
        <v>45525</v>
      </c>
      <c r="D361" t="s">
        <v>29</v>
      </c>
      <c r="E361" s="17" t="s">
        <v>324</v>
      </c>
      <c r="F361">
        <f t="shared" ca="1" si="10"/>
        <v>6</v>
      </c>
      <c r="G361" s="16" t="s">
        <v>31</v>
      </c>
      <c r="H361" t="s">
        <v>2445</v>
      </c>
      <c r="I361" t="s">
        <v>1336</v>
      </c>
      <c r="J361" t="s">
        <v>1405</v>
      </c>
      <c r="K361" t="s">
        <v>2055</v>
      </c>
      <c r="L361" s="17" t="s">
        <v>120</v>
      </c>
      <c r="M361" t="str">
        <f>VLOOKUP(Requests[[#This Row],[Ticket ID]],[2]Requests!$A$2:$D$649,4,FALSE)</f>
        <v>4 - Low</v>
      </c>
      <c r="N361">
        <f>VLOOKUP(Requests[[#This Row],[Priority]],'SLA Config'!$B$3:$C$6,2,FALSE)</f>
        <v>25</v>
      </c>
      <c r="O361" t="str">
        <f ca="1">IF(Requests[[#This Row],[Age (days)]]&gt;Requests[[#This Row],[SLA Threshold]],"Yes","No")</f>
        <v>No</v>
      </c>
    </row>
    <row r="362" spans="1:15" ht="15.75" x14ac:dyDescent="0.25">
      <c r="A362" t="s">
        <v>2446</v>
      </c>
      <c r="B362" s="31">
        <v>45722</v>
      </c>
      <c r="C362" s="31">
        <v>45747</v>
      </c>
      <c r="D362" t="s">
        <v>29</v>
      </c>
      <c r="E362" t="s">
        <v>46</v>
      </c>
      <c r="F362">
        <f t="shared" ref="F362:F393" ca="1" si="11">IF(ISBLANK(C362), NETWORKDAYS(B362,TODAY()), NETWORKDAYS(B362,C362))</f>
        <v>18</v>
      </c>
      <c r="G362" s="16" t="s">
        <v>31</v>
      </c>
      <c r="H362" s="11" t="s">
        <v>2447</v>
      </c>
      <c r="K362" t="s">
        <v>215</v>
      </c>
      <c r="L362" t="s">
        <v>120</v>
      </c>
      <c r="M362" t="str">
        <f>VLOOKUP(Requests[[#This Row],[Ticket ID]],[2]Requests!$A$2:$D$649,4,FALSE)</f>
        <v>4 - Low</v>
      </c>
      <c r="N362">
        <f>VLOOKUP(Requests[[#This Row],[Priority]],'SLA Config'!$B$3:$C$6,2,FALSE)</f>
        <v>25</v>
      </c>
      <c r="O362" t="str">
        <f ca="1">IF(Requests[[#This Row],[Age (days)]]&gt;Requests[[#This Row],[SLA Threshold]],"Yes","No")</f>
        <v>No</v>
      </c>
    </row>
    <row r="363" spans="1:15" hidden="1" x14ac:dyDescent="0.25">
      <c r="A363" s="17" t="s">
        <v>2448</v>
      </c>
      <c r="B363" s="8">
        <v>45518</v>
      </c>
      <c r="C363" s="8">
        <v>45542</v>
      </c>
      <c r="D363" t="s">
        <v>29</v>
      </c>
      <c r="E363" t="s">
        <v>104</v>
      </c>
      <c r="F363">
        <f t="shared" ca="1" si="11"/>
        <v>18</v>
      </c>
      <c r="G363" s="16" t="s">
        <v>31</v>
      </c>
      <c r="H363" t="s">
        <v>2449</v>
      </c>
      <c r="I363" t="s">
        <v>394</v>
      </c>
      <c r="J363" t="s">
        <v>40</v>
      </c>
      <c r="K363" t="s">
        <v>215</v>
      </c>
      <c r="L363" s="17" t="s">
        <v>120</v>
      </c>
      <c r="M363" t="str">
        <f>VLOOKUP(Requests[[#This Row],[Ticket ID]],[2]Requests!$A$2:$D$649,4,FALSE)</f>
        <v>4 - Low</v>
      </c>
      <c r="N363">
        <f>VLOOKUP(Requests[[#This Row],[Priority]],'SLA Config'!$B$3:$C$6,2,FALSE)</f>
        <v>25</v>
      </c>
      <c r="O363" t="str">
        <f ca="1">IF(Requests[[#This Row],[Age (days)]]&gt;Requests[[#This Row],[SLA Threshold]],"Yes","No")</f>
        <v>No</v>
      </c>
    </row>
    <row r="364" spans="1:15" x14ac:dyDescent="0.25">
      <c r="A364" s="17" t="s">
        <v>2450</v>
      </c>
      <c r="B364" s="8">
        <v>45519</v>
      </c>
      <c r="C364" s="8">
        <v>45542</v>
      </c>
      <c r="D364" t="s">
        <v>29</v>
      </c>
      <c r="E364" t="s">
        <v>46</v>
      </c>
      <c r="F364">
        <f t="shared" ca="1" si="11"/>
        <v>17</v>
      </c>
      <c r="G364" s="16" t="s">
        <v>51</v>
      </c>
      <c r="H364" t="s">
        <v>2451</v>
      </c>
      <c r="I364" t="s">
        <v>394</v>
      </c>
      <c r="J364" t="s">
        <v>584</v>
      </c>
      <c r="K364" t="s">
        <v>119</v>
      </c>
      <c r="L364" s="17" t="s">
        <v>120</v>
      </c>
      <c r="M364" t="str">
        <f>VLOOKUP(Requests[[#This Row],[Ticket ID]],[2]Requests!$A$2:$D$649,4,FALSE)</f>
        <v>4 - Low</v>
      </c>
      <c r="N364">
        <f>VLOOKUP(Requests[[#This Row],[Priority]],'SLA Config'!$B$3:$C$6,2,FALSE)</f>
        <v>25</v>
      </c>
      <c r="O364" t="str">
        <f ca="1">IF(Requests[[#This Row],[Age (days)]]&gt;Requests[[#This Row],[SLA Threshold]],"Yes","No")</f>
        <v>No</v>
      </c>
    </row>
    <row r="365" spans="1:15" hidden="1" x14ac:dyDescent="0.25">
      <c r="A365" s="17" t="s">
        <v>2452</v>
      </c>
      <c r="B365" s="8">
        <v>45520</v>
      </c>
      <c r="C365" s="8">
        <v>45537</v>
      </c>
      <c r="D365" t="s">
        <v>29</v>
      </c>
      <c r="E365" s="17" t="s">
        <v>104</v>
      </c>
      <c r="F365">
        <f t="shared" ca="1" si="11"/>
        <v>12</v>
      </c>
      <c r="G365" s="16" t="s">
        <v>31</v>
      </c>
      <c r="H365" s="17" t="s">
        <v>2453</v>
      </c>
      <c r="I365" t="s">
        <v>1321</v>
      </c>
      <c r="J365" t="s">
        <v>307</v>
      </c>
      <c r="K365" s="17" t="s">
        <v>215</v>
      </c>
      <c r="L365" s="17" t="s">
        <v>120</v>
      </c>
      <c r="M365" t="str">
        <f>VLOOKUP(Requests[[#This Row],[Ticket ID]],[2]Requests!$A$2:$D$649,4,FALSE)</f>
        <v>4 - Low</v>
      </c>
      <c r="N365">
        <f>VLOOKUP(Requests[[#This Row],[Priority]],'SLA Config'!$B$3:$C$6,2,FALSE)</f>
        <v>25</v>
      </c>
      <c r="O365" t="str">
        <f ca="1">IF(Requests[[#This Row],[Age (days)]]&gt;Requests[[#This Row],[SLA Threshold]],"Yes","No")</f>
        <v>No</v>
      </c>
    </row>
    <row r="366" spans="1:15" hidden="1" x14ac:dyDescent="0.25">
      <c r="A366" s="17" t="s">
        <v>2454</v>
      </c>
      <c r="B366" s="8">
        <v>45523</v>
      </c>
      <c r="C366" s="8">
        <v>45529</v>
      </c>
      <c r="D366" t="s">
        <v>29</v>
      </c>
      <c r="E366" s="17" t="s">
        <v>38</v>
      </c>
      <c r="F366">
        <f t="shared" ca="1" si="11"/>
        <v>5</v>
      </c>
      <c r="G366" s="16" t="s">
        <v>31</v>
      </c>
      <c r="H366" t="s">
        <v>2455</v>
      </c>
      <c r="I366" t="s">
        <v>394</v>
      </c>
      <c r="J366" t="s">
        <v>584</v>
      </c>
      <c r="K366" s="17" t="s">
        <v>44</v>
      </c>
      <c r="L366" s="17" t="s">
        <v>36</v>
      </c>
      <c r="M366" t="str">
        <f>VLOOKUP(Requests[[#This Row],[Ticket ID]],[2]Requests!$A$2:$D$649,4,FALSE)</f>
        <v>4 - Low</v>
      </c>
      <c r="N366">
        <f>VLOOKUP(Requests[[#This Row],[Priority]],'SLA Config'!$B$3:$C$6,2,FALSE)</f>
        <v>25</v>
      </c>
      <c r="O366" t="str">
        <f ca="1">IF(Requests[[#This Row],[Age (days)]]&gt;Requests[[#This Row],[SLA Threshold]],"Yes","No")</f>
        <v>No</v>
      </c>
    </row>
    <row r="367" spans="1:15" hidden="1" x14ac:dyDescent="0.25">
      <c r="A367" s="17" t="s">
        <v>2456</v>
      </c>
      <c r="B367" s="8">
        <v>45526</v>
      </c>
      <c r="C367" s="8">
        <v>45535</v>
      </c>
      <c r="D367" t="s">
        <v>29</v>
      </c>
      <c r="E367" s="17" t="s">
        <v>38</v>
      </c>
      <c r="F367">
        <f t="shared" ca="1" si="11"/>
        <v>7</v>
      </c>
      <c r="G367" s="16" t="s">
        <v>51</v>
      </c>
      <c r="H367" t="s">
        <v>2457</v>
      </c>
      <c r="I367" t="s">
        <v>394</v>
      </c>
      <c r="J367" t="s">
        <v>584</v>
      </c>
      <c r="K367" t="s">
        <v>1388</v>
      </c>
      <c r="L367" s="17" t="s">
        <v>71</v>
      </c>
      <c r="M367" t="str">
        <f>VLOOKUP(Requests[[#This Row],[Ticket ID]],[2]Requests!$A$2:$D$649,4,FALSE)</f>
        <v>3 - Medium</v>
      </c>
      <c r="N367">
        <f>VLOOKUP(Requests[[#This Row],[Priority]],'SLA Config'!$B$3:$C$6,2,FALSE)</f>
        <v>15</v>
      </c>
      <c r="O367" t="str">
        <f ca="1">IF(Requests[[#This Row],[Age (days)]]&gt;Requests[[#This Row],[SLA Threshold]],"Yes","No")</f>
        <v>No</v>
      </c>
    </row>
    <row r="368" spans="1:15" hidden="1" x14ac:dyDescent="0.25">
      <c r="A368" s="17" t="s">
        <v>2458</v>
      </c>
      <c r="B368" s="8">
        <v>45531</v>
      </c>
      <c r="C368" s="8">
        <v>45558</v>
      </c>
      <c r="D368" t="s">
        <v>29</v>
      </c>
      <c r="E368" s="17" t="s">
        <v>104</v>
      </c>
      <c r="F368">
        <f t="shared" ca="1" si="11"/>
        <v>20</v>
      </c>
      <c r="G368" s="16" t="s">
        <v>31</v>
      </c>
      <c r="H368" s="17" t="s">
        <v>2459</v>
      </c>
      <c r="I368" t="s">
        <v>394</v>
      </c>
      <c r="J368" t="s">
        <v>40</v>
      </c>
      <c r="K368" s="17" t="s">
        <v>215</v>
      </c>
      <c r="L368" s="17" t="s">
        <v>120</v>
      </c>
      <c r="M368" t="str">
        <f>VLOOKUP(Requests[[#This Row],[Ticket ID]],[2]Requests!$A$2:$D$649,4,FALSE)</f>
        <v>4 - Low</v>
      </c>
      <c r="N368">
        <f>VLOOKUP(Requests[[#This Row],[Priority]],'SLA Config'!$B$3:$C$6,2,FALSE)</f>
        <v>25</v>
      </c>
      <c r="O368" t="str">
        <f ca="1">IF(Requests[[#This Row],[Age (days)]]&gt;Requests[[#This Row],[SLA Threshold]],"Yes","No")</f>
        <v>No</v>
      </c>
    </row>
    <row r="369" spans="1:15" hidden="1" x14ac:dyDescent="0.25">
      <c r="A369" s="17" t="s">
        <v>2460</v>
      </c>
      <c r="B369" s="8">
        <v>45532</v>
      </c>
      <c r="C369" s="8">
        <v>45532</v>
      </c>
      <c r="D369" t="s">
        <v>29</v>
      </c>
      <c r="E369" s="17" t="s">
        <v>38</v>
      </c>
      <c r="F369">
        <f t="shared" ca="1" si="11"/>
        <v>1</v>
      </c>
      <c r="G369" s="16" t="s">
        <v>31</v>
      </c>
      <c r="H369" s="17" t="s">
        <v>2461</v>
      </c>
      <c r="I369" t="s">
        <v>394</v>
      </c>
      <c r="J369" t="s">
        <v>40</v>
      </c>
      <c r="K369" s="17" t="s">
        <v>215</v>
      </c>
      <c r="L369" s="17" t="s">
        <v>120</v>
      </c>
      <c r="M369" t="str">
        <f>VLOOKUP(Requests[[#This Row],[Ticket ID]],[2]Requests!$A$2:$D$649,4,FALSE)</f>
        <v>4 - Low</v>
      </c>
      <c r="N369">
        <f>VLOOKUP(Requests[[#This Row],[Priority]],'SLA Config'!$B$3:$C$6,2,FALSE)</f>
        <v>25</v>
      </c>
      <c r="O369" t="str">
        <f ca="1">IF(Requests[[#This Row],[Age (days)]]&gt;Requests[[#This Row],[SLA Threshold]],"Yes","No")</f>
        <v>No</v>
      </c>
    </row>
    <row r="370" spans="1:15" hidden="1" x14ac:dyDescent="0.25">
      <c r="A370" s="17" t="s">
        <v>2462</v>
      </c>
      <c r="B370" s="8">
        <v>45532</v>
      </c>
      <c r="C370" s="8">
        <v>45543</v>
      </c>
      <c r="D370" t="s">
        <v>29</v>
      </c>
      <c r="E370" s="17" t="s">
        <v>324</v>
      </c>
      <c r="F370">
        <f t="shared" ca="1" si="11"/>
        <v>8</v>
      </c>
      <c r="G370" s="16" t="s">
        <v>51</v>
      </c>
      <c r="H370" s="17" t="s">
        <v>2463</v>
      </c>
      <c r="I370" t="s">
        <v>1321</v>
      </c>
      <c r="J370" t="s">
        <v>307</v>
      </c>
      <c r="K370" t="s">
        <v>119</v>
      </c>
      <c r="L370" s="17" t="s">
        <v>120</v>
      </c>
      <c r="M370" t="str">
        <f>VLOOKUP(Requests[[#This Row],[Ticket ID]],[2]Requests!$A$2:$D$649,4,FALSE)</f>
        <v>4 - Low</v>
      </c>
      <c r="N370">
        <f>VLOOKUP(Requests[[#This Row],[Priority]],'SLA Config'!$B$3:$C$6,2,FALSE)</f>
        <v>25</v>
      </c>
      <c r="O370" t="str">
        <f ca="1">IF(Requests[[#This Row],[Age (days)]]&gt;Requests[[#This Row],[SLA Threshold]],"Yes","No")</f>
        <v>No</v>
      </c>
    </row>
    <row r="371" spans="1:15" x14ac:dyDescent="0.25">
      <c r="A371" s="17" t="s">
        <v>2464</v>
      </c>
      <c r="B371" s="8">
        <v>45533</v>
      </c>
      <c r="C371" s="8">
        <v>45553</v>
      </c>
      <c r="D371" t="s">
        <v>29</v>
      </c>
      <c r="E371" t="s">
        <v>46</v>
      </c>
      <c r="F371">
        <f t="shared" ca="1" si="11"/>
        <v>15</v>
      </c>
      <c r="G371" s="16" t="s">
        <v>51</v>
      </c>
      <c r="H371" t="s">
        <v>2465</v>
      </c>
      <c r="I371" t="s">
        <v>394</v>
      </c>
      <c r="J371" t="s">
        <v>584</v>
      </c>
      <c r="K371" t="s">
        <v>119</v>
      </c>
      <c r="L371" s="17" t="s">
        <v>120</v>
      </c>
      <c r="M371" t="str">
        <f>VLOOKUP(Requests[[#This Row],[Ticket ID]],[2]Requests!$A$2:$D$649,4,FALSE)</f>
        <v>4 - Low</v>
      </c>
      <c r="N371">
        <f>VLOOKUP(Requests[[#This Row],[Priority]],'SLA Config'!$B$3:$C$6,2,FALSE)</f>
        <v>25</v>
      </c>
      <c r="O371" t="str">
        <f ca="1">IF(Requests[[#This Row],[Age (days)]]&gt;Requests[[#This Row],[SLA Threshold]],"Yes","No")</f>
        <v>No</v>
      </c>
    </row>
    <row r="372" spans="1:15" x14ac:dyDescent="0.25">
      <c r="A372" s="17" t="s">
        <v>2466</v>
      </c>
      <c r="B372" s="8">
        <v>45537</v>
      </c>
      <c r="C372" s="8">
        <v>45578</v>
      </c>
      <c r="D372" t="s">
        <v>29</v>
      </c>
      <c r="E372" t="s">
        <v>46</v>
      </c>
      <c r="F372">
        <f t="shared" ca="1" si="11"/>
        <v>30</v>
      </c>
      <c r="G372" s="16" t="s">
        <v>31</v>
      </c>
      <c r="H372" t="s">
        <v>2467</v>
      </c>
      <c r="I372" t="s">
        <v>1336</v>
      </c>
      <c r="J372" t="s">
        <v>1405</v>
      </c>
      <c r="K372" t="s">
        <v>1440</v>
      </c>
      <c r="L372" s="17" t="s">
        <v>120</v>
      </c>
      <c r="M372" t="str">
        <f>VLOOKUP(Requests[[#This Row],[Ticket ID]],[2]Requests!$A$2:$D$649,4,FALSE)</f>
        <v>4 - Low</v>
      </c>
      <c r="N372">
        <f>VLOOKUP(Requests[[#This Row],[Priority]],'SLA Config'!$B$3:$C$6,2,FALSE)</f>
        <v>25</v>
      </c>
      <c r="O372" t="str">
        <f ca="1">IF(Requests[[#This Row],[Age (days)]]&gt;Requests[[#This Row],[SLA Threshold]],"Yes","No")</f>
        <v>Yes</v>
      </c>
    </row>
    <row r="373" spans="1:15" x14ac:dyDescent="0.25">
      <c r="A373" s="17" t="s">
        <v>2468</v>
      </c>
      <c r="B373" s="8">
        <v>45537</v>
      </c>
      <c r="C373" s="8">
        <v>45577</v>
      </c>
      <c r="D373" t="s">
        <v>29</v>
      </c>
      <c r="E373" t="s">
        <v>46</v>
      </c>
      <c r="F373">
        <f t="shared" ca="1" si="11"/>
        <v>30</v>
      </c>
      <c r="G373" s="16" t="s">
        <v>31</v>
      </c>
      <c r="H373" t="s">
        <v>2469</v>
      </c>
      <c r="I373" t="s">
        <v>1336</v>
      </c>
      <c r="J373" t="s">
        <v>1405</v>
      </c>
      <c r="K373" t="s">
        <v>2470</v>
      </c>
      <c r="L373" s="17" t="s">
        <v>120</v>
      </c>
      <c r="M373" t="str">
        <f>VLOOKUP(Requests[[#This Row],[Ticket ID]],[2]Requests!$A$2:$D$649,4,FALSE)</f>
        <v>4 - Low</v>
      </c>
      <c r="N373">
        <f>VLOOKUP(Requests[[#This Row],[Priority]],'SLA Config'!$B$3:$C$6,2,FALSE)</f>
        <v>25</v>
      </c>
      <c r="O373" t="str">
        <f ca="1">IF(Requests[[#This Row],[Age (days)]]&gt;Requests[[#This Row],[SLA Threshold]],"Yes","No")</f>
        <v>Yes</v>
      </c>
    </row>
    <row r="374" spans="1:15" x14ac:dyDescent="0.25">
      <c r="A374" s="17" t="s">
        <v>2471</v>
      </c>
      <c r="B374" s="8">
        <v>45537</v>
      </c>
      <c r="C374" s="8">
        <v>45578</v>
      </c>
      <c r="D374" t="s">
        <v>29</v>
      </c>
      <c r="E374" t="s">
        <v>46</v>
      </c>
      <c r="F374">
        <f t="shared" ca="1" si="11"/>
        <v>30</v>
      </c>
      <c r="G374" s="16" t="s">
        <v>31</v>
      </c>
      <c r="H374" t="s">
        <v>2472</v>
      </c>
      <c r="I374" t="s">
        <v>1336</v>
      </c>
      <c r="J374" t="s">
        <v>1405</v>
      </c>
      <c r="K374" t="s">
        <v>2473</v>
      </c>
      <c r="L374" s="17" t="s">
        <v>120</v>
      </c>
      <c r="M374" t="str">
        <f>VLOOKUP(Requests[[#This Row],[Ticket ID]],[2]Requests!$A$2:$D$649,4,FALSE)</f>
        <v>4 - Low</v>
      </c>
      <c r="N374">
        <f>VLOOKUP(Requests[[#This Row],[Priority]],'SLA Config'!$B$3:$C$6,2,FALSE)</f>
        <v>25</v>
      </c>
      <c r="O374" t="str">
        <f ca="1">IF(Requests[[#This Row],[Age (days)]]&gt;Requests[[#This Row],[SLA Threshold]],"Yes","No")</f>
        <v>Yes</v>
      </c>
    </row>
    <row r="375" spans="1:15" x14ac:dyDescent="0.25">
      <c r="A375" t="s">
        <v>2474</v>
      </c>
      <c r="B375" s="1">
        <v>45538</v>
      </c>
      <c r="C375" s="8">
        <v>45552</v>
      </c>
      <c r="D375" t="s">
        <v>29</v>
      </c>
      <c r="E375" t="s">
        <v>46</v>
      </c>
      <c r="F375">
        <f t="shared" ca="1" si="11"/>
        <v>11</v>
      </c>
      <c r="G375" t="s">
        <v>31</v>
      </c>
      <c r="H375" t="s">
        <v>2475</v>
      </c>
      <c r="I375" t="s">
        <v>1336</v>
      </c>
      <c r="J375" t="s">
        <v>1405</v>
      </c>
      <c r="K375" t="s">
        <v>2470</v>
      </c>
      <c r="L375" t="s">
        <v>120</v>
      </c>
      <c r="M375" t="str">
        <f>VLOOKUP(Requests[[#This Row],[Ticket ID]],[2]Requests!$A$2:$D$649,4,FALSE)</f>
        <v>4 - Low</v>
      </c>
      <c r="N375">
        <f>VLOOKUP(Requests[[#This Row],[Priority]],'SLA Config'!$B$3:$C$6,2,FALSE)</f>
        <v>25</v>
      </c>
      <c r="O375" t="str">
        <f ca="1">IF(Requests[[#This Row],[Age (days)]]&gt;Requests[[#This Row],[SLA Threshold]],"Yes","No")</f>
        <v>No</v>
      </c>
    </row>
    <row r="376" spans="1:15" x14ac:dyDescent="0.25">
      <c r="A376" t="s">
        <v>2476</v>
      </c>
      <c r="B376" s="1">
        <v>45538</v>
      </c>
      <c r="C376" s="8">
        <v>45558</v>
      </c>
      <c r="D376" t="s">
        <v>29</v>
      </c>
      <c r="E376" t="s">
        <v>46</v>
      </c>
      <c r="F376">
        <f t="shared" ca="1" si="11"/>
        <v>15</v>
      </c>
      <c r="G376" t="s">
        <v>31</v>
      </c>
      <c r="H376" t="s">
        <v>2477</v>
      </c>
      <c r="I376" t="s">
        <v>1336</v>
      </c>
      <c r="J376" t="s">
        <v>1405</v>
      </c>
      <c r="K376" t="s">
        <v>2150</v>
      </c>
      <c r="L376" t="s">
        <v>120</v>
      </c>
      <c r="M376" t="str">
        <f>VLOOKUP(Requests[[#This Row],[Ticket ID]],[2]Requests!$A$2:$D$649,4,FALSE)</f>
        <v>4 - Low</v>
      </c>
      <c r="N376">
        <f>VLOOKUP(Requests[[#This Row],[Priority]],'SLA Config'!$B$3:$C$6,2,FALSE)</f>
        <v>25</v>
      </c>
      <c r="O376" t="str">
        <f ca="1">IF(Requests[[#This Row],[Age (days)]]&gt;Requests[[#This Row],[SLA Threshold]],"Yes","No")</f>
        <v>No</v>
      </c>
    </row>
    <row r="377" spans="1:15" x14ac:dyDescent="0.25">
      <c r="A377" t="s">
        <v>2478</v>
      </c>
      <c r="B377" s="1">
        <v>45538</v>
      </c>
      <c r="C377" s="8">
        <v>45550</v>
      </c>
      <c r="D377" t="s">
        <v>29</v>
      </c>
      <c r="E377" t="s">
        <v>46</v>
      </c>
      <c r="F377">
        <f t="shared" ca="1" si="11"/>
        <v>9</v>
      </c>
      <c r="G377" t="s">
        <v>31</v>
      </c>
      <c r="H377" t="s">
        <v>2479</v>
      </c>
      <c r="I377" t="s">
        <v>1336</v>
      </c>
      <c r="J377" t="s">
        <v>1405</v>
      </c>
      <c r="K377" t="s">
        <v>1440</v>
      </c>
      <c r="L377" t="s">
        <v>120</v>
      </c>
      <c r="M377" t="str">
        <f>VLOOKUP(Requests[[#This Row],[Ticket ID]],[2]Requests!$A$2:$D$649,4,FALSE)</f>
        <v>4 - Low</v>
      </c>
      <c r="N377">
        <f>VLOOKUP(Requests[[#This Row],[Priority]],'SLA Config'!$B$3:$C$6,2,FALSE)</f>
        <v>25</v>
      </c>
      <c r="O377" t="str">
        <f ca="1">IF(Requests[[#This Row],[Age (days)]]&gt;Requests[[#This Row],[SLA Threshold]],"Yes","No")</f>
        <v>No</v>
      </c>
    </row>
    <row r="378" spans="1:15" x14ac:dyDescent="0.25">
      <c r="A378" t="s">
        <v>2480</v>
      </c>
      <c r="B378" s="1">
        <v>45538</v>
      </c>
      <c r="C378" s="8">
        <v>45551</v>
      </c>
      <c r="D378" t="s">
        <v>29</v>
      </c>
      <c r="E378" t="s">
        <v>46</v>
      </c>
      <c r="F378">
        <f t="shared" ca="1" si="11"/>
        <v>10</v>
      </c>
      <c r="G378" t="s">
        <v>31</v>
      </c>
      <c r="H378" t="s">
        <v>2481</v>
      </c>
      <c r="I378" t="s">
        <v>1336</v>
      </c>
      <c r="J378" t="s">
        <v>1405</v>
      </c>
      <c r="K378" t="s">
        <v>2473</v>
      </c>
      <c r="L378" t="s">
        <v>120</v>
      </c>
      <c r="M378" t="str">
        <f>VLOOKUP(Requests[[#This Row],[Ticket ID]],[2]Requests!$A$2:$D$649,4,FALSE)</f>
        <v>4 - Low</v>
      </c>
      <c r="N378">
        <f>VLOOKUP(Requests[[#This Row],[Priority]],'SLA Config'!$B$3:$C$6,2,FALSE)</f>
        <v>25</v>
      </c>
      <c r="O378" t="str">
        <f ca="1">IF(Requests[[#This Row],[Age (days)]]&gt;Requests[[#This Row],[SLA Threshold]],"Yes","No")</f>
        <v>No</v>
      </c>
    </row>
    <row r="379" spans="1:15" ht="15.75" hidden="1" x14ac:dyDescent="0.3">
      <c r="A379" t="s">
        <v>2482</v>
      </c>
      <c r="B379" s="1">
        <v>45538</v>
      </c>
      <c r="C379" s="30">
        <v>45613</v>
      </c>
      <c r="D379" t="s">
        <v>29</v>
      </c>
      <c r="E379" t="s">
        <v>324</v>
      </c>
      <c r="F379">
        <f t="shared" ca="1" si="11"/>
        <v>54</v>
      </c>
      <c r="G379" t="s">
        <v>51</v>
      </c>
      <c r="H379" t="s">
        <v>2483</v>
      </c>
      <c r="I379" t="s">
        <v>394</v>
      </c>
      <c r="J379" t="s">
        <v>304</v>
      </c>
      <c r="K379" t="s">
        <v>119</v>
      </c>
      <c r="L379" t="s">
        <v>120</v>
      </c>
      <c r="M379" t="str">
        <f>VLOOKUP(Requests[[#This Row],[Ticket ID]],[2]Requests!$A$2:$D$649,4,FALSE)</f>
        <v>4 - Low</v>
      </c>
      <c r="N379">
        <f>VLOOKUP(Requests[[#This Row],[Priority]],'SLA Config'!$B$3:$C$6,2,FALSE)</f>
        <v>25</v>
      </c>
      <c r="O379" t="str">
        <f ca="1">IF(Requests[[#This Row],[Age (days)]]&gt;Requests[[#This Row],[SLA Threshold]],"Yes","No")</f>
        <v>Yes</v>
      </c>
    </row>
    <row r="380" spans="1:15" hidden="1" x14ac:dyDescent="0.25">
      <c r="A380" t="s">
        <v>2484</v>
      </c>
      <c r="B380" s="1">
        <v>45541</v>
      </c>
      <c r="C380" s="8">
        <v>45566</v>
      </c>
      <c r="D380" t="s">
        <v>29</v>
      </c>
      <c r="E380" t="s">
        <v>324</v>
      </c>
      <c r="F380">
        <f t="shared" ca="1" si="11"/>
        <v>18</v>
      </c>
      <c r="G380" t="s">
        <v>31</v>
      </c>
      <c r="H380" t="s">
        <v>2485</v>
      </c>
      <c r="I380" t="s">
        <v>1336</v>
      </c>
      <c r="J380" t="s">
        <v>1405</v>
      </c>
      <c r="K380" t="s">
        <v>215</v>
      </c>
      <c r="L380" t="s">
        <v>120</v>
      </c>
      <c r="M380" t="str">
        <f>VLOOKUP(Requests[[#This Row],[Ticket ID]],[2]Requests!$A$2:$D$649,4,FALSE)</f>
        <v>4 - Low</v>
      </c>
      <c r="N380">
        <f>VLOOKUP(Requests[[#This Row],[Priority]],'SLA Config'!$B$3:$C$6,2,FALSE)</f>
        <v>25</v>
      </c>
      <c r="O380" t="str">
        <f ca="1">IF(Requests[[#This Row],[Age (days)]]&gt;Requests[[#This Row],[SLA Threshold]],"Yes","No")</f>
        <v>No</v>
      </c>
    </row>
    <row r="381" spans="1:15" hidden="1" x14ac:dyDescent="0.25">
      <c r="A381" t="s">
        <v>2486</v>
      </c>
      <c r="B381" s="1">
        <v>45545</v>
      </c>
      <c r="C381" s="8">
        <v>45558</v>
      </c>
      <c r="D381" t="s">
        <v>29</v>
      </c>
      <c r="E381" t="s">
        <v>324</v>
      </c>
      <c r="F381">
        <f t="shared" ca="1" si="11"/>
        <v>10</v>
      </c>
      <c r="G381" t="s">
        <v>31</v>
      </c>
      <c r="H381" t="s">
        <v>2487</v>
      </c>
      <c r="I381" t="s">
        <v>1336</v>
      </c>
      <c r="J381" t="s">
        <v>1405</v>
      </c>
      <c r="K381" t="s">
        <v>2488</v>
      </c>
      <c r="L381" t="s">
        <v>120</v>
      </c>
      <c r="M381" t="str">
        <f>VLOOKUP(Requests[[#This Row],[Ticket ID]],[2]Requests!$A$2:$D$649,4,FALSE)</f>
        <v>4 - Low</v>
      </c>
      <c r="N381">
        <f>VLOOKUP(Requests[[#This Row],[Priority]],'SLA Config'!$B$3:$C$6,2,FALSE)</f>
        <v>25</v>
      </c>
      <c r="O381" t="str">
        <f ca="1">IF(Requests[[#This Row],[Age (days)]]&gt;Requests[[#This Row],[SLA Threshold]],"Yes","No")</f>
        <v>No</v>
      </c>
    </row>
    <row r="382" spans="1:15" x14ac:dyDescent="0.25">
      <c r="A382" t="s">
        <v>2489</v>
      </c>
      <c r="B382" s="1">
        <v>45546</v>
      </c>
      <c r="C382" s="8">
        <v>45559</v>
      </c>
      <c r="D382" t="s">
        <v>29</v>
      </c>
      <c r="E382" t="s">
        <v>46</v>
      </c>
      <c r="F382">
        <f t="shared" ca="1" si="11"/>
        <v>10</v>
      </c>
      <c r="G382" t="s">
        <v>31</v>
      </c>
      <c r="H382" t="s">
        <v>2490</v>
      </c>
      <c r="I382" t="s">
        <v>1336</v>
      </c>
      <c r="J382" t="s">
        <v>1405</v>
      </c>
      <c r="K382" t="s">
        <v>2491</v>
      </c>
      <c r="L382" t="s">
        <v>120</v>
      </c>
      <c r="M382" t="str">
        <f>VLOOKUP(Requests[[#This Row],[Ticket ID]],[2]Requests!$A$2:$D$649,4,FALSE)</f>
        <v>4 - Low</v>
      </c>
      <c r="N382">
        <f>VLOOKUP(Requests[[#This Row],[Priority]],'SLA Config'!$B$3:$C$6,2,FALSE)</f>
        <v>25</v>
      </c>
      <c r="O382" t="str">
        <f ca="1">IF(Requests[[#This Row],[Age (days)]]&gt;Requests[[#This Row],[SLA Threshold]],"Yes","No")</f>
        <v>No</v>
      </c>
    </row>
    <row r="383" spans="1:15" x14ac:dyDescent="0.25">
      <c r="A383" t="s">
        <v>2492</v>
      </c>
      <c r="B383" s="1">
        <v>45546</v>
      </c>
      <c r="C383" s="8">
        <v>45559</v>
      </c>
      <c r="D383" t="s">
        <v>29</v>
      </c>
      <c r="E383" t="s">
        <v>46</v>
      </c>
      <c r="F383">
        <f t="shared" ca="1" si="11"/>
        <v>10</v>
      </c>
      <c r="G383" t="s">
        <v>31</v>
      </c>
      <c r="H383" t="s">
        <v>2493</v>
      </c>
      <c r="I383" t="s">
        <v>1336</v>
      </c>
      <c r="J383" t="s">
        <v>1405</v>
      </c>
      <c r="K383" t="s">
        <v>2494</v>
      </c>
      <c r="L383" t="s">
        <v>120</v>
      </c>
      <c r="M383" t="str">
        <f>VLOOKUP(Requests[[#This Row],[Ticket ID]],[2]Requests!$A$2:$D$649,4,FALSE)</f>
        <v>4 - Low</v>
      </c>
      <c r="N383">
        <f>VLOOKUP(Requests[[#This Row],[Priority]],'SLA Config'!$B$3:$C$6,2,FALSE)</f>
        <v>25</v>
      </c>
      <c r="O383" t="str">
        <f ca="1">IF(Requests[[#This Row],[Age (days)]]&gt;Requests[[#This Row],[SLA Threshold]],"Yes","No")</f>
        <v>No</v>
      </c>
    </row>
    <row r="384" spans="1:15" x14ac:dyDescent="0.25">
      <c r="A384" t="s">
        <v>2495</v>
      </c>
      <c r="B384" s="1">
        <v>45546</v>
      </c>
      <c r="C384" s="8">
        <v>45570</v>
      </c>
      <c r="D384" t="s">
        <v>29</v>
      </c>
      <c r="E384" t="s">
        <v>46</v>
      </c>
      <c r="F384">
        <f t="shared" ca="1" si="11"/>
        <v>18</v>
      </c>
      <c r="G384" t="s">
        <v>31</v>
      </c>
      <c r="H384" t="s">
        <v>2496</v>
      </c>
      <c r="I384" t="s">
        <v>1336</v>
      </c>
      <c r="J384" t="s">
        <v>1405</v>
      </c>
      <c r="K384" t="s">
        <v>2497</v>
      </c>
      <c r="L384" t="s">
        <v>120</v>
      </c>
      <c r="M384" t="str">
        <f>VLOOKUP(Requests[[#This Row],[Ticket ID]],[2]Requests!$A$2:$D$649,4,FALSE)</f>
        <v>4 - Low</v>
      </c>
      <c r="N384">
        <f>VLOOKUP(Requests[[#This Row],[Priority]],'SLA Config'!$B$3:$C$6,2,FALSE)</f>
        <v>25</v>
      </c>
      <c r="O384" t="str">
        <f ca="1">IF(Requests[[#This Row],[Age (days)]]&gt;Requests[[#This Row],[SLA Threshold]],"Yes","No")</f>
        <v>No</v>
      </c>
    </row>
    <row r="385" spans="1:15" x14ac:dyDescent="0.25">
      <c r="A385" t="s">
        <v>2498</v>
      </c>
      <c r="B385" s="1">
        <v>45546</v>
      </c>
      <c r="C385" s="8">
        <v>45558</v>
      </c>
      <c r="D385" t="s">
        <v>29</v>
      </c>
      <c r="E385" t="s">
        <v>46</v>
      </c>
      <c r="F385">
        <f t="shared" ca="1" si="11"/>
        <v>9</v>
      </c>
      <c r="G385" t="s">
        <v>31</v>
      </c>
      <c r="H385" t="s">
        <v>2499</v>
      </c>
      <c r="I385" t="s">
        <v>1336</v>
      </c>
      <c r="J385" t="s">
        <v>1405</v>
      </c>
      <c r="K385" t="s">
        <v>2494</v>
      </c>
      <c r="L385" t="s">
        <v>120</v>
      </c>
      <c r="M385" t="str">
        <f>VLOOKUP(Requests[[#This Row],[Ticket ID]],[2]Requests!$A$2:$D$649,4,FALSE)</f>
        <v>4 - Low</v>
      </c>
      <c r="N385">
        <f>VLOOKUP(Requests[[#This Row],[Priority]],'SLA Config'!$B$3:$C$6,2,FALSE)</f>
        <v>25</v>
      </c>
      <c r="O385" t="str">
        <f ca="1">IF(Requests[[#This Row],[Age (days)]]&gt;Requests[[#This Row],[SLA Threshold]],"Yes","No")</f>
        <v>No</v>
      </c>
    </row>
    <row r="386" spans="1:15" hidden="1" x14ac:dyDescent="0.25">
      <c r="A386" t="s">
        <v>2500</v>
      </c>
      <c r="B386" s="1">
        <v>45547</v>
      </c>
      <c r="C386" s="8">
        <v>45565</v>
      </c>
      <c r="D386" t="s">
        <v>29</v>
      </c>
      <c r="E386" t="s">
        <v>324</v>
      </c>
      <c r="F386">
        <f t="shared" ca="1" si="11"/>
        <v>13</v>
      </c>
      <c r="G386" t="s">
        <v>31</v>
      </c>
      <c r="H386" t="s">
        <v>2501</v>
      </c>
      <c r="I386" t="s">
        <v>1336</v>
      </c>
      <c r="J386" t="s">
        <v>1405</v>
      </c>
      <c r="K386" t="s">
        <v>398</v>
      </c>
      <c r="L386" t="s">
        <v>71</v>
      </c>
      <c r="M386" t="str">
        <f>VLOOKUP(Requests[[#This Row],[Ticket ID]],[2]Requests!$A$2:$D$649,4,FALSE)</f>
        <v>4 - Low</v>
      </c>
      <c r="N386">
        <f>VLOOKUP(Requests[[#This Row],[Priority]],'SLA Config'!$B$3:$C$6,2,FALSE)</f>
        <v>25</v>
      </c>
      <c r="O386" t="str">
        <f ca="1">IF(Requests[[#This Row],[Age (days)]]&gt;Requests[[#This Row],[SLA Threshold]],"Yes","No")</f>
        <v>No</v>
      </c>
    </row>
    <row r="387" spans="1:15" hidden="1" x14ac:dyDescent="0.25">
      <c r="A387" t="s">
        <v>2502</v>
      </c>
      <c r="B387" s="1">
        <v>45548</v>
      </c>
      <c r="C387" s="8">
        <v>45560</v>
      </c>
      <c r="D387" t="s">
        <v>29</v>
      </c>
      <c r="E387" t="s">
        <v>324</v>
      </c>
      <c r="F387">
        <f t="shared" ca="1" si="11"/>
        <v>9</v>
      </c>
      <c r="G387" t="s">
        <v>51</v>
      </c>
      <c r="H387" t="s">
        <v>2503</v>
      </c>
      <c r="I387" t="s">
        <v>1336</v>
      </c>
      <c r="J387" t="s">
        <v>1405</v>
      </c>
      <c r="K387" t="s">
        <v>1388</v>
      </c>
      <c r="L387" t="s">
        <v>71</v>
      </c>
      <c r="M387" t="str">
        <f>VLOOKUP(Requests[[#This Row],[Ticket ID]],[2]Requests!$A$2:$D$649,4,FALSE)</f>
        <v>4 - Low</v>
      </c>
      <c r="N387">
        <f>VLOOKUP(Requests[[#This Row],[Priority]],'SLA Config'!$B$3:$C$6,2,FALSE)</f>
        <v>25</v>
      </c>
      <c r="O387" t="str">
        <f ca="1">IF(Requests[[#This Row],[Age (days)]]&gt;Requests[[#This Row],[SLA Threshold]],"Yes","No")</f>
        <v>No</v>
      </c>
    </row>
    <row r="388" spans="1:15" hidden="1" x14ac:dyDescent="0.25">
      <c r="A388" t="s">
        <v>2504</v>
      </c>
      <c r="B388" s="1">
        <v>45551</v>
      </c>
      <c r="C388" s="8">
        <v>45565</v>
      </c>
      <c r="D388" t="s">
        <v>29</v>
      </c>
      <c r="E388" t="s">
        <v>324</v>
      </c>
      <c r="F388">
        <f t="shared" ca="1" si="11"/>
        <v>11</v>
      </c>
      <c r="G388" t="s">
        <v>31</v>
      </c>
      <c r="H388" t="s">
        <v>2505</v>
      </c>
      <c r="I388" t="s">
        <v>1336</v>
      </c>
      <c r="J388" t="s">
        <v>1405</v>
      </c>
      <c r="K388" t="s">
        <v>2506</v>
      </c>
      <c r="L388" t="s">
        <v>120</v>
      </c>
      <c r="M388" t="str">
        <f>VLOOKUP(Requests[[#This Row],[Ticket ID]],[2]Requests!$A$2:$D$649,4,FALSE)</f>
        <v>4 - Low</v>
      </c>
      <c r="N388">
        <f>VLOOKUP(Requests[[#This Row],[Priority]],'SLA Config'!$B$3:$C$6,2,FALSE)</f>
        <v>25</v>
      </c>
      <c r="O388" t="str">
        <f ca="1">IF(Requests[[#This Row],[Age (days)]]&gt;Requests[[#This Row],[SLA Threshold]],"Yes","No")</f>
        <v>No</v>
      </c>
    </row>
    <row r="389" spans="1:15" hidden="1" x14ac:dyDescent="0.25">
      <c r="A389" t="s">
        <v>2507</v>
      </c>
      <c r="B389" s="1">
        <v>45551</v>
      </c>
      <c r="C389" s="8">
        <v>45577</v>
      </c>
      <c r="D389" t="s">
        <v>29</v>
      </c>
      <c r="E389" t="s">
        <v>324</v>
      </c>
      <c r="F389">
        <f t="shared" ca="1" si="11"/>
        <v>20</v>
      </c>
      <c r="G389" t="s">
        <v>31</v>
      </c>
      <c r="H389" t="s">
        <v>2508</v>
      </c>
      <c r="I389" t="s">
        <v>1336</v>
      </c>
      <c r="J389" t="s">
        <v>1405</v>
      </c>
      <c r="K389" t="s">
        <v>2509</v>
      </c>
      <c r="L389" t="s">
        <v>120</v>
      </c>
      <c r="M389" t="str">
        <f>VLOOKUP(Requests[[#This Row],[Ticket ID]],[2]Requests!$A$2:$D$649,4,FALSE)</f>
        <v>4 - Low</v>
      </c>
      <c r="N389">
        <f>VLOOKUP(Requests[[#This Row],[Priority]],'SLA Config'!$B$3:$C$6,2,FALSE)</f>
        <v>25</v>
      </c>
      <c r="O389" t="str">
        <f ca="1">IF(Requests[[#This Row],[Age (days)]]&gt;Requests[[#This Row],[SLA Threshold]],"Yes","No")</f>
        <v>No</v>
      </c>
    </row>
    <row r="390" spans="1:15" x14ac:dyDescent="0.25">
      <c r="A390" t="s">
        <v>2510</v>
      </c>
      <c r="B390" s="1">
        <v>45551</v>
      </c>
      <c r="C390" s="8">
        <v>45572</v>
      </c>
      <c r="D390" t="s">
        <v>29</v>
      </c>
      <c r="E390" t="s">
        <v>46</v>
      </c>
      <c r="F390">
        <f t="shared" ca="1" si="11"/>
        <v>16</v>
      </c>
      <c r="G390" t="s">
        <v>51</v>
      </c>
      <c r="H390" t="s">
        <v>2003</v>
      </c>
      <c r="I390" t="s">
        <v>394</v>
      </c>
      <c r="J390" t="s">
        <v>584</v>
      </c>
      <c r="K390" t="s">
        <v>119</v>
      </c>
      <c r="L390" t="s">
        <v>120</v>
      </c>
      <c r="M390" t="str">
        <f>VLOOKUP(Requests[[#This Row],[Ticket ID]],[2]Requests!$A$2:$D$649,4,FALSE)</f>
        <v>4 - Low</v>
      </c>
      <c r="N390">
        <f>VLOOKUP(Requests[[#This Row],[Priority]],'SLA Config'!$B$3:$C$6,2,FALSE)</f>
        <v>25</v>
      </c>
      <c r="O390" t="str">
        <f ca="1">IF(Requests[[#This Row],[Age (days)]]&gt;Requests[[#This Row],[SLA Threshold]],"Yes","No")</f>
        <v>No</v>
      </c>
    </row>
    <row r="391" spans="1:15" hidden="1" x14ac:dyDescent="0.25">
      <c r="A391" t="s">
        <v>2511</v>
      </c>
      <c r="B391" s="1">
        <v>45552</v>
      </c>
      <c r="C391" s="8">
        <v>45577</v>
      </c>
      <c r="D391" t="s">
        <v>29</v>
      </c>
      <c r="E391" t="s">
        <v>324</v>
      </c>
      <c r="F391">
        <f t="shared" ca="1" si="11"/>
        <v>19</v>
      </c>
      <c r="G391" t="s">
        <v>31</v>
      </c>
      <c r="H391" t="s">
        <v>2512</v>
      </c>
      <c r="I391" t="s">
        <v>1336</v>
      </c>
      <c r="J391" t="s">
        <v>1405</v>
      </c>
      <c r="K391" t="s">
        <v>215</v>
      </c>
      <c r="L391" t="s">
        <v>120</v>
      </c>
      <c r="M391" t="str">
        <f>VLOOKUP(Requests[[#This Row],[Ticket ID]],[2]Requests!$A$2:$D$649,4,FALSE)</f>
        <v>4 - Low</v>
      </c>
      <c r="N391">
        <f>VLOOKUP(Requests[[#This Row],[Priority]],'SLA Config'!$B$3:$C$6,2,FALSE)</f>
        <v>25</v>
      </c>
      <c r="O391" t="str">
        <f ca="1">IF(Requests[[#This Row],[Age (days)]]&gt;Requests[[#This Row],[SLA Threshold]],"Yes","No")</f>
        <v>No</v>
      </c>
    </row>
    <row r="392" spans="1:15" x14ac:dyDescent="0.25">
      <c r="A392" t="s">
        <v>2513</v>
      </c>
      <c r="B392" s="1">
        <v>45553</v>
      </c>
      <c r="C392" s="8">
        <v>45573</v>
      </c>
      <c r="D392" t="s">
        <v>29</v>
      </c>
      <c r="E392" t="s">
        <v>46</v>
      </c>
      <c r="F392">
        <f t="shared" ca="1" si="11"/>
        <v>15</v>
      </c>
      <c r="G392" t="s">
        <v>31</v>
      </c>
      <c r="H392" t="s">
        <v>2514</v>
      </c>
      <c r="I392" t="s">
        <v>1327</v>
      </c>
      <c r="J392" t="s">
        <v>34</v>
      </c>
      <c r="K392" t="s">
        <v>44</v>
      </c>
      <c r="L392" t="s">
        <v>36</v>
      </c>
      <c r="M392" t="str">
        <f>VLOOKUP(Requests[[#This Row],[Ticket ID]],[2]Requests!$A$2:$D$649,4,FALSE)</f>
        <v>4 - Low</v>
      </c>
      <c r="N392">
        <f>VLOOKUP(Requests[[#This Row],[Priority]],'SLA Config'!$B$3:$C$6,2,FALSE)</f>
        <v>25</v>
      </c>
      <c r="O392" t="str">
        <f ca="1">IF(Requests[[#This Row],[Age (days)]]&gt;Requests[[#This Row],[SLA Threshold]],"Yes","No")</f>
        <v>No</v>
      </c>
    </row>
    <row r="393" spans="1:15" x14ac:dyDescent="0.25">
      <c r="A393" t="s">
        <v>2515</v>
      </c>
      <c r="B393" s="1">
        <v>45553</v>
      </c>
      <c r="C393" s="8">
        <v>45558</v>
      </c>
      <c r="D393" t="s">
        <v>29</v>
      </c>
      <c r="E393" t="s">
        <v>46</v>
      </c>
      <c r="F393">
        <f t="shared" ca="1" si="11"/>
        <v>4</v>
      </c>
      <c r="G393" t="s">
        <v>31</v>
      </c>
      <c r="H393" t="s">
        <v>2516</v>
      </c>
      <c r="I393" t="s">
        <v>1327</v>
      </c>
      <c r="J393" t="s">
        <v>34</v>
      </c>
      <c r="K393" t="s">
        <v>2491</v>
      </c>
      <c r="L393" t="s">
        <v>120</v>
      </c>
      <c r="M393" t="str">
        <f>VLOOKUP(Requests[[#This Row],[Ticket ID]],[2]Requests!$A$2:$D$649,4,FALSE)</f>
        <v>4 - Low</v>
      </c>
      <c r="N393">
        <f>VLOOKUP(Requests[[#This Row],[Priority]],'SLA Config'!$B$3:$C$6,2,FALSE)</f>
        <v>25</v>
      </c>
      <c r="O393" t="str">
        <f ca="1">IF(Requests[[#This Row],[Age (days)]]&gt;Requests[[#This Row],[SLA Threshold]],"Yes","No")</f>
        <v>No</v>
      </c>
    </row>
    <row r="394" spans="1:15" x14ac:dyDescent="0.25">
      <c r="A394" t="s">
        <v>2517</v>
      </c>
      <c r="B394" s="1">
        <v>45554</v>
      </c>
      <c r="C394" s="8">
        <v>45593</v>
      </c>
      <c r="D394" t="s">
        <v>29</v>
      </c>
      <c r="E394" t="s">
        <v>46</v>
      </c>
      <c r="F394">
        <f t="shared" ref="F394:F425" ca="1" si="12">IF(ISBLANK(C394), NETWORKDAYS(B394,TODAY()), NETWORKDAYS(B394,C394))</f>
        <v>28</v>
      </c>
      <c r="G394" t="s">
        <v>31</v>
      </c>
      <c r="H394" t="s">
        <v>2518</v>
      </c>
      <c r="I394" t="s">
        <v>1336</v>
      </c>
      <c r="J394" t="s">
        <v>1405</v>
      </c>
      <c r="K394" t="s">
        <v>44</v>
      </c>
      <c r="L394" t="s">
        <v>36</v>
      </c>
      <c r="M394" t="str">
        <f>VLOOKUP(Requests[[#This Row],[Ticket ID]],[2]Requests!$A$2:$D$649,4,FALSE)</f>
        <v>4 - Low</v>
      </c>
      <c r="N394">
        <f>VLOOKUP(Requests[[#This Row],[Priority]],'SLA Config'!$B$3:$C$6,2,FALSE)</f>
        <v>25</v>
      </c>
      <c r="O394" t="str">
        <f ca="1">IF(Requests[[#This Row],[Age (days)]]&gt;Requests[[#This Row],[SLA Threshold]],"Yes","No")</f>
        <v>Yes</v>
      </c>
    </row>
    <row r="395" spans="1:15" hidden="1" x14ac:dyDescent="0.25">
      <c r="A395" t="s">
        <v>2519</v>
      </c>
      <c r="B395" s="1">
        <v>45554</v>
      </c>
      <c r="C395" s="8">
        <v>45571</v>
      </c>
      <c r="D395" t="s">
        <v>29</v>
      </c>
      <c r="E395" t="s">
        <v>104</v>
      </c>
      <c r="F395">
        <f t="shared" ca="1" si="12"/>
        <v>12</v>
      </c>
      <c r="G395" t="s">
        <v>51</v>
      </c>
      <c r="H395" t="s">
        <v>2520</v>
      </c>
      <c r="I395" t="s">
        <v>1321</v>
      </c>
      <c r="J395" t="s">
        <v>307</v>
      </c>
      <c r="K395" t="s">
        <v>119</v>
      </c>
      <c r="L395" t="s">
        <v>120</v>
      </c>
      <c r="M395" t="str">
        <f>VLOOKUP(Requests[[#This Row],[Ticket ID]],[2]Requests!$A$2:$D$649,4,FALSE)</f>
        <v>4 - Low</v>
      </c>
      <c r="N395">
        <f>VLOOKUP(Requests[[#This Row],[Priority]],'SLA Config'!$B$3:$C$6,2,FALSE)</f>
        <v>25</v>
      </c>
      <c r="O395" t="str">
        <f ca="1">IF(Requests[[#This Row],[Age (days)]]&gt;Requests[[#This Row],[SLA Threshold]],"Yes","No")</f>
        <v>No</v>
      </c>
    </row>
    <row r="396" spans="1:15" hidden="1" x14ac:dyDescent="0.25">
      <c r="A396" t="s">
        <v>2521</v>
      </c>
      <c r="B396" s="1">
        <v>45555</v>
      </c>
      <c r="C396" s="8">
        <v>45577</v>
      </c>
      <c r="D396" t="s">
        <v>29</v>
      </c>
      <c r="E396" t="s">
        <v>324</v>
      </c>
      <c r="F396">
        <f t="shared" ca="1" si="12"/>
        <v>16</v>
      </c>
      <c r="G396" t="s">
        <v>31</v>
      </c>
      <c r="H396" t="s">
        <v>2522</v>
      </c>
      <c r="I396" t="s">
        <v>1336</v>
      </c>
      <c r="J396" t="s">
        <v>1405</v>
      </c>
      <c r="K396" t="s">
        <v>215</v>
      </c>
      <c r="L396" t="s">
        <v>120</v>
      </c>
      <c r="M396" t="str">
        <f>VLOOKUP(Requests[[#This Row],[Ticket ID]],[2]Requests!$A$2:$D$649,4,FALSE)</f>
        <v>4 - Low</v>
      </c>
      <c r="N396">
        <f>VLOOKUP(Requests[[#This Row],[Priority]],'SLA Config'!$B$3:$C$6,2,FALSE)</f>
        <v>25</v>
      </c>
      <c r="O396" t="str">
        <f ca="1">IF(Requests[[#This Row],[Age (days)]]&gt;Requests[[#This Row],[SLA Threshold]],"Yes","No")</f>
        <v>No</v>
      </c>
    </row>
    <row r="397" spans="1:15" hidden="1" x14ac:dyDescent="0.25">
      <c r="A397" t="s">
        <v>2523</v>
      </c>
      <c r="B397" s="1">
        <v>45559</v>
      </c>
      <c r="C397" s="8">
        <v>45570</v>
      </c>
      <c r="D397" t="s">
        <v>29</v>
      </c>
      <c r="E397" t="s">
        <v>324</v>
      </c>
      <c r="F397">
        <f t="shared" ca="1" si="12"/>
        <v>9</v>
      </c>
      <c r="G397" t="s">
        <v>31</v>
      </c>
      <c r="H397" t="s">
        <v>2524</v>
      </c>
      <c r="I397" t="s">
        <v>1336</v>
      </c>
      <c r="J397" t="s">
        <v>1405</v>
      </c>
      <c r="K397" t="s">
        <v>215</v>
      </c>
      <c r="L397" t="s">
        <v>120</v>
      </c>
      <c r="M397" t="str">
        <f>VLOOKUP(Requests[[#This Row],[Ticket ID]],[2]Requests!$A$2:$D$649,4,FALSE)</f>
        <v>4 - Low</v>
      </c>
      <c r="N397">
        <f>VLOOKUP(Requests[[#This Row],[Priority]],'SLA Config'!$B$3:$C$6,2,FALSE)</f>
        <v>25</v>
      </c>
      <c r="O397" t="str">
        <f ca="1">IF(Requests[[#This Row],[Age (days)]]&gt;Requests[[#This Row],[SLA Threshold]],"Yes","No")</f>
        <v>No</v>
      </c>
    </row>
    <row r="398" spans="1:15" x14ac:dyDescent="0.25">
      <c r="A398" t="s">
        <v>2525</v>
      </c>
      <c r="B398" s="1">
        <v>45560</v>
      </c>
      <c r="C398" s="8">
        <v>45577</v>
      </c>
      <c r="D398" t="s">
        <v>29</v>
      </c>
      <c r="E398" t="s">
        <v>46</v>
      </c>
      <c r="F398">
        <f t="shared" ca="1" si="12"/>
        <v>13</v>
      </c>
      <c r="G398" t="s">
        <v>31</v>
      </c>
      <c r="H398" t="s">
        <v>2526</v>
      </c>
      <c r="I398" t="s">
        <v>1336</v>
      </c>
      <c r="J398" t="s">
        <v>1405</v>
      </c>
      <c r="K398" t="s">
        <v>2527</v>
      </c>
      <c r="L398" t="s">
        <v>120</v>
      </c>
      <c r="M398" t="str">
        <f>VLOOKUP(Requests[[#This Row],[Ticket ID]],[2]Requests!$A$2:$D$649,4,FALSE)</f>
        <v>4 - Low</v>
      </c>
      <c r="N398">
        <f>VLOOKUP(Requests[[#This Row],[Priority]],'SLA Config'!$B$3:$C$6,2,FALSE)</f>
        <v>25</v>
      </c>
      <c r="O398" t="str">
        <f ca="1">IF(Requests[[#This Row],[Age (days)]]&gt;Requests[[#This Row],[SLA Threshold]],"Yes","No")</f>
        <v>No</v>
      </c>
    </row>
    <row r="399" spans="1:15" x14ac:dyDescent="0.25">
      <c r="A399" t="s">
        <v>2528</v>
      </c>
      <c r="B399" s="1">
        <v>45560</v>
      </c>
      <c r="C399" s="8">
        <v>45578</v>
      </c>
      <c r="D399" t="s">
        <v>29</v>
      </c>
      <c r="E399" t="s">
        <v>46</v>
      </c>
      <c r="F399">
        <f t="shared" ca="1" si="12"/>
        <v>13</v>
      </c>
      <c r="G399" t="s">
        <v>31</v>
      </c>
      <c r="H399" t="s">
        <v>2529</v>
      </c>
      <c r="I399" t="s">
        <v>1336</v>
      </c>
      <c r="J399" t="s">
        <v>1405</v>
      </c>
      <c r="K399" t="s">
        <v>2036</v>
      </c>
      <c r="L399" t="s">
        <v>120</v>
      </c>
      <c r="M399" t="str">
        <f>VLOOKUP(Requests[[#This Row],[Ticket ID]],[2]Requests!$A$2:$D$649,4,FALSE)</f>
        <v>4 - Low</v>
      </c>
      <c r="N399">
        <f>VLOOKUP(Requests[[#This Row],[Priority]],'SLA Config'!$B$3:$C$6,2,FALSE)</f>
        <v>25</v>
      </c>
      <c r="O399" t="str">
        <f ca="1">IF(Requests[[#This Row],[Age (days)]]&gt;Requests[[#This Row],[SLA Threshold]],"Yes","No")</f>
        <v>No</v>
      </c>
    </row>
    <row r="400" spans="1:15" x14ac:dyDescent="0.25">
      <c r="A400" t="s">
        <v>2530</v>
      </c>
      <c r="B400" s="1">
        <v>45562</v>
      </c>
      <c r="C400" s="8">
        <v>45577</v>
      </c>
      <c r="D400" t="s">
        <v>29</v>
      </c>
      <c r="E400" t="s">
        <v>46</v>
      </c>
      <c r="F400">
        <f t="shared" ca="1" si="12"/>
        <v>11</v>
      </c>
      <c r="G400" t="s">
        <v>31</v>
      </c>
      <c r="H400" t="s">
        <v>2531</v>
      </c>
      <c r="I400" t="s">
        <v>1336</v>
      </c>
      <c r="J400" t="s">
        <v>1405</v>
      </c>
      <c r="K400" t="s">
        <v>1640</v>
      </c>
      <c r="L400" t="s">
        <v>120</v>
      </c>
      <c r="M400" t="str">
        <f>VLOOKUP(Requests[[#This Row],[Ticket ID]],[2]Requests!$A$2:$D$649,4,FALSE)</f>
        <v>4 - Low</v>
      </c>
      <c r="N400">
        <f>VLOOKUP(Requests[[#This Row],[Priority]],'SLA Config'!$B$3:$C$6,2,FALSE)</f>
        <v>25</v>
      </c>
      <c r="O400" t="str">
        <f ca="1">IF(Requests[[#This Row],[Age (days)]]&gt;Requests[[#This Row],[SLA Threshold]],"Yes","No")</f>
        <v>No</v>
      </c>
    </row>
    <row r="401" spans="1:15" hidden="1" x14ac:dyDescent="0.25">
      <c r="A401" t="s">
        <v>2532</v>
      </c>
      <c r="B401" s="1">
        <v>45566</v>
      </c>
      <c r="C401" s="8">
        <v>45571</v>
      </c>
      <c r="D401" t="s">
        <v>29</v>
      </c>
      <c r="E401" t="s">
        <v>324</v>
      </c>
      <c r="F401">
        <f t="shared" ca="1" si="12"/>
        <v>4</v>
      </c>
      <c r="G401" t="s">
        <v>31</v>
      </c>
      <c r="H401" t="s">
        <v>2533</v>
      </c>
      <c r="I401" t="s">
        <v>1336</v>
      </c>
      <c r="J401" t="s">
        <v>1405</v>
      </c>
      <c r="K401" t="s">
        <v>2058</v>
      </c>
      <c r="L401" t="s">
        <v>71</v>
      </c>
      <c r="M401" t="str">
        <f>VLOOKUP(Requests[[#This Row],[Ticket ID]],[2]Requests!$A$2:$D$649,4,FALSE)</f>
        <v>4 - Low</v>
      </c>
      <c r="N401">
        <f>VLOOKUP(Requests[[#This Row],[Priority]],'SLA Config'!$B$3:$C$6,2,FALSE)</f>
        <v>25</v>
      </c>
      <c r="O401" t="str">
        <f ca="1">IF(Requests[[#This Row],[Age (days)]]&gt;Requests[[#This Row],[SLA Threshold]],"Yes","No")</f>
        <v>No</v>
      </c>
    </row>
    <row r="402" spans="1:15" hidden="1" x14ac:dyDescent="0.25">
      <c r="A402" t="s">
        <v>2534</v>
      </c>
      <c r="B402" s="1">
        <v>45566</v>
      </c>
      <c r="C402" s="8">
        <v>45578</v>
      </c>
      <c r="D402" t="s">
        <v>29</v>
      </c>
      <c r="E402" t="s">
        <v>324</v>
      </c>
      <c r="F402">
        <f t="shared" ca="1" si="12"/>
        <v>9</v>
      </c>
      <c r="G402" t="s">
        <v>31</v>
      </c>
      <c r="H402" t="s">
        <v>2535</v>
      </c>
      <c r="I402" t="s">
        <v>1336</v>
      </c>
      <c r="J402" t="s">
        <v>1405</v>
      </c>
      <c r="K402" t="s">
        <v>215</v>
      </c>
      <c r="L402" t="s">
        <v>120</v>
      </c>
      <c r="M402" t="str">
        <f>VLOOKUP(Requests[[#This Row],[Ticket ID]],[2]Requests!$A$2:$D$649,4,FALSE)</f>
        <v>4 - Low</v>
      </c>
      <c r="N402">
        <f>VLOOKUP(Requests[[#This Row],[Priority]],'SLA Config'!$B$3:$C$6,2,FALSE)</f>
        <v>25</v>
      </c>
      <c r="O402" t="str">
        <f ca="1">IF(Requests[[#This Row],[Age (days)]]&gt;Requests[[#This Row],[SLA Threshold]],"Yes","No")</f>
        <v>No</v>
      </c>
    </row>
    <row r="403" spans="1:15" x14ac:dyDescent="0.25">
      <c r="A403" t="s">
        <v>2536</v>
      </c>
      <c r="B403" s="1">
        <v>45566</v>
      </c>
      <c r="C403" s="8">
        <v>45593</v>
      </c>
      <c r="D403" t="s">
        <v>29</v>
      </c>
      <c r="E403" t="s">
        <v>46</v>
      </c>
      <c r="F403">
        <f t="shared" ca="1" si="12"/>
        <v>20</v>
      </c>
      <c r="G403" t="s">
        <v>31</v>
      </c>
      <c r="H403" t="s">
        <v>2537</v>
      </c>
      <c r="I403" t="s">
        <v>589</v>
      </c>
      <c r="J403" t="s">
        <v>2326</v>
      </c>
      <c r="K403" t="s">
        <v>2538</v>
      </c>
      <c r="L403" t="s">
        <v>71</v>
      </c>
      <c r="M403" t="str">
        <f>VLOOKUP(Requests[[#This Row],[Ticket ID]],[2]Requests!$A$2:$D$649,4,FALSE)</f>
        <v>4 - Low</v>
      </c>
      <c r="N403">
        <f>VLOOKUP(Requests[[#This Row],[Priority]],'SLA Config'!$B$3:$C$6,2,FALSE)</f>
        <v>25</v>
      </c>
      <c r="O403" t="str">
        <f ca="1">IF(Requests[[#This Row],[Age (days)]]&gt;Requests[[#This Row],[SLA Threshold]],"Yes","No")</f>
        <v>No</v>
      </c>
    </row>
    <row r="404" spans="1:15" hidden="1" x14ac:dyDescent="0.25">
      <c r="A404" s="17" t="s">
        <v>2539</v>
      </c>
      <c r="B404" s="8">
        <v>45567</v>
      </c>
      <c r="C404" s="8">
        <v>45577</v>
      </c>
      <c r="D404" t="s">
        <v>29</v>
      </c>
      <c r="E404" s="17" t="s">
        <v>38</v>
      </c>
      <c r="F404">
        <f t="shared" ca="1" si="12"/>
        <v>8</v>
      </c>
      <c r="G404" s="16" t="s">
        <v>31</v>
      </c>
      <c r="H404" s="17" t="s">
        <v>2540</v>
      </c>
      <c r="I404" t="s">
        <v>1336</v>
      </c>
      <c r="J404" t="s">
        <v>1405</v>
      </c>
      <c r="K404" s="17" t="s">
        <v>2541</v>
      </c>
      <c r="L404" t="s">
        <v>120</v>
      </c>
      <c r="M404" t="str">
        <f>VLOOKUP(Requests[[#This Row],[Ticket ID]],[2]Requests!$A$2:$D$649,4,FALSE)</f>
        <v>4 - Low</v>
      </c>
      <c r="N404">
        <f>VLOOKUP(Requests[[#This Row],[Priority]],'SLA Config'!$B$3:$C$6,2,FALSE)</f>
        <v>25</v>
      </c>
      <c r="O404" t="str">
        <f ca="1">IF(Requests[[#This Row],[Age (days)]]&gt;Requests[[#This Row],[SLA Threshold]],"Yes","No")</f>
        <v>No</v>
      </c>
    </row>
    <row r="405" spans="1:15" ht="15.75" hidden="1" x14ac:dyDescent="0.3">
      <c r="A405" s="17" t="s">
        <v>2542</v>
      </c>
      <c r="B405" s="8">
        <v>45569</v>
      </c>
      <c r="C405" s="30">
        <v>45644</v>
      </c>
      <c r="D405" t="s">
        <v>29</v>
      </c>
      <c r="E405" s="17" t="s">
        <v>30</v>
      </c>
      <c r="F405">
        <f t="shared" ca="1" si="12"/>
        <v>54</v>
      </c>
      <c r="G405" s="16" t="s">
        <v>31</v>
      </c>
      <c r="H405" s="17" t="s">
        <v>2543</v>
      </c>
      <c r="I405" t="s">
        <v>1327</v>
      </c>
      <c r="J405" t="s">
        <v>34</v>
      </c>
      <c r="K405" s="17" t="s">
        <v>44</v>
      </c>
      <c r="L405" t="s">
        <v>36</v>
      </c>
      <c r="M405" t="str">
        <f>VLOOKUP(Requests[[#This Row],[Ticket ID]],[2]Requests!$A$2:$D$649,4,FALSE)</f>
        <v>4 - Low</v>
      </c>
      <c r="N405">
        <f>VLOOKUP(Requests[[#This Row],[Priority]],'SLA Config'!$B$3:$C$6,2,FALSE)</f>
        <v>25</v>
      </c>
      <c r="O405" t="str">
        <f ca="1">IF(Requests[[#This Row],[Age (days)]]&gt;Requests[[#This Row],[SLA Threshold]],"Yes","No")</f>
        <v>Yes</v>
      </c>
    </row>
    <row r="406" spans="1:15" x14ac:dyDescent="0.25">
      <c r="A406" s="17" t="s">
        <v>2544</v>
      </c>
      <c r="B406" s="8">
        <v>45573</v>
      </c>
      <c r="C406" s="8">
        <v>45587</v>
      </c>
      <c r="D406" t="s">
        <v>29</v>
      </c>
      <c r="E406" s="17" t="s">
        <v>46</v>
      </c>
      <c r="F406">
        <f t="shared" ca="1" si="12"/>
        <v>11</v>
      </c>
      <c r="G406" s="16" t="s">
        <v>31</v>
      </c>
      <c r="H406" s="17" t="s">
        <v>2545</v>
      </c>
      <c r="I406" t="s">
        <v>394</v>
      </c>
      <c r="J406" t="s">
        <v>584</v>
      </c>
      <c r="K406" s="17" t="s">
        <v>462</v>
      </c>
      <c r="L406" t="s">
        <v>71</v>
      </c>
      <c r="M406" t="str">
        <f>VLOOKUP(Requests[[#This Row],[Ticket ID]],[2]Requests!$A$2:$D$649,4,FALSE)</f>
        <v>4 - Low</v>
      </c>
      <c r="N406">
        <f>VLOOKUP(Requests[[#This Row],[Priority]],'SLA Config'!$B$3:$C$6,2,FALSE)</f>
        <v>25</v>
      </c>
      <c r="O406" t="str">
        <f ca="1">IF(Requests[[#This Row],[Age (days)]]&gt;Requests[[#This Row],[SLA Threshold]],"Yes","No")</f>
        <v>No</v>
      </c>
    </row>
    <row r="407" spans="1:15" x14ac:dyDescent="0.25">
      <c r="A407" s="17" t="s">
        <v>2546</v>
      </c>
      <c r="B407" s="8">
        <v>45573</v>
      </c>
      <c r="C407" s="8">
        <v>45579</v>
      </c>
      <c r="D407" t="s">
        <v>29</v>
      </c>
      <c r="E407" s="17" t="s">
        <v>46</v>
      </c>
      <c r="F407">
        <f t="shared" ca="1" si="12"/>
        <v>5</v>
      </c>
      <c r="G407" s="16" t="s">
        <v>31</v>
      </c>
      <c r="H407" s="17" t="s">
        <v>2547</v>
      </c>
      <c r="I407" t="s">
        <v>1336</v>
      </c>
      <c r="J407" t="s">
        <v>1717</v>
      </c>
      <c r="K407" s="17" t="s">
        <v>2548</v>
      </c>
      <c r="L407" t="s">
        <v>120</v>
      </c>
      <c r="M407" t="str">
        <f>VLOOKUP(Requests[[#This Row],[Ticket ID]],[2]Requests!$A$2:$D$649,4,FALSE)</f>
        <v>4 - Low</v>
      </c>
      <c r="N407">
        <f>VLOOKUP(Requests[[#This Row],[Priority]],'SLA Config'!$B$3:$C$6,2,FALSE)</f>
        <v>25</v>
      </c>
      <c r="O407" t="str">
        <f ca="1">IF(Requests[[#This Row],[Age (days)]]&gt;Requests[[#This Row],[SLA Threshold]],"Yes","No")</f>
        <v>No</v>
      </c>
    </row>
    <row r="408" spans="1:15" x14ac:dyDescent="0.25">
      <c r="A408" s="17" t="s">
        <v>2549</v>
      </c>
      <c r="B408" s="8">
        <v>45573</v>
      </c>
      <c r="C408" s="8">
        <v>45579</v>
      </c>
      <c r="D408" t="s">
        <v>29</v>
      </c>
      <c r="E408" t="s">
        <v>46</v>
      </c>
      <c r="F408">
        <f t="shared" ca="1" si="12"/>
        <v>5</v>
      </c>
      <c r="G408" s="16" t="s">
        <v>31</v>
      </c>
      <c r="H408" s="17" t="s">
        <v>2547</v>
      </c>
      <c r="I408" t="s">
        <v>1336</v>
      </c>
      <c r="J408" t="s">
        <v>1717</v>
      </c>
      <c r="K408" s="17" t="s">
        <v>2197</v>
      </c>
      <c r="L408" t="s">
        <v>120</v>
      </c>
      <c r="M408" t="str">
        <f>VLOOKUP(Requests[[#This Row],[Ticket ID]],[2]Requests!$A$2:$D$649,4,FALSE)</f>
        <v>4 - Low</v>
      </c>
      <c r="N408">
        <f>VLOOKUP(Requests[[#This Row],[Priority]],'SLA Config'!$B$3:$C$6,2,FALSE)</f>
        <v>25</v>
      </c>
      <c r="O408" t="str">
        <f ca="1">IF(Requests[[#This Row],[Age (days)]]&gt;Requests[[#This Row],[SLA Threshold]],"Yes","No")</f>
        <v>No</v>
      </c>
    </row>
    <row r="409" spans="1:15" hidden="1" x14ac:dyDescent="0.25">
      <c r="A409" t="s">
        <v>2550</v>
      </c>
      <c r="B409" s="8">
        <v>45576</v>
      </c>
      <c r="C409" s="8">
        <v>45586</v>
      </c>
      <c r="D409" t="s">
        <v>29</v>
      </c>
      <c r="E409" t="s">
        <v>38</v>
      </c>
      <c r="F409">
        <f t="shared" ca="1" si="12"/>
        <v>7</v>
      </c>
      <c r="G409" s="16" t="s">
        <v>51</v>
      </c>
      <c r="H409" t="s">
        <v>1716</v>
      </c>
      <c r="I409" t="s">
        <v>1336</v>
      </c>
      <c r="J409" t="s">
        <v>1717</v>
      </c>
      <c r="K409" t="s">
        <v>119</v>
      </c>
      <c r="L409" t="s">
        <v>120</v>
      </c>
      <c r="M409" t="str">
        <f>VLOOKUP(Requests[[#This Row],[Ticket ID]],[2]Requests!$A$2:$D$649,4,FALSE)</f>
        <v>4 - Low</v>
      </c>
      <c r="N409">
        <f>VLOOKUP(Requests[[#This Row],[Priority]],'SLA Config'!$B$3:$C$6,2,FALSE)</f>
        <v>25</v>
      </c>
      <c r="O409" t="str">
        <f ca="1">IF(Requests[[#This Row],[Age (days)]]&gt;Requests[[#This Row],[SLA Threshold]],"Yes","No")</f>
        <v>No</v>
      </c>
    </row>
    <row r="410" spans="1:15" x14ac:dyDescent="0.25">
      <c r="A410" t="s">
        <v>2551</v>
      </c>
      <c r="B410" s="8">
        <v>45579</v>
      </c>
      <c r="C410" s="8">
        <v>45591</v>
      </c>
      <c r="D410" t="s">
        <v>29</v>
      </c>
      <c r="E410" t="s">
        <v>46</v>
      </c>
      <c r="F410">
        <f t="shared" ca="1" si="12"/>
        <v>10</v>
      </c>
      <c r="G410" s="16" t="s">
        <v>51</v>
      </c>
      <c r="H410" t="s">
        <v>2552</v>
      </c>
      <c r="I410" t="s">
        <v>1321</v>
      </c>
      <c r="J410" t="s">
        <v>1743</v>
      </c>
      <c r="K410" t="s">
        <v>119</v>
      </c>
      <c r="L410" t="s">
        <v>120</v>
      </c>
      <c r="M410" t="str">
        <f>VLOOKUP(Requests[[#This Row],[Ticket ID]],[2]Requests!$A$2:$D$649,4,FALSE)</f>
        <v>4 - Low</v>
      </c>
      <c r="N410">
        <f>VLOOKUP(Requests[[#This Row],[Priority]],'SLA Config'!$B$3:$C$6,2,FALSE)</f>
        <v>25</v>
      </c>
      <c r="O410" t="str">
        <f ca="1">IF(Requests[[#This Row],[Age (days)]]&gt;Requests[[#This Row],[SLA Threshold]],"Yes","No")</f>
        <v>No</v>
      </c>
    </row>
    <row r="411" spans="1:15" hidden="1" x14ac:dyDescent="0.25">
      <c r="A411" t="s">
        <v>2553</v>
      </c>
      <c r="B411" s="8">
        <v>45580</v>
      </c>
      <c r="C411" s="8">
        <v>45593</v>
      </c>
      <c r="D411" t="s">
        <v>29</v>
      </c>
      <c r="E411" t="s">
        <v>324</v>
      </c>
      <c r="F411">
        <f t="shared" ca="1" si="12"/>
        <v>10</v>
      </c>
      <c r="G411" s="16" t="s">
        <v>31</v>
      </c>
      <c r="H411" t="s">
        <v>1442</v>
      </c>
      <c r="I411" t="s">
        <v>1336</v>
      </c>
      <c r="J411" t="s">
        <v>1405</v>
      </c>
      <c r="K411" t="s">
        <v>44</v>
      </c>
      <c r="L411" t="s">
        <v>36</v>
      </c>
      <c r="M411" t="str">
        <f>VLOOKUP(Requests[[#This Row],[Ticket ID]],[2]Requests!$A$2:$D$649,4,FALSE)</f>
        <v>4 - Low</v>
      </c>
      <c r="N411">
        <f>VLOOKUP(Requests[[#This Row],[Priority]],'SLA Config'!$B$3:$C$6,2,FALSE)</f>
        <v>25</v>
      </c>
      <c r="O411" t="str">
        <f ca="1">IF(Requests[[#This Row],[Age (days)]]&gt;Requests[[#This Row],[SLA Threshold]],"Yes","No")</f>
        <v>No</v>
      </c>
    </row>
    <row r="412" spans="1:15" x14ac:dyDescent="0.25">
      <c r="A412" t="s">
        <v>2554</v>
      </c>
      <c r="B412" s="8">
        <v>45580</v>
      </c>
      <c r="C412" s="8">
        <v>45587</v>
      </c>
      <c r="D412" t="s">
        <v>29</v>
      </c>
      <c r="E412" t="s">
        <v>46</v>
      </c>
      <c r="F412">
        <f t="shared" ca="1" si="12"/>
        <v>6</v>
      </c>
      <c r="G412" s="16" t="s">
        <v>31</v>
      </c>
      <c r="H412" t="s">
        <v>2547</v>
      </c>
      <c r="I412" t="s">
        <v>1336</v>
      </c>
      <c r="J412" t="s">
        <v>1717</v>
      </c>
      <c r="K412" t="s">
        <v>207</v>
      </c>
      <c r="L412" t="s">
        <v>71</v>
      </c>
      <c r="M412" t="str">
        <f>VLOOKUP(Requests[[#This Row],[Ticket ID]],[2]Requests!$A$2:$D$649,4,FALSE)</f>
        <v>4 - Low</v>
      </c>
      <c r="N412">
        <f>VLOOKUP(Requests[[#This Row],[Priority]],'SLA Config'!$B$3:$C$6,2,FALSE)</f>
        <v>25</v>
      </c>
      <c r="O412" t="str">
        <f ca="1">IF(Requests[[#This Row],[Age (days)]]&gt;Requests[[#This Row],[SLA Threshold]],"Yes","No")</f>
        <v>No</v>
      </c>
    </row>
    <row r="413" spans="1:15" hidden="1" x14ac:dyDescent="0.25">
      <c r="A413" t="s">
        <v>2555</v>
      </c>
      <c r="B413" s="8">
        <v>45583</v>
      </c>
      <c r="C413" s="8">
        <v>45591</v>
      </c>
      <c r="D413" t="s">
        <v>29</v>
      </c>
      <c r="E413" t="s">
        <v>104</v>
      </c>
      <c r="F413">
        <f t="shared" ca="1" si="12"/>
        <v>6</v>
      </c>
      <c r="G413" s="16" t="s">
        <v>51</v>
      </c>
      <c r="H413" t="s">
        <v>2556</v>
      </c>
      <c r="I413" t="s">
        <v>1321</v>
      </c>
      <c r="J413" t="s">
        <v>1743</v>
      </c>
      <c r="K413" t="s">
        <v>119</v>
      </c>
      <c r="L413" t="s">
        <v>120</v>
      </c>
      <c r="M413" t="str">
        <f>VLOOKUP(Requests[[#This Row],[Ticket ID]],[2]Requests!$A$2:$D$649,4,FALSE)</f>
        <v>4 - Low</v>
      </c>
      <c r="N413">
        <f>VLOOKUP(Requests[[#This Row],[Priority]],'SLA Config'!$B$3:$C$6,2,FALSE)</f>
        <v>25</v>
      </c>
      <c r="O413" t="str">
        <f ca="1">IF(Requests[[#This Row],[Age (days)]]&gt;Requests[[#This Row],[SLA Threshold]],"Yes","No")</f>
        <v>No</v>
      </c>
    </row>
    <row r="414" spans="1:15" hidden="1" x14ac:dyDescent="0.25">
      <c r="A414" t="s">
        <v>2557</v>
      </c>
      <c r="B414" s="8">
        <v>45585</v>
      </c>
      <c r="C414" s="8">
        <v>45591</v>
      </c>
      <c r="D414" t="s">
        <v>29</v>
      </c>
      <c r="E414" t="s">
        <v>324</v>
      </c>
      <c r="F414">
        <f t="shared" ca="1" si="12"/>
        <v>5</v>
      </c>
      <c r="G414" s="16" t="s">
        <v>31</v>
      </c>
      <c r="H414" t="s">
        <v>1692</v>
      </c>
      <c r="I414" t="s">
        <v>1693</v>
      </c>
      <c r="J414" t="s">
        <v>1694</v>
      </c>
      <c r="K414" t="s">
        <v>1695</v>
      </c>
      <c r="L414" t="s">
        <v>71</v>
      </c>
      <c r="M414" t="str">
        <f>VLOOKUP(Requests[[#This Row],[Ticket ID]],[2]Requests!$A$2:$D$649,4,FALSE)</f>
        <v>4 - Low</v>
      </c>
      <c r="N414">
        <f>VLOOKUP(Requests[[#This Row],[Priority]],'SLA Config'!$B$3:$C$6,2,FALSE)</f>
        <v>25</v>
      </c>
      <c r="O414" t="str">
        <f ca="1">IF(Requests[[#This Row],[Age (days)]]&gt;Requests[[#This Row],[SLA Threshold]],"Yes","No")</f>
        <v>No</v>
      </c>
    </row>
    <row r="415" spans="1:15" x14ac:dyDescent="0.25">
      <c r="A415" t="s">
        <v>2558</v>
      </c>
      <c r="B415" s="8">
        <v>45586</v>
      </c>
      <c r="C415" s="8">
        <v>45592</v>
      </c>
      <c r="D415" t="s">
        <v>29</v>
      </c>
      <c r="E415" s="17" t="s">
        <v>46</v>
      </c>
      <c r="F415">
        <f t="shared" ca="1" si="12"/>
        <v>5</v>
      </c>
      <c r="G415" s="16" t="s">
        <v>31</v>
      </c>
      <c r="H415" t="s">
        <v>2559</v>
      </c>
      <c r="I415" t="s">
        <v>1336</v>
      </c>
      <c r="J415" t="s">
        <v>1405</v>
      </c>
      <c r="K415" t="s">
        <v>2560</v>
      </c>
      <c r="L415" t="s">
        <v>120</v>
      </c>
      <c r="M415" t="str">
        <f>VLOOKUP(Requests[[#This Row],[Ticket ID]],[2]Requests!$A$2:$D$649,4,FALSE)</f>
        <v>4 - Low</v>
      </c>
      <c r="N415">
        <f>VLOOKUP(Requests[[#This Row],[Priority]],'SLA Config'!$B$3:$C$6,2,FALSE)</f>
        <v>25</v>
      </c>
      <c r="O415" t="str">
        <f ca="1">IF(Requests[[#This Row],[Age (days)]]&gt;Requests[[#This Row],[SLA Threshold]],"Yes","No")</f>
        <v>No</v>
      </c>
    </row>
    <row r="416" spans="1:15" ht="15.75" x14ac:dyDescent="0.3">
      <c r="A416" s="17" t="s">
        <v>2561</v>
      </c>
      <c r="B416" s="8">
        <v>45586</v>
      </c>
      <c r="C416" s="30">
        <v>45621</v>
      </c>
      <c r="D416" t="s">
        <v>29</v>
      </c>
      <c r="E416" s="17" t="s">
        <v>46</v>
      </c>
      <c r="F416">
        <f t="shared" ca="1" si="12"/>
        <v>26</v>
      </c>
      <c r="G416" s="16" t="s">
        <v>31</v>
      </c>
      <c r="H416" s="17" t="s">
        <v>2562</v>
      </c>
      <c r="I416" t="s">
        <v>1321</v>
      </c>
      <c r="J416" t="s">
        <v>1690</v>
      </c>
      <c r="K416" s="17" t="s">
        <v>201</v>
      </c>
      <c r="L416" t="s">
        <v>120</v>
      </c>
      <c r="M416" t="str">
        <f>VLOOKUP(Requests[[#This Row],[Ticket ID]],[2]Requests!$A$2:$D$649,4,FALSE)</f>
        <v>4 - Low</v>
      </c>
      <c r="N416">
        <f>VLOOKUP(Requests[[#This Row],[Priority]],'SLA Config'!$B$3:$C$6,2,FALSE)</f>
        <v>25</v>
      </c>
      <c r="O416" t="str">
        <f ca="1">IF(Requests[[#This Row],[Age (days)]]&gt;Requests[[#This Row],[SLA Threshold]],"Yes","No")</f>
        <v>Yes</v>
      </c>
    </row>
    <row r="417" spans="1:15" hidden="1" x14ac:dyDescent="0.25">
      <c r="A417" s="17" t="s">
        <v>2563</v>
      </c>
      <c r="B417" s="8">
        <v>45586</v>
      </c>
      <c r="C417" s="8">
        <v>45593</v>
      </c>
      <c r="D417" t="s">
        <v>29</v>
      </c>
      <c r="E417" s="17" t="s">
        <v>104</v>
      </c>
      <c r="F417">
        <f t="shared" ca="1" si="12"/>
        <v>6</v>
      </c>
      <c r="G417" s="16" t="s">
        <v>31</v>
      </c>
      <c r="H417" t="s">
        <v>2547</v>
      </c>
      <c r="I417" t="s">
        <v>1336</v>
      </c>
      <c r="J417" t="s">
        <v>1717</v>
      </c>
      <c r="K417" t="s">
        <v>2564</v>
      </c>
      <c r="L417" t="s">
        <v>120</v>
      </c>
      <c r="M417" t="str">
        <f>VLOOKUP(Requests[[#This Row],[Ticket ID]],[2]Requests!$A$2:$D$649,4,FALSE)</f>
        <v>4 - Low</v>
      </c>
      <c r="N417">
        <f>VLOOKUP(Requests[[#This Row],[Priority]],'SLA Config'!$B$3:$C$6,2,FALSE)</f>
        <v>25</v>
      </c>
      <c r="O417" t="str">
        <f ca="1">IF(Requests[[#This Row],[Age (days)]]&gt;Requests[[#This Row],[SLA Threshold]],"Yes","No")</f>
        <v>No</v>
      </c>
    </row>
    <row r="418" spans="1:15" ht="15.75" x14ac:dyDescent="0.3">
      <c r="A418" s="17" t="s">
        <v>2565</v>
      </c>
      <c r="B418" s="8">
        <v>45588</v>
      </c>
      <c r="C418" s="30">
        <v>45623</v>
      </c>
      <c r="D418" t="s">
        <v>29</v>
      </c>
      <c r="E418" s="17" t="s">
        <v>46</v>
      </c>
      <c r="F418">
        <f t="shared" ca="1" si="12"/>
        <v>26</v>
      </c>
      <c r="G418" s="16" t="s">
        <v>31</v>
      </c>
      <c r="H418" s="17" t="s">
        <v>2566</v>
      </c>
      <c r="I418" t="s">
        <v>394</v>
      </c>
      <c r="J418" t="s">
        <v>34</v>
      </c>
      <c r="K418" s="17" t="s">
        <v>507</v>
      </c>
      <c r="L418" t="s">
        <v>71</v>
      </c>
      <c r="M418" t="str">
        <f>VLOOKUP(Requests[[#This Row],[Ticket ID]],[2]Requests!$A$2:$D$649,4,FALSE)</f>
        <v>3 - Medium</v>
      </c>
      <c r="N418">
        <f>VLOOKUP(Requests[[#This Row],[Priority]],'SLA Config'!$B$3:$C$6,2,FALSE)</f>
        <v>15</v>
      </c>
      <c r="O418" t="str">
        <f ca="1">IF(Requests[[#This Row],[Age (days)]]&gt;Requests[[#This Row],[SLA Threshold]],"Yes","No")</f>
        <v>Yes</v>
      </c>
    </row>
    <row r="419" spans="1:15" hidden="1" x14ac:dyDescent="0.25">
      <c r="A419" s="17" t="s">
        <v>2567</v>
      </c>
      <c r="B419" s="8">
        <v>45591</v>
      </c>
      <c r="C419" s="8">
        <v>45599</v>
      </c>
      <c r="D419" t="s">
        <v>29</v>
      </c>
      <c r="E419" s="17" t="s">
        <v>104</v>
      </c>
      <c r="F419">
        <f t="shared" ca="1" si="12"/>
        <v>5</v>
      </c>
      <c r="G419" s="16" t="s">
        <v>31</v>
      </c>
      <c r="H419" t="s">
        <v>2547</v>
      </c>
      <c r="I419" t="s">
        <v>1336</v>
      </c>
      <c r="J419" t="s">
        <v>1717</v>
      </c>
      <c r="K419" t="s">
        <v>2083</v>
      </c>
      <c r="L419" t="s">
        <v>120</v>
      </c>
      <c r="M419" t="str">
        <f>VLOOKUP(Requests[[#This Row],[Ticket ID]],[2]Requests!$A$2:$D$649,4,FALSE)</f>
        <v>4 - Low</v>
      </c>
      <c r="N419">
        <f>VLOOKUP(Requests[[#This Row],[Priority]],'SLA Config'!$B$3:$C$6,2,FALSE)</f>
        <v>25</v>
      </c>
      <c r="O419" t="str">
        <f ca="1">IF(Requests[[#This Row],[Age (days)]]&gt;Requests[[#This Row],[SLA Threshold]],"Yes","No")</f>
        <v>No</v>
      </c>
    </row>
    <row r="420" spans="1:15" hidden="1" x14ac:dyDescent="0.25">
      <c r="A420" s="17" t="s">
        <v>2568</v>
      </c>
      <c r="B420" s="8">
        <v>45594</v>
      </c>
      <c r="C420" s="8">
        <v>45600</v>
      </c>
      <c r="D420" t="s">
        <v>29</v>
      </c>
      <c r="E420" s="17" t="s">
        <v>104</v>
      </c>
      <c r="F420">
        <f t="shared" ca="1" si="12"/>
        <v>5</v>
      </c>
      <c r="G420" s="16" t="s">
        <v>51</v>
      </c>
      <c r="H420" s="17" t="s">
        <v>2569</v>
      </c>
      <c r="I420" t="s">
        <v>1321</v>
      </c>
      <c r="J420" t="s">
        <v>1743</v>
      </c>
      <c r="K420" s="17" t="s">
        <v>119</v>
      </c>
      <c r="L420" t="s">
        <v>120</v>
      </c>
      <c r="M420" t="str">
        <f>VLOOKUP(Requests[[#This Row],[Ticket ID]],[2]Requests!$A$2:$D$649,4,FALSE)</f>
        <v>4 - Low</v>
      </c>
      <c r="N420">
        <f>VLOOKUP(Requests[[#This Row],[Priority]],'SLA Config'!$B$3:$C$6,2,FALSE)</f>
        <v>25</v>
      </c>
      <c r="O420" t="str">
        <f ca="1">IF(Requests[[#This Row],[Age (days)]]&gt;Requests[[#This Row],[SLA Threshold]],"Yes","No")</f>
        <v>No</v>
      </c>
    </row>
    <row r="421" spans="1:15" x14ac:dyDescent="0.25">
      <c r="A421" s="17" t="s">
        <v>2570</v>
      </c>
      <c r="B421" s="8">
        <v>45595</v>
      </c>
      <c r="C421" s="8">
        <v>45602</v>
      </c>
      <c r="D421" t="s">
        <v>29</v>
      </c>
      <c r="E421" t="s">
        <v>46</v>
      </c>
      <c r="F421">
        <f t="shared" ca="1" si="12"/>
        <v>6</v>
      </c>
      <c r="G421" s="16" t="s">
        <v>51</v>
      </c>
      <c r="H421" t="s">
        <v>2571</v>
      </c>
      <c r="I421" t="s">
        <v>307</v>
      </c>
      <c r="J421" t="s">
        <v>40</v>
      </c>
      <c r="K421" s="17" t="s">
        <v>119</v>
      </c>
      <c r="L421" t="s">
        <v>120</v>
      </c>
      <c r="M421" t="str">
        <f>VLOOKUP(Requests[[#This Row],[Ticket ID]],[2]Requests!$A$2:$D$649,4,FALSE)</f>
        <v>4 - Low</v>
      </c>
      <c r="N421">
        <f>VLOOKUP(Requests[[#This Row],[Priority]],'SLA Config'!$B$3:$C$6,2,FALSE)</f>
        <v>25</v>
      </c>
      <c r="O421" t="str">
        <f ca="1">IF(Requests[[#This Row],[Age (days)]]&gt;Requests[[#This Row],[SLA Threshold]],"Yes","No")</f>
        <v>No</v>
      </c>
    </row>
    <row r="422" spans="1:15" ht="15.75" x14ac:dyDescent="0.3">
      <c r="A422" s="17" t="s">
        <v>2572</v>
      </c>
      <c r="B422" s="8">
        <v>45602</v>
      </c>
      <c r="C422" s="30">
        <v>45613</v>
      </c>
      <c r="D422" t="s">
        <v>29</v>
      </c>
      <c r="E422" t="s">
        <v>46</v>
      </c>
      <c r="F422">
        <f t="shared" ca="1" si="12"/>
        <v>8</v>
      </c>
      <c r="G422" s="16" t="s">
        <v>31</v>
      </c>
      <c r="H422" t="s">
        <v>2573</v>
      </c>
      <c r="I422" t="s">
        <v>1336</v>
      </c>
      <c r="J422" t="s">
        <v>1405</v>
      </c>
      <c r="K422" t="s">
        <v>2574</v>
      </c>
      <c r="L422" t="s">
        <v>71</v>
      </c>
      <c r="M422" t="str">
        <f>VLOOKUP(Requests[[#This Row],[Ticket ID]],[2]Requests!$A$2:$D$649,4,FALSE)</f>
        <v>4 - Low</v>
      </c>
      <c r="N422">
        <f>VLOOKUP(Requests[[#This Row],[Priority]],'SLA Config'!$B$3:$C$6,2,FALSE)</f>
        <v>25</v>
      </c>
      <c r="O422" t="str">
        <f ca="1">IF(Requests[[#This Row],[Age (days)]]&gt;Requests[[#This Row],[SLA Threshold]],"Yes","No")</f>
        <v>No</v>
      </c>
    </row>
    <row r="423" spans="1:15" ht="15.75" x14ac:dyDescent="0.3">
      <c r="A423" s="17" t="s">
        <v>2575</v>
      </c>
      <c r="B423" s="8">
        <v>45603</v>
      </c>
      <c r="C423" s="30">
        <v>45612</v>
      </c>
      <c r="D423" t="s">
        <v>29</v>
      </c>
      <c r="E423" t="s">
        <v>46</v>
      </c>
      <c r="F423">
        <f t="shared" ca="1" si="12"/>
        <v>7</v>
      </c>
      <c r="G423" s="16" t="s">
        <v>31</v>
      </c>
      <c r="H423" t="s">
        <v>2576</v>
      </c>
      <c r="I423" t="s">
        <v>1336</v>
      </c>
      <c r="J423" t="s">
        <v>1405</v>
      </c>
      <c r="K423" t="s">
        <v>215</v>
      </c>
      <c r="L423" t="s">
        <v>120</v>
      </c>
      <c r="M423" t="str">
        <f>VLOOKUP(Requests[[#This Row],[Ticket ID]],[2]Requests!$A$2:$D$649,4,FALSE)</f>
        <v>4 - Low</v>
      </c>
      <c r="N423">
        <f>VLOOKUP(Requests[[#This Row],[Priority]],'SLA Config'!$B$3:$C$6,2,FALSE)</f>
        <v>25</v>
      </c>
      <c r="O423" t="str">
        <f ca="1">IF(Requests[[#This Row],[Age (days)]]&gt;Requests[[#This Row],[SLA Threshold]],"Yes","No")</f>
        <v>No</v>
      </c>
    </row>
    <row r="424" spans="1:15" ht="15.75" hidden="1" x14ac:dyDescent="0.3">
      <c r="A424" s="17" t="s">
        <v>2577</v>
      </c>
      <c r="B424" s="8">
        <v>45604</v>
      </c>
      <c r="C424" s="30">
        <v>45622</v>
      </c>
      <c r="D424" t="s">
        <v>29</v>
      </c>
      <c r="E424" t="s">
        <v>324</v>
      </c>
      <c r="F424">
        <f t="shared" ca="1" si="12"/>
        <v>13</v>
      </c>
      <c r="G424" s="16" t="s">
        <v>31</v>
      </c>
      <c r="H424" t="s">
        <v>2578</v>
      </c>
      <c r="I424" t="s">
        <v>1336</v>
      </c>
      <c r="J424" t="s">
        <v>1405</v>
      </c>
      <c r="K424" t="s">
        <v>2579</v>
      </c>
      <c r="L424" t="s">
        <v>120</v>
      </c>
      <c r="M424" t="str">
        <f>VLOOKUP(Requests[[#This Row],[Ticket ID]],[2]Requests!$A$2:$D$649,4,FALSE)</f>
        <v>4 - Low</v>
      </c>
      <c r="N424">
        <f>VLOOKUP(Requests[[#This Row],[Priority]],'SLA Config'!$B$3:$C$6,2,FALSE)</f>
        <v>25</v>
      </c>
      <c r="O424" t="str">
        <f ca="1">IF(Requests[[#This Row],[Age (days)]]&gt;Requests[[#This Row],[SLA Threshold]],"Yes","No")</f>
        <v>No</v>
      </c>
    </row>
    <row r="425" spans="1:15" ht="15.75" hidden="1" x14ac:dyDescent="0.3">
      <c r="A425" s="17" t="s">
        <v>2580</v>
      </c>
      <c r="B425" s="8">
        <v>45604</v>
      </c>
      <c r="C425" s="30">
        <v>45613</v>
      </c>
      <c r="D425" t="s">
        <v>29</v>
      </c>
      <c r="F425">
        <f t="shared" ca="1" si="12"/>
        <v>6</v>
      </c>
      <c r="G425" s="16" t="s">
        <v>31</v>
      </c>
      <c r="H425" t="s">
        <v>2581</v>
      </c>
      <c r="I425" t="s">
        <v>394</v>
      </c>
      <c r="J425" t="s">
        <v>584</v>
      </c>
      <c r="K425" t="s">
        <v>462</v>
      </c>
      <c r="L425" t="s">
        <v>71</v>
      </c>
      <c r="M425" t="str">
        <f>VLOOKUP(Requests[[#This Row],[Ticket ID]],[2]Requests!$A$2:$D$649,4,FALSE)</f>
        <v>4 - Low</v>
      </c>
      <c r="N425">
        <f>VLOOKUP(Requests[[#This Row],[Priority]],'SLA Config'!$B$3:$C$6,2,FALSE)</f>
        <v>25</v>
      </c>
      <c r="O425" t="str">
        <f ca="1">IF(Requests[[#This Row],[Age (days)]]&gt;Requests[[#This Row],[SLA Threshold]],"Yes","No")</f>
        <v>No</v>
      </c>
    </row>
    <row r="426" spans="1:15" ht="15.75" hidden="1" x14ac:dyDescent="0.3">
      <c r="A426" s="28" t="s">
        <v>2582</v>
      </c>
      <c r="B426" s="30">
        <v>45605</v>
      </c>
      <c r="C426" s="30">
        <v>45612</v>
      </c>
      <c r="D426" s="28" t="s">
        <v>29</v>
      </c>
      <c r="E426" s="28" t="s">
        <v>104</v>
      </c>
      <c r="F426">
        <f t="shared" ref="F426:F457" ca="1" si="13">IF(ISBLANK(C426), NETWORKDAYS(B426,TODAY()), NETWORKDAYS(B426,C426))</f>
        <v>5</v>
      </c>
      <c r="G426" s="28" t="s">
        <v>2583</v>
      </c>
      <c r="H426" s="28" t="s">
        <v>1692</v>
      </c>
      <c r="K426" s="28" t="s">
        <v>1695</v>
      </c>
      <c r="L426" t="s">
        <v>71</v>
      </c>
      <c r="M426" t="str">
        <f>VLOOKUP(Requests[[#This Row],[Ticket ID]],[2]Requests!$A$2:$D$649,4,FALSE)</f>
        <v>4 - Low</v>
      </c>
      <c r="N426">
        <f>VLOOKUP(Requests[[#This Row],[Priority]],'SLA Config'!$B$3:$C$6,2,FALSE)</f>
        <v>25</v>
      </c>
      <c r="O426" t="str">
        <f ca="1">IF(Requests[[#This Row],[Age (days)]]&gt;Requests[[#This Row],[SLA Threshold]],"Yes","No")</f>
        <v>No</v>
      </c>
    </row>
    <row r="427" spans="1:15" ht="15.75" hidden="1" x14ac:dyDescent="0.3">
      <c r="A427" s="28" t="s">
        <v>2584</v>
      </c>
      <c r="B427" s="30">
        <v>45607</v>
      </c>
      <c r="C427" s="30">
        <v>45620</v>
      </c>
      <c r="D427" s="28" t="s">
        <v>29</v>
      </c>
      <c r="E427" s="28" t="s">
        <v>324</v>
      </c>
      <c r="F427">
        <f t="shared" ca="1" si="13"/>
        <v>10</v>
      </c>
      <c r="G427" s="28" t="s">
        <v>31</v>
      </c>
      <c r="H427" s="28" t="s">
        <v>2585</v>
      </c>
      <c r="K427" s="28" t="s">
        <v>44</v>
      </c>
      <c r="L427" t="s">
        <v>71</v>
      </c>
      <c r="M427" t="str">
        <f>VLOOKUP(Requests[[#This Row],[Ticket ID]],[2]Requests!$A$2:$D$649,4,FALSE)</f>
        <v>4 - Low</v>
      </c>
      <c r="N427">
        <f>VLOOKUP(Requests[[#This Row],[Priority]],'SLA Config'!$B$3:$C$6,2,FALSE)</f>
        <v>25</v>
      </c>
      <c r="O427" t="str">
        <f ca="1">IF(Requests[[#This Row],[Age (days)]]&gt;Requests[[#This Row],[SLA Threshold]],"Yes","No")</f>
        <v>No</v>
      </c>
    </row>
    <row r="428" spans="1:15" ht="15.75" hidden="1" x14ac:dyDescent="0.3">
      <c r="A428" s="28" t="s">
        <v>2586</v>
      </c>
      <c r="B428" s="30">
        <v>45607</v>
      </c>
      <c r="C428" s="30">
        <v>45620</v>
      </c>
      <c r="D428" s="28" t="s">
        <v>29</v>
      </c>
      <c r="E428" s="28" t="s">
        <v>324</v>
      </c>
      <c r="F428">
        <f t="shared" ca="1" si="13"/>
        <v>10</v>
      </c>
      <c r="G428" s="28" t="s">
        <v>31</v>
      </c>
      <c r="H428" s="28" t="s">
        <v>2587</v>
      </c>
      <c r="K428" s="28" t="s">
        <v>44</v>
      </c>
      <c r="L428" t="s">
        <v>71</v>
      </c>
      <c r="M428" t="str">
        <f>VLOOKUP(Requests[[#This Row],[Ticket ID]],[2]Requests!$A$2:$D$649,4,FALSE)</f>
        <v>4 - Low</v>
      </c>
      <c r="N428">
        <f>VLOOKUP(Requests[[#This Row],[Priority]],'SLA Config'!$B$3:$C$6,2,FALSE)</f>
        <v>25</v>
      </c>
      <c r="O428" t="str">
        <f ca="1">IF(Requests[[#This Row],[Age (days)]]&gt;Requests[[#This Row],[SLA Threshold]],"Yes","No")</f>
        <v>No</v>
      </c>
    </row>
    <row r="429" spans="1:15" ht="15.75" hidden="1" x14ac:dyDescent="0.3">
      <c r="A429" s="28" t="s">
        <v>2588</v>
      </c>
      <c r="B429" s="30">
        <v>45607</v>
      </c>
      <c r="C429" s="30">
        <v>45623</v>
      </c>
      <c r="D429" s="28" t="s">
        <v>29</v>
      </c>
      <c r="E429" s="28" t="s">
        <v>324</v>
      </c>
      <c r="F429">
        <f t="shared" ca="1" si="13"/>
        <v>13</v>
      </c>
      <c r="G429" s="28" t="s">
        <v>31</v>
      </c>
      <c r="H429" s="28" t="s">
        <v>2589</v>
      </c>
      <c r="K429" s="28" t="s">
        <v>44</v>
      </c>
      <c r="L429" t="s">
        <v>71</v>
      </c>
      <c r="M429" t="str">
        <f>VLOOKUP(Requests[[#This Row],[Ticket ID]],[2]Requests!$A$2:$D$649,4,FALSE)</f>
        <v>4 - Low</v>
      </c>
      <c r="N429">
        <f>VLOOKUP(Requests[[#This Row],[Priority]],'SLA Config'!$B$3:$C$6,2,FALSE)</f>
        <v>25</v>
      </c>
      <c r="O429" t="str">
        <f ca="1">IF(Requests[[#This Row],[Age (days)]]&gt;Requests[[#This Row],[SLA Threshold]],"Yes","No")</f>
        <v>No</v>
      </c>
    </row>
    <row r="430" spans="1:15" ht="15.75" hidden="1" x14ac:dyDescent="0.3">
      <c r="A430" s="28" t="s">
        <v>2590</v>
      </c>
      <c r="B430" s="30">
        <v>45607</v>
      </c>
      <c r="C430" s="30">
        <v>45628</v>
      </c>
      <c r="D430" s="28" t="s">
        <v>29</v>
      </c>
      <c r="E430" s="28" t="s">
        <v>324</v>
      </c>
      <c r="F430">
        <f t="shared" ca="1" si="13"/>
        <v>16</v>
      </c>
      <c r="G430" s="28" t="s">
        <v>31</v>
      </c>
      <c r="H430" s="28" t="s">
        <v>2591</v>
      </c>
      <c r="K430" s="28" t="s">
        <v>44</v>
      </c>
      <c r="L430" t="s">
        <v>71</v>
      </c>
      <c r="M430" t="str">
        <f>VLOOKUP(Requests[[#This Row],[Ticket ID]],[2]Requests!$A$2:$D$649,4,FALSE)</f>
        <v>4 - Low</v>
      </c>
      <c r="N430">
        <f>VLOOKUP(Requests[[#This Row],[Priority]],'SLA Config'!$B$3:$C$6,2,FALSE)</f>
        <v>25</v>
      </c>
      <c r="O430" t="str">
        <f ca="1">IF(Requests[[#This Row],[Age (days)]]&gt;Requests[[#This Row],[SLA Threshold]],"Yes","No")</f>
        <v>No</v>
      </c>
    </row>
    <row r="431" spans="1:15" ht="15.75" x14ac:dyDescent="0.3">
      <c r="A431" s="28" t="s">
        <v>2592</v>
      </c>
      <c r="B431" s="30">
        <v>45608</v>
      </c>
      <c r="C431" s="30">
        <v>45664</v>
      </c>
      <c r="D431" s="28" t="s">
        <v>29</v>
      </c>
      <c r="E431" s="28" t="s">
        <v>46</v>
      </c>
      <c r="F431">
        <f t="shared" ca="1" si="13"/>
        <v>41</v>
      </c>
      <c r="G431" s="28" t="s">
        <v>31</v>
      </c>
      <c r="H431" s="28" t="s">
        <v>2593</v>
      </c>
      <c r="K431" s="28" t="s">
        <v>215</v>
      </c>
      <c r="L431" t="s">
        <v>120</v>
      </c>
      <c r="M431" t="str">
        <f>VLOOKUP(Requests[[#This Row],[Ticket ID]],[2]Requests!$A$2:$D$649,4,FALSE)</f>
        <v>4 - Low</v>
      </c>
      <c r="N431">
        <f>VLOOKUP(Requests[[#This Row],[Priority]],'SLA Config'!$B$3:$C$6,2,FALSE)</f>
        <v>25</v>
      </c>
      <c r="O431" t="str">
        <f ca="1">IF(Requests[[#This Row],[Age (days)]]&gt;Requests[[#This Row],[SLA Threshold]],"Yes","No")</f>
        <v>Yes</v>
      </c>
    </row>
    <row r="432" spans="1:15" ht="15.75" hidden="1" x14ac:dyDescent="0.3">
      <c r="A432" s="28" t="s">
        <v>2594</v>
      </c>
      <c r="B432" s="30">
        <v>45610</v>
      </c>
      <c r="C432" s="30">
        <v>45615</v>
      </c>
      <c r="D432" s="28" t="s">
        <v>29</v>
      </c>
      <c r="E432" s="28" t="s">
        <v>324</v>
      </c>
      <c r="F432">
        <f t="shared" ca="1" si="13"/>
        <v>4</v>
      </c>
      <c r="G432" s="28" t="s">
        <v>31</v>
      </c>
      <c r="H432" s="28" t="s">
        <v>2595</v>
      </c>
      <c r="K432" s="28" t="s">
        <v>575</v>
      </c>
      <c r="L432" t="s">
        <v>71</v>
      </c>
      <c r="M432" t="str">
        <f>VLOOKUP(Requests[[#This Row],[Ticket ID]],[2]Requests!$A$2:$D$649,4,FALSE)</f>
        <v>4 - Low</v>
      </c>
      <c r="N432">
        <f>VLOOKUP(Requests[[#This Row],[Priority]],'SLA Config'!$B$3:$C$6,2,FALSE)</f>
        <v>25</v>
      </c>
      <c r="O432" t="str">
        <f ca="1">IF(Requests[[#This Row],[Age (days)]]&gt;Requests[[#This Row],[SLA Threshold]],"Yes","No")</f>
        <v>No</v>
      </c>
    </row>
    <row r="433" spans="1:15" ht="15.75" x14ac:dyDescent="0.3">
      <c r="A433" s="28" t="s">
        <v>2596</v>
      </c>
      <c r="B433" s="30">
        <v>45611</v>
      </c>
      <c r="C433" s="30">
        <v>45634</v>
      </c>
      <c r="D433" s="28" t="s">
        <v>29</v>
      </c>
      <c r="E433" s="28" t="s">
        <v>46</v>
      </c>
      <c r="F433">
        <f t="shared" ca="1" si="13"/>
        <v>16</v>
      </c>
      <c r="G433" s="28" t="s">
        <v>31</v>
      </c>
      <c r="H433" s="28" t="s">
        <v>2597</v>
      </c>
      <c r="K433" s="28" t="s">
        <v>398</v>
      </c>
      <c r="L433" t="s">
        <v>71</v>
      </c>
      <c r="M433" t="str">
        <f>VLOOKUP(Requests[[#This Row],[Ticket ID]],[2]Requests!$A$2:$D$649,4,FALSE)</f>
        <v>4 - Low</v>
      </c>
      <c r="N433">
        <f>VLOOKUP(Requests[[#This Row],[Priority]],'SLA Config'!$B$3:$C$6,2,FALSE)</f>
        <v>25</v>
      </c>
      <c r="O433" t="str">
        <f ca="1">IF(Requests[[#This Row],[Age (days)]]&gt;Requests[[#This Row],[SLA Threshold]],"Yes","No")</f>
        <v>No</v>
      </c>
    </row>
    <row r="434" spans="1:15" ht="15.75" x14ac:dyDescent="0.3">
      <c r="A434" s="28" t="s">
        <v>2598</v>
      </c>
      <c r="B434" s="30">
        <v>45614</v>
      </c>
      <c r="C434" s="30">
        <v>45633</v>
      </c>
      <c r="D434" s="28" t="s">
        <v>29</v>
      </c>
      <c r="E434" s="28" t="s">
        <v>46</v>
      </c>
      <c r="F434">
        <f t="shared" ca="1" si="13"/>
        <v>15</v>
      </c>
      <c r="G434" s="28" t="s">
        <v>31</v>
      </c>
      <c r="H434" s="28" t="s">
        <v>2599</v>
      </c>
      <c r="K434" s="28" t="s">
        <v>398</v>
      </c>
      <c r="L434" t="s">
        <v>71</v>
      </c>
      <c r="M434" t="str">
        <f>VLOOKUP(Requests[[#This Row],[Ticket ID]],[2]Requests!$A$2:$D$649,4,FALSE)</f>
        <v>4 - Low</v>
      </c>
      <c r="N434">
        <f>VLOOKUP(Requests[[#This Row],[Priority]],'SLA Config'!$B$3:$C$6,2,FALSE)</f>
        <v>25</v>
      </c>
      <c r="O434" t="str">
        <f ca="1">IF(Requests[[#This Row],[Age (days)]]&gt;Requests[[#This Row],[SLA Threshold]],"Yes","No")</f>
        <v>No</v>
      </c>
    </row>
    <row r="435" spans="1:15" ht="15.75" hidden="1" x14ac:dyDescent="0.3">
      <c r="A435" s="28" t="s">
        <v>2600</v>
      </c>
      <c r="B435" s="30">
        <v>45607</v>
      </c>
      <c r="C435" s="30">
        <v>45620</v>
      </c>
      <c r="D435" s="28" t="s">
        <v>29</v>
      </c>
      <c r="E435" s="28" t="s">
        <v>324</v>
      </c>
      <c r="F435">
        <f t="shared" ca="1" si="13"/>
        <v>10</v>
      </c>
      <c r="G435" s="28" t="s">
        <v>31</v>
      </c>
      <c r="H435" s="28" t="s">
        <v>2601</v>
      </c>
      <c r="K435" s="28" t="s">
        <v>44</v>
      </c>
      <c r="L435" t="s">
        <v>36</v>
      </c>
      <c r="M435" t="str">
        <f>VLOOKUP(Requests[[#This Row],[Ticket ID]],[2]Requests!$A$2:$D$649,4,FALSE)</f>
        <v>4 - Low</v>
      </c>
      <c r="N435">
        <f>VLOOKUP(Requests[[#This Row],[Priority]],'SLA Config'!$B$3:$C$6,2,FALSE)</f>
        <v>25</v>
      </c>
      <c r="O435" t="str">
        <f ca="1">IF(Requests[[#This Row],[Age (days)]]&gt;Requests[[#This Row],[SLA Threshold]],"Yes","No")</f>
        <v>No</v>
      </c>
    </row>
    <row r="436" spans="1:15" ht="15.75" hidden="1" x14ac:dyDescent="0.3">
      <c r="A436" s="28" t="s">
        <v>2602</v>
      </c>
      <c r="B436" s="30">
        <v>45617</v>
      </c>
      <c r="C436" s="30">
        <v>45627</v>
      </c>
      <c r="D436" s="28" t="s">
        <v>29</v>
      </c>
      <c r="E436" s="28" t="s">
        <v>104</v>
      </c>
      <c r="F436">
        <f t="shared" ca="1" si="13"/>
        <v>7</v>
      </c>
      <c r="G436" s="28" t="s">
        <v>31</v>
      </c>
      <c r="H436" s="28" t="s">
        <v>2603</v>
      </c>
      <c r="K436" s="28" t="s">
        <v>295</v>
      </c>
      <c r="L436" t="s">
        <v>120</v>
      </c>
      <c r="M436" t="str">
        <f>VLOOKUP(Requests[[#This Row],[Ticket ID]],[2]Requests!$A$2:$D$649,4,FALSE)</f>
        <v>3 - Medium</v>
      </c>
      <c r="N436">
        <f>VLOOKUP(Requests[[#This Row],[Priority]],'SLA Config'!$B$3:$C$6,2,FALSE)</f>
        <v>15</v>
      </c>
      <c r="O436" t="str">
        <f ca="1">IF(Requests[[#This Row],[Age (days)]]&gt;Requests[[#This Row],[SLA Threshold]],"Yes","No")</f>
        <v>No</v>
      </c>
    </row>
    <row r="437" spans="1:15" ht="15.75" hidden="1" x14ac:dyDescent="0.3">
      <c r="A437" s="28" t="s">
        <v>2604</v>
      </c>
      <c r="B437" s="30">
        <v>45618</v>
      </c>
      <c r="C437" s="30">
        <v>45629</v>
      </c>
      <c r="D437" s="28" t="s">
        <v>29</v>
      </c>
      <c r="E437" s="28" t="s">
        <v>38</v>
      </c>
      <c r="F437">
        <f t="shared" ca="1" si="13"/>
        <v>8</v>
      </c>
      <c r="G437" s="28" t="s">
        <v>51</v>
      </c>
      <c r="H437" s="28" t="s">
        <v>2605</v>
      </c>
      <c r="K437" s="28" t="s">
        <v>119</v>
      </c>
      <c r="L437" t="s">
        <v>120</v>
      </c>
      <c r="M437" t="str">
        <f>VLOOKUP(Requests[[#This Row],[Ticket ID]],[2]Requests!$A$2:$D$649,4,FALSE)</f>
        <v>4 - Low</v>
      </c>
      <c r="N437">
        <f>VLOOKUP(Requests[[#This Row],[Priority]],'SLA Config'!$B$3:$C$6,2,FALSE)</f>
        <v>25</v>
      </c>
      <c r="O437" t="str">
        <f ca="1">IF(Requests[[#This Row],[Age (days)]]&gt;Requests[[#This Row],[SLA Threshold]],"Yes","No")</f>
        <v>No</v>
      </c>
    </row>
    <row r="438" spans="1:15" ht="15.75" hidden="1" x14ac:dyDescent="0.3">
      <c r="A438" s="28" t="s">
        <v>2606</v>
      </c>
      <c r="B438" s="30">
        <v>45607</v>
      </c>
      <c r="C438" s="30">
        <v>45628</v>
      </c>
      <c r="D438" s="28" t="s">
        <v>29</v>
      </c>
      <c r="E438" s="28" t="s">
        <v>324</v>
      </c>
      <c r="F438">
        <f t="shared" ca="1" si="13"/>
        <v>16</v>
      </c>
      <c r="G438" s="28" t="s">
        <v>31</v>
      </c>
      <c r="H438" s="28" t="s">
        <v>2607</v>
      </c>
      <c r="K438" s="28" t="s">
        <v>44</v>
      </c>
      <c r="L438" t="s">
        <v>36</v>
      </c>
      <c r="M438" t="str">
        <f>VLOOKUP(Requests[[#This Row],[Ticket ID]],[2]Requests!$A$2:$D$649,4,FALSE)</f>
        <v>4 - Low</v>
      </c>
      <c r="N438">
        <f>VLOOKUP(Requests[[#This Row],[Priority]],'SLA Config'!$B$3:$C$6,2,FALSE)</f>
        <v>25</v>
      </c>
      <c r="O438" t="str">
        <f ca="1">IF(Requests[[#This Row],[Age (days)]]&gt;Requests[[#This Row],[SLA Threshold]],"Yes","No")</f>
        <v>No</v>
      </c>
    </row>
    <row r="439" spans="1:15" ht="15.75" hidden="1" x14ac:dyDescent="0.3">
      <c r="A439" s="28" t="s">
        <v>2608</v>
      </c>
      <c r="B439" s="30">
        <v>45622</v>
      </c>
      <c r="C439" s="30">
        <v>45635</v>
      </c>
      <c r="D439" s="28" t="s">
        <v>29</v>
      </c>
      <c r="E439" s="28" t="s">
        <v>38</v>
      </c>
      <c r="F439">
        <f t="shared" ca="1" si="13"/>
        <v>10</v>
      </c>
      <c r="G439" s="28" t="s">
        <v>51</v>
      </c>
      <c r="H439" s="28" t="s">
        <v>2609</v>
      </c>
      <c r="K439" s="28" t="s">
        <v>119</v>
      </c>
      <c r="L439" t="s">
        <v>120</v>
      </c>
      <c r="M439" t="str">
        <f>VLOOKUP(Requests[[#This Row],[Ticket ID]],[2]Requests!$A$2:$D$649,4,FALSE)</f>
        <v>4 - Low</v>
      </c>
      <c r="N439">
        <f>VLOOKUP(Requests[[#This Row],[Priority]],'SLA Config'!$B$3:$C$6,2,FALSE)</f>
        <v>25</v>
      </c>
      <c r="O439" t="str">
        <f ca="1">IF(Requests[[#This Row],[Age (days)]]&gt;Requests[[#This Row],[SLA Threshold]],"Yes","No")</f>
        <v>No</v>
      </c>
    </row>
    <row r="440" spans="1:15" ht="15.75" hidden="1" x14ac:dyDescent="0.3">
      <c r="A440" s="28" t="s">
        <v>2610</v>
      </c>
      <c r="B440" s="30">
        <v>45607</v>
      </c>
      <c r="C440" s="30">
        <v>45641</v>
      </c>
      <c r="D440" s="28" t="s">
        <v>29</v>
      </c>
      <c r="E440" s="28" t="s">
        <v>324</v>
      </c>
      <c r="F440">
        <f t="shared" ca="1" si="13"/>
        <v>25</v>
      </c>
      <c r="G440" s="28" t="s">
        <v>31</v>
      </c>
      <c r="H440" s="28" t="s">
        <v>2611</v>
      </c>
      <c r="K440" s="28" t="s">
        <v>44</v>
      </c>
      <c r="L440" t="s">
        <v>36</v>
      </c>
      <c r="M440" t="str">
        <f>VLOOKUP(Requests[[#This Row],[Ticket ID]],[2]Requests!$A$2:$D$649,4,FALSE)</f>
        <v>4 - Low</v>
      </c>
      <c r="N440">
        <f>VLOOKUP(Requests[[#This Row],[Priority]],'SLA Config'!$B$3:$C$6,2,FALSE)</f>
        <v>25</v>
      </c>
      <c r="O440" t="str">
        <f ca="1">IF(Requests[[#This Row],[Age (days)]]&gt;Requests[[#This Row],[SLA Threshold]],"Yes","No")</f>
        <v>No</v>
      </c>
    </row>
    <row r="441" spans="1:15" ht="15.75" hidden="1" x14ac:dyDescent="0.3">
      <c r="A441" s="28" t="s">
        <v>2612</v>
      </c>
      <c r="B441" s="30">
        <v>45626</v>
      </c>
      <c r="C441" s="30">
        <v>45699</v>
      </c>
      <c r="D441" s="28" t="s">
        <v>29</v>
      </c>
      <c r="E441" s="28" t="s">
        <v>38</v>
      </c>
      <c r="F441">
        <f t="shared" ca="1" si="13"/>
        <v>52</v>
      </c>
      <c r="G441" s="28" t="s">
        <v>2583</v>
      </c>
      <c r="H441" s="28" t="s">
        <v>1692</v>
      </c>
      <c r="K441" s="28" t="s">
        <v>1695</v>
      </c>
      <c r="L441" t="s">
        <v>71</v>
      </c>
      <c r="M441" t="str">
        <f>VLOOKUP(Requests[[#This Row],[Ticket ID]],[2]Requests!$A$2:$D$649,4,FALSE)</f>
        <v>4 - Low</v>
      </c>
      <c r="N441">
        <f>VLOOKUP(Requests[[#This Row],[Priority]],'SLA Config'!$B$3:$C$6,2,FALSE)</f>
        <v>25</v>
      </c>
      <c r="O441" t="str">
        <f ca="1">IF(Requests[[#This Row],[Age (days)]]&gt;Requests[[#This Row],[SLA Threshold]],"Yes","No")</f>
        <v>Yes</v>
      </c>
    </row>
    <row r="442" spans="1:15" ht="15.75" x14ac:dyDescent="0.3">
      <c r="A442" s="28" t="s">
        <v>2613</v>
      </c>
      <c r="B442" s="30">
        <v>45628</v>
      </c>
      <c r="C442" s="30">
        <v>45643</v>
      </c>
      <c r="D442" s="28" t="s">
        <v>29</v>
      </c>
      <c r="E442" s="28" t="s">
        <v>46</v>
      </c>
      <c r="F442">
        <f t="shared" ca="1" si="13"/>
        <v>12</v>
      </c>
      <c r="G442" s="28" t="s">
        <v>31</v>
      </c>
      <c r="H442" s="28" t="s">
        <v>2614</v>
      </c>
      <c r="K442" s="28" t="s">
        <v>398</v>
      </c>
      <c r="L442" t="s">
        <v>71</v>
      </c>
      <c r="M442" t="str">
        <f>VLOOKUP(Requests[[#This Row],[Ticket ID]],[2]Requests!$A$2:$D$649,4,FALSE)</f>
        <v>4 - Low</v>
      </c>
      <c r="N442">
        <f>VLOOKUP(Requests[[#This Row],[Priority]],'SLA Config'!$B$3:$C$6,2,FALSE)</f>
        <v>25</v>
      </c>
      <c r="O442" t="str">
        <f ca="1">IF(Requests[[#This Row],[Age (days)]]&gt;Requests[[#This Row],[SLA Threshold]],"Yes","No")</f>
        <v>No</v>
      </c>
    </row>
    <row r="443" spans="1:15" ht="15.75" x14ac:dyDescent="0.3">
      <c r="A443" s="28" t="s">
        <v>2615</v>
      </c>
      <c r="B443" s="30">
        <v>45629</v>
      </c>
      <c r="C443" s="30">
        <v>45682</v>
      </c>
      <c r="D443" s="28" t="s">
        <v>29</v>
      </c>
      <c r="E443" s="28" t="s">
        <v>46</v>
      </c>
      <c r="F443">
        <f t="shared" ca="1" si="13"/>
        <v>39</v>
      </c>
      <c r="G443" s="28" t="s">
        <v>51</v>
      </c>
      <c r="H443" s="28" t="s">
        <v>2616</v>
      </c>
      <c r="K443" s="28" t="s">
        <v>119</v>
      </c>
      <c r="L443" t="s">
        <v>120</v>
      </c>
      <c r="M443" t="str">
        <f>VLOOKUP(Requests[[#This Row],[Ticket ID]],[2]Requests!$A$2:$D$649,4,FALSE)</f>
        <v>4 - Low</v>
      </c>
      <c r="N443">
        <f>VLOOKUP(Requests[[#This Row],[Priority]],'SLA Config'!$B$3:$C$6,2,FALSE)</f>
        <v>25</v>
      </c>
      <c r="O443" t="str">
        <f ca="1">IF(Requests[[#This Row],[Age (days)]]&gt;Requests[[#This Row],[SLA Threshold]],"Yes","No")</f>
        <v>Yes</v>
      </c>
    </row>
    <row r="444" spans="1:15" ht="15.75" hidden="1" x14ac:dyDescent="0.3">
      <c r="A444" s="28" t="s">
        <v>2617</v>
      </c>
      <c r="B444" s="30">
        <v>45635</v>
      </c>
      <c r="C444" s="30">
        <v>45668</v>
      </c>
      <c r="D444" s="28" t="s">
        <v>29</v>
      </c>
      <c r="E444" s="28" t="s">
        <v>38</v>
      </c>
      <c r="F444">
        <f t="shared" ca="1" si="13"/>
        <v>25</v>
      </c>
      <c r="G444" s="28" t="s">
        <v>51</v>
      </c>
      <c r="H444" s="28" t="s">
        <v>2618</v>
      </c>
      <c r="K444" s="28" t="s">
        <v>119</v>
      </c>
      <c r="L444" t="s">
        <v>120</v>
      </c>
      <c r="M444" t="str">
        <f>VLOOKUP(Requests[[#This Row],[Ticket ID]],[2]Requests!$A$2:$D$649,4,FALSE)</f>
        <v>4 - Low</v>
      </c>
      <c r="N444">
        <f>VLOOKUP(Requests[[#This Row],[Priority]],'SLA Config'!$B$3:$C$6,2,FALSE)</f>
        <v>25</v>
      </c>
      <c r="O444" t="str">
        <f ca="1">IF(Requests[[#This Row],[Age (days)]]&gt;Requests[[#This Row],[SLA Threshold]],"Yes","No")</f>
        <v>No</v>
      </c>
    </row>
    <row r="445" spans="1:15" ht="15.75" x14ac:dyDescent="0.3">
      <c r="A445" s="28" t="s">
        <v>2619</v>
      </c>
      <c r="B445" s="30">
        <v>45636</v>
      </c>
      <c r="C445" s="30">
        <v>45661</v>
      </c>
      <c r="D445" s="28" t="s">
        <v>29</v>
      </c>
      <c r="E445" s="28" t="s">
        <v>46</v>
      </c>
      <c r="F445">
        <f t="shared" ca="1" si="13"/>
        <v>19</v>
      </c>
      <c r="G445" s="28" t="s">
        <v>31</v>
      </c>
      <c r="H445" s="28" t="s">
        <v>2620</v>
      </c>
      <c r="K445" s="28" t="s">
        <v>35</v>
      </c>
      <c r="L445" t="s">
        <v>36</v>
      </c>
      <c r="M445" t="str">
        <f>VLOOKUP(Requests[[#This Row],[Ticket ID]],[2]Requests!$A$2:$D$649,4,FALSE)</f>
        <v>4 - Low</v>
      </c>
      <c r="N445">
        <f>VLOOKUP(Requests[[#This Row],[Priority]],'SLA Config'!$B$3:$C$6,2,FALSE)</f>
        <v>25</v>
      </c>
      <c r="O445" t="str">
        <f ca="1">IF(Requests[[#This Row],[Age (days)]]&gt;Requests[[#This Row],[SLA Threshold]],"Yes","No")</f>
        <v>No</v>
      </c>
    </row>
    <row r="446" spans="1:15" ht="15.75" hidden="1" x14ac:dyDescent="0.3">
      <c r="A446" s="28" t="s">
        <v>2621</v>
      </c>
      <c r="B446" s="30">
        <v>45637</v>
      </c>
      <c r="C446" s="30">
        <v>45651</v>
      </c>
      <c r="D446" s="28" t="s">
        <v>29</v>
      </c>
      <c r="E446" s="28" t="s">
        <v>324</v>
      </c>
      <c r="F446">
        <f t="shared" ca="1" si="13"/>
        <v>11</v>
      </c>
      <c r="G446" s="28" t="s">
        <v>31</v>
      </c>
      <c r="H446" s="28" t="s">
        <v>2622</v>
      </c>
      <c r="K446" s="28" t="s">
        <v>2623</v>
      </c>
      <c r="M446" t="str">
        <f>VLOOKUP(Requests[[#This Row],[Ticket ID]],[2]Requests!$A$2:$D$649,4,FALSE)</f>
        <v>4 - Low</v>
      </c>
      <c r="N446">
        <f>VLOOKUP(Requests[[#This Row],[Priority]],'SLA Config'!$B$3:$C$6,2,FALSE)</f>
        <v>25</v>
      </c>
      <c r="O446" t="str">
        <f ca="1">IF(Requests[[#This Row],[Age (days)]]&gt;Requests[[#This Row],[SLA Threshold]],"Yes","No")</f>
        <v>No</v>
      </c>
    </row>
    <row r="447" spans="1:15" ht="15.75" hidden="1" x14ac:dyDescent="0.3">
      <c r="A447" s="28" t="s">
        <v>2624</v>
      </c>
      <c r="B447" s="30">
        <v>45636</v>
      </c>
      <c r="C447" s="30">
        <v>45668</v>
      </c>
      <c r="D447" s="28" t="s">
        <v>29</v>
      </c>
      <c r="E447" s="28" t="s">
        <v>38</v>
      </c>
      <c r="F447">
        <f t="shared" ca="1" si="13"/>
        <v>24</v>
      </c>
      <c r="G447" s="28" t="s">
        <v>51</v>
      </c>
      <c r="H447" s="28" t="s">
        <v>2625</v>
      </c>
      <c r="K447" s="28" t="s">
        <v>1582</v>
      </c>
      <c r="L447" t="s">
        <v>120</v>
      </c>
      <c r="M447" t="str">
        <f>VLOOKUP(Requests[[#This Row],[Ticket ID]],[2]Requests!$A$2:$D$649,4,FALSE)</f>
        <v>4 - Low</v>
      </c>
      <c r="N447">
        <f>VLOOKUP(Requests[[#This Row],[Priority]],'SLA Config'!$B$3:$C$6,2,FALSE)</f>
        <v>25</v>
      </c>
      <c r="O447" t="str">
        <f ca="1">IF(Requests[[#This Row],[Age (days)]]&gt;Requests[[#This Row],[SLA Threshold]],"Yes","No")</f>
        <v>No</v>
      </c>
    </row>
    <row r="448" spans="1:15" ht="15.75" hidden="1" x14ac:dyDescent="0.3">
      <c r="A448" s="28" t="s">
        <v>2626</v>
      </c>
      <c r="B448" s="30">
        <v>45636</v>
      </c>
      <c r="C448" s="30">
        <v>45668</v>
      </c>
      <c r="D448" s="28" t="s">
        <v>29</v>
      </c>
      <c r="E448" s="28" t="s">
        <v>38</v>
      </c>
      <c r="F448">
        <f t="shared" ca="1" si="13"/>
        <v>24</v>
      </c>
      <c r="G448" s="28" t="s">
        <v>51</v>
      </c>
      <c r="H448" s="28" t="s">
        <v>2627</v>
      </c>
      <c r="K448" s="28" t="s">
        <v>1582</v>
      </c>
      <c r="L448" t="s">
        <v>120</v>
      </c>
      <c r="M448" t="str">
        <f>VLOOKUP(Requests[[#This Row],[Ticket ID]],[2]Requests!$A$2:$D$649,4,FALSE)</f>
        <v>4 - Low</v>
      </c>
      <c r="N448">
        <f>VLOOKUP(Requests[[#This Row],[Priority]],'SLA Config'!$B$3:$C$6,2,FALSE)</f>
        <v>25</v>
      </c>
      <c r="O448" t="str">
        <f ca="1">IF(Requests[[#This Row],[Age (days)]]&gt;Requests[[#This Row],[SLA Threshold]],"Yes","No")</f>
        <v>No</v>
      </c>
    </row>
    <row r="449" spans="1:15" ht="15.75" hidden="1" x14ac:dyDescent="0.25">
      <c r="A449" t="s">
        <v>2628</v>
      </c>
      <c r="B449" s="31">
        <v>45733</v>
      </c>
      <c r="C449" s="31">
        <v>45747</v>
      </c>
      <c r="D449" t="s">
        <v>29</v>
      </c>
      <c r="E449" t="s">
        <v>1314</v>
      </c>
      <c r="F449">
        <f t="shared" ca="1" si="13"/>
        <v>11</v>
      </c>
      <c r="G449" s="16" t="s">
        <v>31</v>
      </c>
      <c r="H449" s="11" t="s">
        <v>2629</v>
      </c>
      <c r="K449" t="s">
        <v>1316</v>
      </c>
      <c r="L449" t="s">
        <v>36</v>
      </c>
      <c r="M449" t="str">
        <f>VLOOKUP(Requests[[#This Row],[Ticket ID]],[2]Requests!$A$2:$D$649,4,FALSE)</f>
        <v>4 - Low</v>
      </c>
      <c r="N449">
        <f>VLOOKUP(Requests[[#This Row],[Priority]],'SLA Config'!$B$3:$C$6,2,FALSE)</f>
        <v>25</v>
      </c>
      <c r="O449" t="str">
        <f ca="1">IF(Requests[[#This Row],[Age (days)]]&gt;Requests[[#This Row],[SLA Threshold]],"Yes","No")</f>
        <v>No</v>
      </c>
    </row>
    <row r="450" spans="1:15" ht="15.75" hidden="1" x14ac:dyDescent="0.3">
      <c r="A450" s="28" t="s">
        <v>2630</v>
      </c>
      <c r="B450" s="30">
        <v>45638</v>
      </c>
      <c r="C450" s="30">
        <v>45669</v>
      </c>
      <c r="D450" s="28" t="s">
        <v>29</v>
      </c>
      <c r="E450" s="28" t="s">
        <v>324</v>
      </c>
      <c r="F450">
        <f t="shared" ca="1" si="13"/>
        <v>22</v>
      </c>
      <c r="G450" s="28" t="s">
        <v>31</v>
      </c>
      <c r="H450" s="28" t="s">
        <v>2631</v>
      </c>
      <c r="K450" s="28" t="s">
        <v>236</v>
      </c>
      <c r="L450" t="s">
        <v>36</v>
      </c>
      <c r="M450" t="str">
        <f>VLOOKUP(Requests[[#This Row],[Ticket ID]],[2]Requests!$A$2:$D$649,4,FALSE)</f>
        <v>3 - Medium</v>
      </c>
      <c r="N450">
        <f>VLOOKUP(Requests[[#This Row],[Priority]],'SLA Config'!$B$3:$C$6,2,FALSE)</f>
        <v>15</v>
      </c>
      <c r="O450" t="str">
        <f ca="1">IF(Requests[[#This Row],[Age (days)]]&gt;Requests[[#This Row],[SLA Threshold]],"Yes","No")</f>
        <v>Yes</v>
      </c>
    </row>
    <row r="451" spans="1:15" ht="15.75" hidden="1" x14ac:dyDescent="0.3">
      <c r="A451" s="28" t="s">
        <v>2632</v>
      </c>
      <c r="B451" s="30">
        <v>45639</v>
      </c>
      <c r="C451" s="30">
        <v>45693</v>
      </c>
      <c r="D451" s="28" t="s">
        <v>29</v>
      </c>
      <c r="E451" s="28" t="s">
        <v>2164</v>
      </c>
      <c r="F451">
        <f t="shared" ca="1" si="13"/>
        <v>39</v>
      </c>
      <c r="G451" s="28" t="s">
        <v>486</v>
      </c>
      <c r="H451" s="28" t="s">
        <v>2633</v>
      </c>
      <c r="K451" s="28" t="s">
        <v>2634</v>
      </c>
      <c r="M451" t="str">
        <f>VLOOKUP(Requests[[#This Row],[Ticket ID]],[2]Requests!$A$2:$D$649,4,FALSE)</f>
        <v>4 - Low</v>
      </c>
      <c r="N451">
        <f>VLOOKUP(Requests[[#This Row],[Priority]],'SLA Config'!$B$3:$C$6,2,FALSE)</f>
        <v>25</v>
      </c>
      <c r="O451" t="str">
        <f ca="1">IF(Requests[[#This Row],[Age (days)]]&gt;Requests[[#This Row],[SLA Threshold]],"Yes","No")</f>
        <v>Yes</v>
      </c>
    </row>
    <row r="452" spans="1:15" ht="15.75" x14ac:dyDescent="0.3">
      <c r="A452" s="28" t="s">
        <v>2635</v>
      </c>
      <c r="B452" s="30">
        <v>45639</v>
      </c>
      <c r="C452" s="30">
        <v>45669</v>
      </c>
      <c r="D452" s="28" t="s">
        <v>29</v>
      </c>
      <c r="E452" s="28" t="s">
        <v>46</v>
      </c>
      <c r="F452">
        <f t="shared" ca="1" si="13"/>
        <v>21</v>
      </c>
      <c r="G452" s="28" t="s">
        <v>51</v>
      </c>
      <c r="H452" s="28" t="s">
        <v>2636</v>
      </c>
      <c r="K452" s="28" t="s">
        <v>41</v>
      </c>
      <c r="L452" t="s">
        <v>36</v>
      </c>
      <c r="M452" t="str">
        <f>VLOOKUP(Requests[[#This Row],[Ticket ID]],[2]Requests!$A$2:$D$649,4,FALSE)</f>
        <v>4 - Low</v>
      </c>
      <c r="N452">
        <f>VLOOKUP(Requests[[#This Row],[Priority]],'SLA Config'!$B$3:$C$6,2,FALSE)</f>
        <v>25</v>
      </c>
      <c r="O452" t="str">
        <f ca="1">IF(Requests[[#This Row],[Age (days)]]&gt;Requests[[#This Row],[SLA Threshold]],"Yes","No")</f>
        <v>No</v>
      </c>
    </row>
    <row r="453" spans="1:15" ht="15.75" hidden="1" x14ac:dyDescent="0.3">
      <c r="A453" s="28" t="s">
        <v>2637</v>
      </c>
      <c r="B453" s="30">
        <v>45632</v>
      </c>
      <c r="C453" s="30">
        <v>45668</v>
      </c>
      <c r="D453" s="28" t="s">
        <v>29</v>
      </c>
      <c r="E453" s="28" t="s">
        <v>324</v>
      </c>
      <c r="F453">
        <f t="shared" ca="1" si="13"/>
        <v>26</v>
      </c>
      <c r="G453" s="28" t="s">
        <v>31</v>
      </c>
      <c r="H453" s="28" t="s">
        <v>2638</v>
      </c>
      <c r="K453" s="28" t="s">
        <v>119</v>
      </c>
      <c r="L453" t="s">
        <v>120</v>
      </c>
      <c r="M453" t="str">
        <f>VLOOKUP(Requests[[#This Row],[Ticket ID]],[2]Requests!$A$2:$D$649,4,FALSE)</f>
        <v>4 - Low</v>
      </c>
      <c r="N453">
        <f>VLOOKUP(Requests[[#This Row],[Priority]],'SLA Config'!$B$3:$C$6,2,FALSE)</f>
        <v>25</v>
      </c>
      <c r="O453" t="str">
        <f ca="1">IF(Requests[[#This Row],[Age (days)]]&gt;Requests[[#This Row],[SLA Threshold]],"Yes","No")</f>
        <v>Yes</v>
      </c>
    </row>
    <row r="454" spans="1:15" ht="15.75" hidden="1" x14ac:dyDescent="0.3">
      <c r="A454" s="28" t="s">
        <v>2639</v>
      </c>
      <c r="B454" s="30">
        <v>45637</v>
      </c>
      <c r="C454" s="30">
        <v>45668</v>
      </c>
      <c r="D454" s="28" t="s">
        <v>29</v>
      </c>
      <c r="E454" s="28" t="s">
        <v>324</v>
      </c>
      <c r="F454">
        <f t="shared" ca="1" si="13"/>
        <v>23</v>
      </c>
      <c r="G454" s="28" t="s">
        <v>31</v>
      </c>
      <c r="H454" s="28" t="s">
        <v>2640</v>
      </c>
      <c r="K454" s="28" t="s">
        <v>119</v>
      </c>
      <c r="L454" t="s">
        <v>120</v>
      </c>
      <c r="M454" t="str">
        <f>VLOOKUP(Requests[[#This Row],[Ticket ID]],[2]Requests!$A$2:$D$649,4,FALSE)</f>
        <v>4 - Low</v>
      </c>
      <c r="N454">
        <f>VLOOKUP(Requests[[#This Row],[Priority]],'SLA Config'!$B$3:$C$6,2,FALSE)</f>
        <v>25</v>
      </c>
      <c r="O454" t="str">
        <f ca="1">IF(Requests[[#This Row],[Age (days)]]&gt;Requests[[#This Row],[SLA Threshold]],"Yes","No")</f>
        <v>No</v>
      </c>
    </row>
    <row r="455" spans="1:15" ht="15.75" hidden="1" x14ac:dyDescent="0.3">
      <c r="A455" s="28" t="s">
        <v>2641</v>
      </c>
      <c r="B455" s="30">
        <v>45637</v>
      </c>
      <c r="C455" s="30">
        <v>45672</v>
      </c>
      <c r="D455" s="28" t="s">
        <v>29</v>
      </c>
      <c r="E455" s="28" t="s">
        <v>324</v>
      </c>
      <c r="F455">
        <f t="shared" ca="1" si="13"/>
        <v>26</v>
      </c>
      <c r="G455" s="28" t="s">
        <v>31</v>
      </c>
      <c r="H455" s="28" t="s">
        <v>2642</v>
      </c>
      <c r="K455" s="28" t="s">
        <v>119</v>
      </c>
      <c r="L455" t="s">
        <v>120</v>
      </c>
      <c r="M455" t="str">
        <f>VLOOKUP(Requests[[#This Row],[Ticket ID]],[2]Requests!$A$2:$D$649,4,FALSE)</f>
        <v>4 - Low</v>
      </c>
      <c r="N455">
        <f>VLOOKUP(Requests[[#This Row],[Priority]],'SLA Config'!$B$3:$C$6,2,FALSE)</f>
        <v>25</v>
      </c>
      <c r="O455" t="str">
        <f ca="1">IF(Requests[[#This Row],[Age (days)]]&gt;Requests[[#This Row],[SLA Threshold]],"Yes","No")</f>
        <v>Yes</v>
      </c>
    </row>
    <row r="456" spans="1:15" ht="15.75" hidden="1" x14ac:dyDescent="0.3">
      <c r="A456" s="28" t="s">
        <v>2643</v>
      </c>
      <c r="B456" s="30">
        <v>45637</v>
      </c>
      <c r="C456" s="30">
        <v>45668</v>
      </c>
      <c r="D456" s="28" t="s">
        <v>29</v>
      </c>
      <c r="E456" s="28" t="s">
        <v>324</v>
      </c>
      <c r="F456">
        <f t="shared" ca="1" si="13"/>
        <v>23</v>
      </c>
      <c r="G456" s="28" t="s">
        <v>31</v>
      </c>
      <c r="H456" s="28" t="s">
        <v>2644</v>
      </c>
      <c r="K456" s="28" t="s">
        <v>119</v>
      </c>
      <c r="L456" t="s">
        <v>120</v>
      </c>
      <c r="M456" t="str">
        <f>VLOOKUP(Requests[[#This Row],[Ticket ID]],[2]Requests!$A$2:$D$649,4,FALSE)</f>
        <v>4 - Low</v>
      </c>
      <c r="N456">
        <f>VLOOKUP(Requests[[#This Row],[Priority]],'SLA Config'!$B$3:$C$6,2,FALSE)</f>
        <v>25</v>
      </c>
      <c r="O456" t="str">
        <f ca="1">IF(Requests[[#This Row],[Age (days)]]&gt;Requests[[#This Row],[SLA Threshold]],"Yes","No")</f>
        <v>No</v>
      </c>
    </row>
    <row r="457" spans="1:15" ht="15.75" x14ac:dyDescent="0.3">
      <c r="A457" s="28" t="s">
        <v>2645</v>
      </c>
      <c r="B457" s="30">
        <v>45637</v>
      </c>
      <c r="C457" s="30">
        <v>45693</v>
      </c>
      <c r="D457" s="28" t="s">
        <v>29</v>
      </c>
      <c r="E457" s="28" t="s">
        <v>46</v>
      </c>
      <c r="F457">
        <f t="shared" ca="1" si="13"/>
        <v>41</v>
      </c>
      <c r="G457" s="28" t="s">
        <v>31</v>
      </c>
      <c r="H457" s="28" t="s">
        <v>2646</v>
      </c>
      <c r="K457" s="28" t="s">
        <v>215</v>
      </c>
      <c r="L457" t="s">
        <v>120</v>
      </c>
      <c r="M457" t="str">
        <f>VLOOKUP(Requests[[#This Row],[Ticket ID]],[2]Requests!$A$2:$D$649,4,FALSE)</f>
        <v>4 - Low</v>
      </c>
      <c r="N457">
        <f>VLOOKUP(Requests[[#This Row],[Priority]],'SLA Config'!$B$3:$C$6,2,FALSE)</f>
        <v>25</v>
      </c>
      <c r="O457" t="str">
        <f ca="1">IF(Requests[[#This Row],[Age (days)]]&gt;Requests[[#This Row],[SLA Threshold]],"Yes","No")</f>
        <v>Yes</v>
      </c>
    </row>
    <row r="458" spans="1:15" ht="15.75" hidden="1" x14ac:dyDescent="0.3">
      <c r="A458" s="28" t="s">
        <v>2647</v>
      </c>
      <c r="B458" s="30">
        <v>45669</v>
      </c>
      <c r="C458" s="30">
        <v>45675</v>
      </c>
      <c r="D458" s="28" t="s">
        <v>29</v>
      </c>
      <c r="E458" s="28" t="s">
        <v>324</v>
      </c>
      <c r="F458">
        <f t="shared" ref="F458:F489" ca="1" si="14">IF(ISBLANK(C458), NETWORKDAYS(B458,TODAY()), NETWORKDAYS(B458,C458))</f>
        <v>5</v>
      </c>
      <c r="G458" s="28" t="s">
        <v>31</v>
      </c>
      <c r="H458" s="28" t="s">
        <v>2648</v>
      </c>
      <c r="K458" s="28" t="s">
        <v>2649</v>
      </c>
      <c r="M458" t="str">
        <f>VLOOKUP(Requests[[#This Row],[Ticket ID]],[2]Requests!$A$2:$D$649,4,FALSE)</f>
        <v>4 - Low</v>
      </c>
      <c r="N458">
        <f>VLOOKUP(Requests[[#This Row],[Priority]],'SLA Config'!$B$3:$C$6,2,FALSE)</f>
        <v>25</v>
      </c>
      <c r="O458" t="str">
        <f ca="1">IF(Requests[[#This Row],[Age (days)]]&gt;Requests[[#This Row],[SLA Threshold]],"Yes","No")</f>
        <v>No</v>
      </c>
    </row>
    <row r="459" spans="1:15" ht="15.75" x14ac:dyDescent="0.3">
      <c r="A459" s="28" t="s">
        <v>2650</v>
      </c>
      <c r="B459" s="30">
        <v>45660</v>
      </c>
      <c r="C459" s="30">
        <v>45675</v>
      </c>
      <c r="D459" s="28" t="s">
        <v>29</v>
      </c>
      <c r="E459" s="28" t="s">
        <v>46</v>
      </c>
      <c r="F459">
        <f t="shared" ca="1" si="14"/>
        <v>11</v>
      </c>
      <c r="G459" s="28" t="s">
        <v>31</v>
      </c>
      <c r="H459" s="28" t="s">
        <v>2651</v>
      </c>
      <c r="K459" s="28" t="s">
        <v>35</v>
      </c>
      <c r="L459" t="s">
        <v>36</v>
      </c>
      <c r="M459" t="str">
        <f>VLOOKUP(Requests[[#This Row],[Ticket ID]],[2]Requests!$A$2:$D$649,4,FALSE)</f>
        <v>4 - Low</v>
      </c>
      <c r="N459">
        <f>VLOOKUP(Requests[[#This Row],[Priority]],'SLA Config'!$B$3:$C$6,2,FALSE)</f>
        <v>25</v>
      </c>
      <c r="O459" t="str">
        <f ca="1">IF(Requests[[#This Row],[Age (days)]]&gt;Requests[[#This Row],[SLA Threshold]],"Yes","No")</f>
        <v>No</v>
      </c>
    </row>
    <row r="460" spans="1:15" ht="15.75" hidden="1" x14ac:dyDescent="0.3">
      <c r="A460" s="28" t="s">
        <v>2652</v>
      </c>
      <c r="B460" s="30">
        <v>45663</v>
      </c>
      <c r="C460" s="30">
        <v>45678</v>
      </c>
      <c r="D460" s="28" t="s">
        <v>29</v>
      </c>
      <c r="E460" s="28" t="s">
        <v>324</v>
      </c>
      <c r="F460">
        <f t="shared" ca="1" si="14"/>
        <v>12</v>
      </c>
      <c r="G460" s="28" t="s">
        <v>31</v>
      </c>
      <c r="H460" s="28" t="s">
        <v>2653</v>
      </c>
      <c r="K460" s="28" t="s">
        <v>236</v>
      </c>
      <c r="L460" t="s">
        <v>36</v>
      </c>
      <c r="M460" t="str">
        <f>VLOOKUP(Requests[[#This Row],[Ticket ID]],[2]Requests!$A$2:$D$649,4,FALSE)</f>
        <v>4 - Low</v>
      </c>
      <c r="N460">
        <f>VLOOKUP(Requests[[#This Row],[Priority]],'SLA Config'!$B$3:$C$6,2,FALSE)</f>
        <v>25</v>
      </c>
      <c r="O460" t="str">
        <f ca="1">IF(Requests[[#This Row],[Age (days)]]&gt;Requests[[#This Row],[SLA Threshold]],"Yes","No")</f>
        <v>No</v>
      </c>
    </row>
    <row r="461" spans="1:15" ht="15.75" x14ac:dyDescent="0.3">
      <c r="A461" s="28" t="s">
        <v>2654</v>
      </c>
      <c r="B461" s="30">
        <v>45664</v>
      </c>
      <c r="C461" s="30">
        <v>45693</v>
      </c>
      <c r="D461" s="28" t="s">
        <v>29</v>
      </c>
      <c r="E461" s="28" t="s">
        <v>46</v>
      </c>
      <c r="F461">
        <f t="shared" ca="1" si="14"/>
        <v>22</v>
      </c>
      <c r="G461" s="28" t="s">
        <v>31</v>
      </c>
      <c r="H461" s="28" t="s">
        <v>642</v>
      </c>
      <c r="K461" s="28" t="s">
        <v>35</v>
      </c>
      <c r="L461" t="s">
        <v>36</v>
      </c>
      <c r="M461" t="str">
        <f>VLOOKUP(Requests[[#This Row],[Ticket ID]],[2]Requests!$A$2:$D$649,4,FALSE)</f>
        <v>4 - Low</v>
      </c>
      <c r="N461">
        <f>VLOOKUP(Requests[[#This Row],[Priority]],'SLA Config'!$B$3:$C$6,2,FALSE)</f>
        <v>25</v>
      </c>
      <c r="O461" t="str">
        <f ca="1">IF(Requests[[#This Row],[Age (days)]]&gt;Requests[[#This Row],[SLA Threshold]],"Yes","No")</f>
        <v>No</v>
      </c>
    </row>
    <row r="462" spans="1:15" ht="15.75" hidden="1" x14ac:dyDescent="0.3">
      <c r="A462" s="28" t="s">
        <v>2655</v>
      </c>
      <c r="B462" s="30">
        <v>45664</v>
      </c>
      <c r="C462" s="30">
        <v>45689</v>
      </c>
      <c r="D462" s="28" t="s">
        <v>29</v>
      </c>
      <c r="E462" s="28" t="s">
        <v>30</v>
      </c>
      <c r="F462">
        <f t="shared" ca="1" si="14"/>
        <v>19</v>
      </c>
      <c r="G462" s="28" t="s">
        <v>31</v>
      </c>
      <c r="H462" s="28" t="s">
        <v>2656</v>
      </c>
      <c r="K462" s="28" t="s">
        <v>90</v>
      </c>
      <c r="L462" t="s">
        <v>36</v>
      </c>
      <c r="M462" t="str">
        <f>VLOOKUP(Requests[[#This Row],[Ticket ID]],[2]Requests!$A$2:$D$649,4,FALSE)</f>
        <v>4 - Low</v>
      </c>
      <c r="N462">
        <f>VLOOKUP(Requests[[#This Row],[Priority]],'SLA Config'!$B$3:$C$6,2,FALSE)</f>
        <v>25</v>
      </c>
      <c r="O462" t="str">
        <f ca="1">IF(Requests[[#This Row],[Age (days)]]&gt;Requests[[#This Row],[SLA Threshold]],"Yes","No")</f>
        <v>No</v>
      </c>
    </row>
    <row r="463" spans="1:15" ht="15.75" hidden="1" x14ac:dyDescent="0.25">
      <c r="A463" t="s">
        <v>2657</v>
      </c>
      <c r="B463" s="31">
        <v>45740</v>
      </c>
      <c r="C463" s="31">
        <v>45747</v>
      </c>
      <c r="D463" t="s">
        <v>29</v>
      </c>
      <c r="E463" t="s">
        <v>30</v>
      </c>
      <c r="F463">
        <f t="shared" ca="1" si="14"/>
        <v>6</v>
      </c>
      <c r="G463" s="16" t="s">
        <v>2658</v>
      </c>
      <c r="H463" s="11" t="s">
        <v>2659</v>
      </c>
      <c r="K463" t="s">
        <v>90</v>
      </c>
      <c r="L463" t="s">
        <v>36</v>
      </c>
      <c r="M463" t="str">
        <f>VLOOKUP(Requests[[#This Row],[Ticket ID]],[2]Requests!$A$2:$D$649,4,FALSE)</f>
        <v>4 - Low</v>
      </c>
      <c r="N463">
        <f>VLOOKUP(Requests[[#This Row],[Priority]],'SLA Config'!$B$3:$C$6,2,FALSE)</f>
        <v>25</v>
      </c>
      <c r="O463" t="str">
        <f ca="1">IF(Requests[[#This Row],[Age (days)]]&gt;Requests[[#This Row],[SLA Threshold]],"Yes","No")</f>
        <v>No</v>
      </c>
    </row>
    <row r="464" spans="1:15" ht="15.75" hidden="1" x14ac:dyDescent="0.3">
      <c r="A464" s="28" t="s">
        <v>2660</v>
      </c>
      <c r="B464" s="30">
        <v>45665</v>
      </c>
      <c r="C464" s="30">
        <v>45678</v>
      </c>
      <c r="D464" s="28" t="s">
        <v>29</v>
      </c>
      <c r="E464" s="28" t="s">
        <v>324</v>
      </c>
      <c r="F464">
        <f t="shared" ca="1" si="14"/>
        <v>10</v>
      </c>
      <c r="G464" s="28" t="s">
        <v>31</v>
      </c>
      <c r="H464" s="28" t="s">
        <v>2661</v>
      </c>
      <c r="K464" s="28" t="s">
        <v>215</v>
      </c>
      <c r="L464" t="s">
        <v>120</v>
      </c>
      <c r="M464" t="str">
        <f>VLOOKUP(Requests[[#This Row],[Ticket ID]],[2]Requests!$A$2:$D$649,4,FALSE)</f>
        <v>4 - Low</v>
      </c>
      <c r="N464">
        <f>VLOOKUP(Requests[[#This Row],[Priority]],'SLA Config'!$B$3:$C$6,2,FALSE)</f>
        <v>25</v>
      </c>
      <c r="O464" t="str">
        <f ca="1">IF(Requests[[#This Row],[Age (days)]]&gt;Requests[[#This Row],[SLA Threshold]],"Yes","No")</f>
        <v>No</v>
      </c>
    </row>
    <row r="465" spans="1:15" ht="15.75" hidden="1" x14ac:dyDescent="0.3">
      <c r="A465" s="28" t="s">
        <v>2662</v>
      </c>
      <c r="B465" s="30">
        <v>45665</v>
      </c>
      <c r="C465" s="8">
        <v>45766</v>
      </c>
      <c r="D465" s="28" t="s">
        <v>29</v>
      </c>
      <c r="E465" s="28" t="s">
        <v>30</v>
      </c>
      <c r="F465">
        <f t="shared" ca="1" si="14"/>
        <v>73</v>
      </c>
      <c r="G465" s="28" t="s">
        <v>31</v>
      </c>
      <c r="H465" s="28" t="s">
        <v>2663</v>
      </c>
      <c r="K465" s="28" t="s">
        <v>2538</v>
      </c>
      <c r="L465" t="s">
        <v>71</v>
      </c>
      <c r="M465" t="str">
        <f>VLOOKUP(Requests[[#This Row],[Ticket ID]],[2]Requests!$A$2:$D$649,4,FALSE)</f>
        <v>4 - Low</v>
      </c>
      <c r="N465">
        <f>VLOOKUP(Requests[[#This Row],[Priority]],'SLA Config'!$B$3:$C$6,2,FALSE)</f>
        <v>25</v>
      </c>
      <c r="O465" t="str">
        <f ca="1">IF(Requests[[#This Row],[Age (days)]]&gt;Requests[[#This Row],[SLA Threshold]],"Yes","No")</f>
        <v>Yes</v>
      </c>
    </row>
    <row r="466" spans="1:15" ht="15.75" hidden="1" x14ac:dyDescent="0.3">
      <c r="A466" s="28" t="s">
        <v>2664</v>
      </c>
      <c r="B466" s="30">
        <v>45666</v>
      </c>
      <c r="C466" s="30">
        <v>45703</v>
      </c>
      <c r="D466" s="28" t="s">
        <v>29</v>
      </c>
      <c r="E466" s="28" t="s">
        <v>532</v>
      </c>
      <c r="F466">
        <f t="shared" ca="1" si="14"/>
        <v>27</v>
      </c>
      <c r="G466" s="28" t="s">
        <v>51</v>
      </c>
      <c r="H466" s="28" t="s">
        <v>2665</v>
      </c>
      <c r="K466" s="28" t="s">
        <v>119</v>
      </c>
      <c r="L466" t="s">
        <v>120</v>
      </c>
      <c r="M466" t="str">
        <f>VLOOKUP(Requests[[#This Row],[Ticket ID]],[2]Requests!$A$2:$D$649,4,FALSE)</f>
        <v>4 - Low</v>
      </c>
      <c r="N466">
        <f>VLOOKUP(Requests[[#This Row],[Priority]],'SLA Config'!$B$3:$C$6,2,FALSE)</f>
        <v>25</v>
      </c>
      <c r="O466" t="str">
        <f ca="1">IF(Requests[[#This Row],[Age (days)]]&gt;Requests[[#This Row],[SLA Threshold]],"Yes","No")</f>
        <v>Yes</v>
      </c>
    </row>
    <row r="467" spans="1:15" ht="15.75" hidden="1" x14ac:dyDescent="0.3">
      <c r="A467" s="28" t="s">
        <v>2666</v>
      </c>
      <c r="B467" s="30">
        <v>45665</v>
      </c>
      <c r="C467" s="30">
        <v>45689</v>
      </c>
      <c r="D467" s="28" t="s">
        <v>29</v>
      </c>
      <c r="E467" s="28" t="s">
        <v>30</v>
      </c>
      <c r="F467">
        <f t="shared" ca="1" si="14"/>
        <v>18</v>
      </c>
      <c r="G467" s="28" t="s">
        <v>31</v>
      </c>
      <c r="H467" s="28" t="s">
        <v>2667</v>
      </c>
      <c r="K467" s="28" t="s">
        <v>90</v>
      </c>
      <c r="L467" t="s">
        <v>36</v>
      </c>
      <c r="M467" t="str">
        <f>VLOOKUP(Requests[[#This Row],[Ticket ID]],[2]Requests!$A$2:$D$649,4,FALSE)</f>
        <v>4 - Low</v>
      </c>
      <c r="N467">
        <f>VLOOKUP(Requests[[#This Row],[Priority]],'SLA Config'!$B$3:$C$6,2,FALSE)</f>
        <v>25</v>
      </c>
      <c r="O467" t="str">
        <f ca="1">IF(Requests[[#This Row],[Age (days)]]&gt;Requests[[#This Row],[SLA Threshold]],"Yes","No")</f>
        <v>No</v>
      </c>
    </row>
    <row r="468" spans="1:15" ht="15.75" x14ac:dyDescent="0.3">
      <c r="A468" s="28" t="s">
        <v>2668</v>
      </c>
      <c r="B468" s="30">
        <v>45672</v>
      </c>
      <c r="C468" s="30">
        <v>45679</v>
      </c>
      <c r="D468" s="28" t="s">
        <v>29</v>
      </c>
      <c r="E468" s="28" t="s">
        <v>46</v>
      </c>
      <c r="F468">
        <f t="shared" ca="1" si="14"/>
        <v>6</v>
      </c>
      <c r="G468" s="28" t="s">
        <v>31</v>
      </c>
      <c r="H468" s="28" t="s">
        <v>2669</v>
      </c>
      <c r="K468" s="28" t="s">
        <v>35</v>
      </c>
      <c r="L468" t="s">
        <v>36</v>
      </c>
      <c r="M468" t="str">
        <f>VLOOKUP(Requests[[#This Row],[Ticket ID]],[2]Requests!$A$2:$D$649,4,FALSE)</f>
        <v>4 - Low</v>
      </c>
      <c r="N468">
        <f>VLOOKUP(Requests[[#This Row],[Priority]],'SLA Config'!$B$3:$C$6,2,FALSE)</f>
        <v>25</v>
      </c>
      <c r="O468" t="str">
        <f ca="1">IF(Requests[[#This Row],[Age (days)]]&gt;Requests[[#This Row],[SLA Threshold]],"Yes","No")</f>
        <v>No</v>
      </c>
    </row>
    <row r="469" spans="1:15" ht="15.75" x14ac:dyDescent="0.3">
      <c r="A469" s="28" t="s">
        <v>2670</v>
      </c>
      <c r="B469" s="30">
        <v>45673</v>
      </c>
      <c r="C469" s="30">
        <v>45698</v>
      </c>
      <c r="D469" s="28" t="s">
        <v>29</v>
      </c>
      <c r="E469" s="28" t="s">
        <v>46</v>
      </c>
      <c r="F469">
        <f t="shared" ca="1" si="14"/>
        <v>18</v>
      </c>
      <c r="G469" s="28" t="s">
        <v>31</v>
      </c>
      <c r="H469" s="28" t="s">
        <v>2671</v>
      </c>
      <c r="K469" s="28" t="s">
        <v>35</v>
      </c>
      <c r="L469" t="s">
        <v>36</v>
      </c>
      <c r="M469" t="str">
        <f>VLOOKUP(Requests[[#This Row],[Ticket ID]],[2]Requests!$A$2:$D$649,4,FALSE)</f>
        <v>4 - Low</v>
      </c>
      <c r="N469">
        <f>VLOOKUP(Requests[[#This Row],[Priority]],'SLA Config'!$B$3:$C$6,2,FALSE)</f>
        <v>25</v>
      </c>
      <c r="O469" t="str">
        <f ca="1">IF(Requests[[#This Row],[Age (days)]]&gt;Requests[[#This Row],[SLA Threshold]],"Yes","No")</f>
        <v>No</v>
      </c>
    </row>
    <row r="470" spans="1:15" ht="15.75" x14ac:dyDescent="0.25">
      <c r="A470" t="s">
        <v>2672</v>
      </c>
      <c r="B470" s="31">
        <v>45736</v>
      </c>
      <c r="C470" s="31">
        <v>45747</v>
      </c>
      <c r="D470" t="s">
        <v>29</v>
      </c>
      <c r="E470" t="s">
        <v>46</v>
      </c>
      <c r="F470">
        <f t="shared" ca="1" si="14"/>
        <v>8</v>
      </c>
      <c r="G470" s="16" t="s">
        <v>31</v>
      </c>
      <c r="H470" s="11" t="s">
        <v>2673</v>
      </c>
      <c r="K470" t="s">
        <v>201</v>
      </c>
      <c r="L470" t="s">
        <v>120</v>
      </c>
      <c r="M470" t="str">
        <f>VLOOKUP(Requests[[#This Row],[Ticket ID]],[2]Requests!$A$2:$D$649,4,FALSE)</f>
        <v>3 - Medium</v>
      </c>
      <c r="N470">
        <f>VLOOKUP(Requests[[#This Row],[Priority]],'SLA Config'!$B$3:$C$6,2,FALSE)</f>
        <v>15</v>
      </c>
      <c r="O470" t="str">
        <f ca="1">IF(Requests[[#This Row],[Age (days)]]&gt;Requests[[#This Row],[SLA Threshold]],"Yes","No")</f>
        <v>No</v>
      </c>
    </row>
    <row r="471" spans="1:15" ht="15.75" hidden="1" x14ac:dyDescent="0.3">
      <c r="A471" s="28" t="s">
        <v>2674</v>
      </c>
      <c r="B471" s="30">
        <v>45673</v>
      </c>
      <c r="C471" s="30">
        <v>45689</v>
      </c>
      <c r="D471" s="28" t="s">
        <v>29</v>
      </c>
      <c r="E471" s="28" t="s">
        <v>30</v>
      </c>
      <c r="F471">
        <f t="shared" ca="1" si="14"/>
        <v>12</v>
      </c>
      <c r="G471" s="28" t="s">
        <v>31</v>
      </c>
      <c r="H471" s="28" t="s">
        <v>2675</v>
      </c>
      <c r="K471" s="28" t="s">
        <v>35</v>
      </c>
      <c r="L471" t="s">
        <v>36</v>
      </c>
      <c r="M471" t="str">
        <f>VLOOKUP(Requests[[#This Row],[Ticket ID]],[2]Requests!$A$2:$D$649,4,FALSE)</f>
        <v>2 - High</v>
      </c>
      <c r="N471">
        <f>VLOOKUP(Requests[[#This Row],[Priority]],'SLA Config'!$B$3:$C$6,2,FALSE)</f>
        <v>5</v>
      </c>
      <c r="O471" t="str">
        <f ca="1">IF(Requests[[#This Row],[Age (days)]]&gt;Requests[[#This Row],[SLA Threshold]],"Yes","No")</f>
        <v>Yes</v>
      </c>
    </row>
    <row r="472" spans="1:15" ht="15.75" x14ac:dyDescent="0.3">
      <c r="A472" s="28" t="s">
        <v>2676</v>
      </c>
      <c r="B472" s="30">
        <v>45673</v>
      </c>
      <c r="C472" s="30">
        <v>45682</v>
      </c>
      <c r="D472" s="28" t="s">
        <v>29</v>
      </c>
      <c r="E472" s="28" t="s">
        <v>46</v>
      </c>
      <c r="F472">
        <f t="shared" ca="1" si="14"/>
        <v>7</v>
      </c>
      <c r="G472" s="28" t="s">
        <v>31</v>
      </c>
      <c r="H472" s="28" t="s">
        <v>2677</v>
      </c>
      <c r="K472" s="28" t="s">
        <v>35</v>
      </c>
      <c r="L472" t="s">
        <v>36</v>
      </c>
      <c r="M472" t="str">
        <f>VLOOKUP(Requests[[#This Row],[Ticket ID]],[2]Requests!$A$2:$D$649,4,FALSE)</f>
        <v>4 - Low</v>
      </c>
      <c r="N472">
        <f>VLOOKUP(Requests[[#This Row],[Priority]],'SLA Config'!$B$3:$C$6,2,FALSE)</f>
        <v>25</v>
      </c>
      <c r="O472" t="str">
        <f ca="1">IF(Requests[[#This Row],[Age (days)]]&gt;Requests[[#This Row],[SLA Threshold]],"Yes","No")</f>
        <v>No</v>
      </c>
    </row>
    <row r="473" spans="1:15" ht="15.75" hidden="1" x14ac:dyDescent="0.3">
      <c r="A473" s="28" t="s">
        <v>2678</v>
      </c>
      <c r="B473" s="30">
        <v>45673</v>
      </c>
      <c r="C473" s="30">
        <v>45707</v>
      </c>
      <c r="D473" s="28" t="s">
        <v>29</v>
      </c>
      <c r="E473" s="28" t="s">
        <v>324</v>
      </c>
      <c r="F473">
        <f t="shared" ca="1" si="14"/>
        <v>25</v>
      </c>
      <c r="G473" s="28" t="s">
        <v>31</v>
      </c>
      <c r="H473" s="28" t="s">
        <v>2679</v>
      </c>
      <c r="K473" s="28" t="s">
        <v>35</v>
      </c>
      <c r="L473" t="s">
        <v>36</v>
      </c>
      <c r="M473" t="str">
        <f>VLOOKUP(Requests[[#This Row],[Ticket ID]],[2]Requests!$A$2:$D$649,4,FALSE)</f>
        <v>4 - Low</v>
      </c>
      <c r="N473">
        <f>VLOOKUP(Requests[[#This Row],[Priority]],'SLA Config'!$B$3:$C$6,2,FALSE)</f>
        <v>25</v>
      </c>
      <c r="O473" t="str">
        <f ca="1">IF(Requests[[#This Row],[Age (days)]]&gt;Requests[[#This Row],[SLA Threshold]],"Yes","No")</f>
        <v>No</v>
      </c>
    </row>
    <row r="474" spans="1:15" ht="15.75" x14ac:dyDescent="0.3">
      <c r="A474" s="28" t="s">
        <v>2680</v>
      </c>
      <c r="B474" s="30">
        <v>45673</v>
      </c>
      <c r="C474" s="30">
        <v>45690</v>
      </c>
      <c r="D474" s="28" t="s">
        <v>29</v>
      </c>
      <c r="E474" s="28" t="s">
        <v>46</v>
      </c>
      <c r="F474">
        <f t="shared" ca="1" si="14"/>
        <v>12</v>
      </c>
      <c r="G474" s="28" t="s">
        <v>31</v>
      </c>
      <c r="H474" s="28" t="s">
        <v>2681</v>
      </c>
      <c r="K474" s="28" t="s">
        <v>35</v>
      </c>
      <c r="L474" t="s">
        <v>36</v>
      </c>
      <c r="M474" t="str">
        <f>VLOOKUP(Requests[[#This Row],[Ticket ID]],[2]Requests!$A$2:$D$649,4,FALSE)</f>
        <v>3 - Medium</v>
      </c>
      <c r="N474">
        <f>VLOOKUP(Requests[[#This Row],[Priority]],'SLA Config'!$B$3:$C$6,2,FALSE)</f>
        <v>15</v>
      </c>
      <c r="O474" t="str">
        <f ca="1">IF(Requests[[#This Row],[Age (days)]]&gt;Requests[[#This Row],[SLA Threshold]],"Yes","No")</f>
        <v>No</v>
      </c>
    </row>
    <row r="475" spans="1:15" ht="15.75" hidden="1" x14ac:dyDescent="0.3">
      <c r="A475" s="28" t="s">
        <v>2682</v>
      </c>
      <c r="B475" s="30">
        <v>45673</v>
      </c>
      <c r="C475" s="30">
        <v>45689</v>
      </c>
      <c r="D475" s="28" t="s">
        <v>29</v>
      </c>
      <c r="E475" s="28" t="s">
        <v>30</v>
      </c>
      <c r="F475">
        <f t="shared" ca="1" si="14"/>
        <v>12</v>
      </c>
      <c r="G475" s="28" t="s">
        <v>31</v>
      </c>
      <c r="H475" s="28" t="s">
        <v>2683</v>
      </c>
      <c r="K475" s="28" t="s">
        <v>35</v>
      </c>
      <c r="L475" t="s">
        <v>36</v>
      </c>
      <c r="M475" t="str">
        <f>VLOOKUP(Requests[[#This Row],[Ticket ID]],[2]Requests!$A$2:$D$649,4,FALSE)</f>
        <v>2 - High</v>
      </c>
      <c r="N475">
        <f>VLOOKUP(Requests[[#This Row],[Priority]],'SLA Config'!$B$3:$C$6,2,FALSE)</f>
        <v>5</v>
      </c>
      <c r="O475" t="str">
        <f ca="1">IF(Requests[[#This Row],[Age (days)]]&gt;Requests[[#This Row],[SLA Threshold]],"Yes","No")</f>
        <v>Yes</v>
      </c>
    </row>
    <row r="476" spans="1:15" ht="15.75" hidden="1" x14ac:dyDescent="0.3">
      <c r="A476" s="28" t="s">
        <v>2684</v>
      </c>
      <c r="B476" s="30">
        <v>45677</v>
      </c>
      <c r="C476" s="30">
        <v>45686</v>
      </c>
      <c r="D476" s="28" t="s">
        <v>29</v>
      </c>
      <c r="E476" s="28" t="s">
        <v>30</v>
      </c>
      <c r="F476">
        <f t="shared" ca="1" si="14"/>
        <v>8</v>
      </c>
      <c r="G476" s="28" t="s">
        <v>31</v>
      </c>
      <c r="H476" s="28" t="s">
        <v>2685</v>
      </c>
      <c r="K476" s="28" t="s">
        <v>90</v>
      </c>
      <c r="L476" t="s">
        <v>36</v>
      </c>
      <c r="M476" t="str">
        <f>VLOOKUP(Requests[[#This Row],[Ticket ID]],[2]Requests!$A$2:$D$649,4,FALSE)</f>
        <v>2 - High</v>
      </c>
      <c r="N476">
        <f>VLOOKUP(Requests[[#This Row],[Priority]],'SLA Config'!$B$3:$C$6,2,FALSE)</f>
        <v>5</v>
      </c>
      <c r="O476" t="str">
        <f ca="1">IF(Requests[[#This Row],[Age (days)]]&gt;Requests[[#This Row],[SLA Threshold]],"Yes","No")</f>
        <v>Yes</v>
      </c>
    </row>
    <row r="477" spans="1:15" ht="15.75" x14ac:dyDescent="0.3">
      <c r="A477" s="28" t="s">
        <v>2686</v>
      </c>
      <c r="B477" s="30">
        <v>45677</v>
      </c>
      <c r="C477" s="30">
        <v>45690</v>
      </c>
      <c r="D477" s="28" t="s">
        <v>29</v>
      </c>
      <c r="E477" s="28" t="s">
        <v>46</v>
      </c>
      <c r="F477">
        <f t="shared" ca="1" si="14"/>
        <v>10</v>
      </c>
      <c r="G477" s="28" t="s">
        <v>31</v>
      </c>
      <c r="H477" s="28" t="s">
        <v>2687</v>
      </c>
      <c r="K477" s="28" t="s">
        <v>35</v>
      </c>
      <c r="L477" t="s">
        <v>36</v>
      </c>
      <c r="M477" t="str">
        <f>VLOOKUP(Requests[[#This Row],[Ticket ID]],[2]Requests!$A$2:$D$649,4,FALSE)</f>
        <v>2 - High</v>
      </c>
      <c r="N477">
        <f>VLOOKUP(Requests[[#This Row],[Priority]],'SLA Config'!$B$3:$C$6,2,FALSE)</f>
        <v>5</v>
      </c>
      <c r="O477" t="str">
        <f ca="1">IF(Requests[[#This Row],[Age (days)]]&gt;Requests[[#This Row],[SLA Threshold]],"Yes","No")</f>
        <v>Yes</v>
      </c>
    </row>
    <row r="478" spans="1:15" ht="15.75" x14ac:dyDescent="0.3">
      <c r="A478" s="28" t="s">
        <v>2688</v>
      </c>
      <c r="B478" s="30">
        <v>45677</v>
      </c>
      <c r="C478" s="30">
        <v>45690</v>
      </c>
      <c r="D478" s="28" t="s">
        <v>29</v>
      </c>
      <c r="E478" s="28" t="s">
        <v>46</v>
      </c>
      <c r="F478">
        <f t="shared" ca="1" si="14"/>
        <v>10</v>
      </c>
      <c r="G478" s="28" t="s">
        <v>31</v>
      </c>
      <c r="H478" s="28" t="s">
        <v>2689</v>
      </c>
      <c r="K478" s="28" t="s">
        <v>35</v>
      </c>
      <c r="L478" t="s">
        <v>36</v>
      </c>
      <c r="M478" t="str">
        <f>VLOOKUP(Requests[[#This Row],[Ticket ID]],[2]Requests!$A$2:$D$649,4,FALSE)</f>
        <v>2 - High</v>
      </c>
      <c r="N478">
        <f>VLOOKUP(Requests[[#This Row],[Priority]],'SLA Config'!$B$3:$C$6,2,FALSE)</f>
        <v>5</v>
      </c>
      <c r="O478" t="str">
        <f ca="1">IF(Requests[[#This Row],[Age (days)]]&gt;Requests[[#This Row],[SLA Threshold]],"Yes","No")</f>
        <v>Yes</v>
      </c>
    </row>
    <row r="479" spans="1:15" ht="15.75" hidden="1" x14ac:dyDescent="0.3">
      <c r="A479" s="28" t="s">
        <v>2690</v>
      </c>
      <c r="B479" s="30">
        <v>45674</v>
      </c>
      <c r="C479" s="30">
        <v>45683</v>
      </c>
      <c r="D479" s="28" t="s">
        <v>29</v>
      </c>
      <c r="E479" s="28" t="s">
        <v>324</v>
      </c>
      <c r="F479">
        <f t="shared" ca="1" si="14"/>
        <v>6</v>
      </c>
      <c r="G479" s="28" t="s">
        <v>31</v>
      </c>
      <c r="H479" s="28" t="s">
        <v>2691</v>
      </c>
      <c r="K479" s="28" t="s">
        <v>215</v>
      </c>
      <c r="L479" t="s">
        <v>120</v>
      </c>
      <c r="M479" t="str">
        <f>VLOOKUP(Requests[[#This Row],[Ticket ID]],[2]Requests!$A$2:$D$649,4,FALSE)</f>
        <v>4 - Low</v>
      </c>
      <c r="N479">
        <f>VLOOKUP(Requests[[#This Row],[Priority]],'SLA Config'!$B$3:$C$6,2,FALSE)</f>
        <v>25</v>
      </c>
      <c r="O479" t="str">
        <f ca="1">IF(Requests[[#This Row],[Age (days)]]&gt;Requests[[#This Row],[SLA Threshold]],"Yes","No")</f>
        <v>No</v>
      </c>
    </row>
    <row r="480" spans="1:15" ht="15.75" hidden="1" x14ac:dyDescent="0.3">
      <c r="A480" s="28" t="s">
        <v>2692</v>
      </c>
      <c r="B480" s="30">
        <v>45678</v>
      </c>
      <c r="C480" s="30">
        <v>45689</v>
      </c>
      <c r="D480" s="28" t="s">
        <v>29</v>
      </c>
      <c r="E480" s="28" t="s">
        <v>324</v>
      </c>
      <c r="F480">
        <f t="shared" ca="1" si="14"/>
        <v>9</v>
      </c>
      <c r="G480" s="28" t="s">
        <v>31</v>
      </c>
      <c r="H480" s="28" t="s">
        <v>2693</v>
      </c>
      <c r="K480" s="28" t="s">
        <v>215</v>
      </c>
      <c r="L480" t="s">
        <v>120</v>
      </c>
      <c r="M480" t="str">
        <f>VLOOKUP(Requests[[#This Row],[Ticket ID]],[2]Requests!$A$2:$D$649,4,FALSE)</f>
        <v>4 - Low</v>
      </c>
      <c r="N480">
        <f>VLOOKUP(Requests[[#This Row],[Priority]],'SLA Config'!$B$3:$C$6,2,FALSE)</f>
        <v>25</v>
      </c>
      <c r="O480" t="str">
        <f ca="1">IF(Requests[[#This Row],[Age (days)]]&gt;Requests[[#This Row],[SLA Threshold]],"Yes","No")</f>
        <v>No</v>
      </c>
    </row>
    <row r="481" spans="1:15" ht="15.75" x14ac:dyDescent="0.3">
      <c r="A481" s="28" t="s">
        <v>2694</v>
      </c>
      <c r="B481" s="30">
        <v>45679</v>
      </c>
      <c r="C481" s="30">
        <v>45712</v>
      </c>
      <c r="D481" t="s">
        <v>29</v>
      </c>
      <c r="E481" s="28" t="s">
        <v>46</v>
      </c>
      <c r="F481">
        <f t="shared" ca="1" si="14"/>
        <v>24</v>
      </c>
      <c r="G481" s="28" t="s">
        <v>51</v>
      </c>
      <c r="H481" s="28" t="s">
        <v>1725</v>
      </c>
      <c r="K481" s="28" t="s">
        <v>119</v>
      </c>
      <c r="L481" t="s">
        <v>120</v>
      </c>
      <c r="M481" t="str">
        <f>VLOOKUP(Requests[[#This Row],[Ticket ID]],[2]Requests!$A$2:$D$649,4,FALSE)</f>
        <v>4 - Low</v>
      </c>
      <c r="N481">
        <f>VLOOKUP(Requests[[#This Row],[Priority]],'SLA Config'!$B$3:$C$6,2,FALSE)</f>
        <v>25</v>
      </c>
      <c r="O481" t="str">
        <f ca="1">IF(Requests[[#This Row],[Age (days)]]&gt;Requests[[#This Row],[SLA Threshold]],"Yes","No")</f>
        <v>No</v>
      </c>
    </row>
    <row r="482" spans="1:15" ht="15.75" x14ac:dyDescent="0.3">
      <c r="A482" s="28" t="s">
        <v>2695</v>
      </c>
      <c r="B482" s="30">
        <v>45680</v>
      </c>
      <c r="C482" s="30">
        <v>45713</v>
      </c>
      <c r="D482" t="s">
        <v>29</v>
      </c>
      <c r="E482" s="28" t="s">
        <v>46</v>
      </c>
      <c r="F482">
        <f t="shared" ca="1" si="14"/>
        <v>24</v>
      </c>
      <c r="G482" s="28" t="s">
        <v>31</v>
      </c>
      <c r="H482" s="28" t="s">
        <v>2696</v>
      </c>
      <c r="K482" s="28" t="s">
        <v>35</v>
      </c>
      <c r="L482" t="s">
        <v>36</v>
      </c>
      <c r="M482" t="str">
        <f>VLOOKUP(Requests[[#This Row],[Ticket ID]],[2]Requests!$A$2:$D$649,4,FALSE)</f>
        <v>2 - High</v>
      </c>
      <c r="N482">
        <f>VLOOKUP(Requests[[#This Row],[Priority]],'SLA Config'!$B$3:$C$6,2,FALSE)</f>
        <v>5</v>
      </c>
      <c r="O482" t="str">
        <f ca="1">IF(Requests[[#This Row],[Age (days)]]&gt;Requests[[#This Row],[SLA Threshold]],"Yes","No")</f>
        <v>Yes</v>
      </c>
    </row>
    <row r="483" spans="1:15" ht="15.75" hidden="1" x14ac:dyDescent="0.3">
      <c r="A483" s="28" t="s">
        <v>2697</v>
      </c>
      <c r="B483" s="30">
        <v>45683</v>
      </c>
      <c r="C483" s="30">
        <v>45692</v>
      </c>
      <c r="D483" s="28" t="s">
        <v>29</v>
      </c>
      <c r="E483" s="28" t="s">
        <v>324</v>
      </c>
      <c r="F483">
        <f t="shared" ca="1" si="14"/>
        <v>7</v>
      </c>
      <c r="G483" s="28" t="s">
        <v>31</v>
      </c>
      <c r="H483" s="28" t="s">
        <v>2698</v>
      </c>
      <c r="K483" s="28" t="s">
        <v>236</v>
      </c>
      <c r="L483" t="s">
        <v>36</v>
      </c>
      <c r="M483" t="str">
        <f>VLOOKUP(Requests[[#This Row],[Ticket ID]],[2]Requests!$A$2:$D$649,4,FALSE)</f>
        <v>4 - Low</v>
      </c>
      <c r="N483">
        <f>VLOOKUP(Requests[[#This Row],[Priority]],'SLA Config'!$B$3:$C$6,2,FALSE)</f>
        <v>25</v>
      </c>
      <c r="O483" t="str">
        <f ca="1">IF(Requests[[#This Row],[Age (days)]]&gt;Requests[[#This Row],[SLA Threshold]],"Yes","No")</f>
        <v>No</v>
      </c>
    </row>
    <row r="484" spans="1:15" ht="15.75" x14ac:dyDescent="0.3">
      <c r="A484" s="28" t="s">
        <v>2699</v>
      </c>
      <c r="B484" s="30">
        <v>45684</v>
      </c>
      <c r="C484" s="30">
        <v>45704</v>
      </c>
      <c r="D484" s="28" t="s">
        <v>29</v>
      </c>
      <c r="E484" s="28" t="s">
        <v>46</v>
      </c>
      <c r="F484">
        <f t="shared" ca="1" si="14"/>
        <v>15</v>
      </c>
      <c r="G484" s="28" t="s">
        <v>31</v>
      </c>
      <c r="H484" s="28" t="s">
        <v>2700</v>
      </c>
      <c r="K484" s="28" t="s">
        <v>90</v>
      </c>
      <c r="L484" t="s">
        <v>36</v>
      </c>
      <c r="M484" t="str">
        <f>VLOOKUP(Requests[[#This Row],[Ticket ID]],[2]Requests!$A$2:$D$649,4,FALSE)</f>
        <v>4 - Low</v>
      </c>
      <c r="N484">
        <f>VLOOKUP(Requests[[#This Row],[Priority]],'SLA Config'!$B$3:$C$6,2,FALSE)</f>
        <v>25</v>
      </c>
      <c r="O484" t="str">
        <f ca="1">IF(Requests[[#This Row],[Age (days)]]&gt;Requests[[#This Row],[SLA Threshold]],"Yes","No")</f>
        <v>No</v>
      </c>
    </row>
    <row r="485" spans="1:15" ht="15.75" hidden="1" x14ac:dyDescent="0.3">
      <c r="A485" s="28" t="s">
        <v>2701</v>
      </c>
      <c r="B485" s="30">
        <v>45677</v>
      </c>
      <c r="C485" s="30">
        <v>45689</v>
      </c>
      <c r="D485" s="28" t="s">
        <v>29</v>
      </c>
      <c r="E485" s="28" t="s">
        <v>30</v>
      </c>
      <c r="F485">
        <f t="shared" ca="1" si="14"/>
        <v>10</v>
      </c>
      <c r="G485" s="28" t="s">
        <v>31</v>
      </c>
      <c r="H485" s="28" t="s">
        <v>2702</v>
      </c>
      <c r="K485" s="28" t="s">
        <v>35</v>
      </c>
      <c r="L485" t="s">
        <v>36</v>
      </c>
      <c r="M485" t="str">
        <f>VLOOKUP(Requests[[#This Row],[Ticket ID]],[2]Requests!$A$2:$D$649,4,FALSE)</f>
        <v>2 - High</v>
      </c>
      <c r="N485">
        <f>VLOOKUP(Requests[[#This Row],[Priority]],'SLA Config'!$B$3:$C$6,2,FALSE)</f>
        <v>5</v>
      </c>
      <c r="O485" t="str">
        <f ca="1">IF(Requests[[#This Row],[Age (days)]]&gt;Requests[[#This Row],[SLA Threshold]],"Yes","No")</f>
        <v>Yes</v>
      </c>
    </row>
    <row r="486" spans="1:15" ht="15.75" x14ac:dyDescent="0.3">
      <c r="A486" s="28" t="s">
        <v>2703</v>
      </c>
      <c r="B486" s="30">
        <v>45684</v>
      </c>
      <c r="C486" s="30">
        <v>45704</v>
      </c>
      <c r="D486" s="28" t="s">
        <v>29</v>
      </c>
      <c r="E486" s="28" t="s">
        <v>46</v>
      </c>
      <c r="F486">
        <f t="shared" ca="1" si="14"/>
        <v>15</v>
      </c>
      <c r="G486" s="28" t="s">
        <v>31</v>
      </c>
      <c r="H486" s="28" t="s">
        <v>2704</v>
      </c>
      <c r="K486" s="28" t="s">
        <v>35</v>
      </c>
      <c r="L486" t="s">
        <v>36</v>
      </c>
      <c r="M486" t="str">
        <f>VLOOKUP(Requests[[#This Row],[Ticket ID]],[2]Requests!$A$2:$D$649,4,FALSE)</f>
        <v>4 - Low</v>
      </c>
      <c r="N486">
        <f>VLOOKUP(Requests[[#This Row],[Priority]],'SLA Config'!$B$3:$C$6,2,FALSE)</f>
        <v>25</v>
      </c>
      <c r="O486" t="str">
        <f ca="1">IF(Requests[[#This Row],[Age (days)]]&gt;Requests[[#This Row],[SLA Threshold]],"Yes","No")</f>
        <v>No</v>
      </c>
    </row>
    <row r="487" spans="1:15" ht="15.75" hidden="1" x14ac:dyDescent="0.25">
      <c r="A487" t="s">
        <v>2705</v>
      </c>
      <c r="B487" s="31">
        <v>45727</v>
      </c>
      <c r="C487" s="31">
        <v>45746</v>
      </c>
      <c r="D487" t="s">
        <v>29</v>
      </c>
      <c r="E487" t="s">
        <v>1314</v>
      </c>
      <c r="F487">
        <f t="shared" ca="1" si="14"/>
        <v>14</v>
      </c>
      <c r="G487" s="16" t="s">
        <v>31</v>
      </c>
      <c r="H487" s="11" t="s">
        <v>2706</v>
      </c>
      <c r="K487" t="s">
        <v>480</v>
      </c>
      <c r="L487" t="s">
        <v>120</v>
      </c>
      <c r="M487" t="str">
        <f>VLOOKUP(Requests[[#This Row],[Ticket ID]],[2]Requests!$A$2:$D$649,4,FALSE)</f>
        <v>4 - Low</v>
      </c>
      <c r="N487">
        <f>VLOOKUP(Requests[[#This Row],[Priority]],'SLA Config'!$B$3:$C$6,2,FALSE)</f>
        <v>25</v>
      </c>
      <c r="O487" t="str">
        <f ca="1">IF(Requests[[#This Row],[Age (days)]]&gt;Requests[[#This Row],[SLA Threshold]],"Yes","No")</f>
        <v>No</v>
      </c>
    </row>
    <row r="488" spans="1:15" ht="15.75" hidden="1" x14ac:dyDescent="0.3">
      <c r="A488" s="28" t="s">
        <v>2707</v>
      </c>
      <c r="B488" s="30">
        <v>45685</v>
      </c>
      <c r="C488" s="30">
        <v>45713</v>
      </c>
      <c r="D488" t="s">
        <v>29</v>
      </c>
      <c r="E488" s="28" t="s">
        <v>324</v>
      </c>
      <c r="F488">
        <f t="shared" ca="1" si="14"/>
        <v>21</v>
      </c>
      <c r="G488" s="28" t="s">
        <v>31</v>
      </c>
      <c r="H488" s="28" t="s">
        <v>2708</v>
      </c>
      <c r="K488" s="28" t="s">
        <v>236</v>
      </c>
      <c r="L488" t="s">
        <v>36</v>
      </c>
      <c r="M488" t="str">
        <f>VLOOKUP(Requests[[#This Row],[Ticket ID]],[2]Requests!$A$2:$D$649,4,FALSE)</f>
        <v>4 - Low</v>
      </c>
      <c r="N488">
        <f>VLOOKUP(Requests[[#This Row],[Priority]],'SLA Config'!$B$3:$C$6,2,FALSE)</f>
        <v>25</v>
      </c>
      <c r="O488" t="str">
        <f ca="1">IF(Requests[[#This Row],[Age (days)]]&gt;Requests[[#This Row],[SLA Threshold]],"Yes","No")</f>
        <v>No</v>
      </c>
    </row>
    <row r="489" spans="1:15" ht="15.75" x14ac:dyDescent="0.3">
      <c r="A489" s="28" t="s">
        <v>2709</v>
      </c>
      <c r="B489" s="30">
        <v>45687</v>
      </c>
      <c r="C489" s="30">
        <v>45698</v>
      </c>
      <c r="D489" s="28" t="s">
        <v>29</v>
      </c>
      <c r="E489" s="28" t="s">
        <v>46</v>
      </c>
      <c r="F489">
        <f t="shared" ca="1" si="14"/>
        <v>8</v>
      </c>
      <c r="G489" s="28" t="s">
        <v>31</v>
      </c>
      <c r="H489" s="28" t="s">
        <v>2710</v>
      </c>
      <c r="K489" s="28" t="s">
        <v>215</v>
      </c>
      <c r="L489" t="s">
        <v>120</v>
      </c>
      <c r="M489" t="str">
        <f>VLOOKUP(Requests[[#This Row],[Ticket ID]],[2]Requests!$A$2:$D$649,4,FALSE)</f>
        <v>4 - Low</v>
      </c>
      <c r="N489">
        <f>VLOOKUP(Requests[[#This Row],[Priority]],'SLA Config'!$B$3:$C$6,2,FALSE)</f>
        <v>25</v>
      </c>
      <c r="O489" t="str">
        <f ca="1">IF(Requests[[#This Row],[Age (days)]]&gt;Requests[[#This Row],[SLA Threshold]],"Yes","No")</f>
        <v>No</v>
      </c>
    </row>
    <row r="490" spans="1:15" ht="15.75" hidden="1" x14ac:dyDescent="0.3">
      <c r="A490" s="28" t="s">
        <v>2711</v>
      </c>
      <c r="B490" s="30">
        <v>45671</v>
      </c>
      <c r="C490" s="30">
        <v>45693</v>
      </c>
      <c r="D490" s="28" t="s">
        <v>29</v>
      </c>
      <c r="E490" s="28" t="s">
        <v>324</v>
      </c>
      <c r="F490">
        <f t="shared" ref="F490:F521" ca="1" si="15">IF(ISBLANK(C490), NETWORKDAYS(B490,TODAY()), NETWORKDAYS(B490,C490))</f>
        <v>17</v>
      </c>
      <c r="G490" s="28" t="s">
        <v>31</v>
      </c>
      <c r="H490" s="28" t="s">
        <v>2712</v>
      </c>
      <c r="K490" s="28" t="s">
        <v>2713</v>
      </c>
      <c r="L490" t="e">
        <v>#N/A</v>
      </c>
      <c r="M490" t="str">
        <f>VLOOKUP(Requests[[#This Row],[Ticket ID]],[2]Requests!$A$2:$D$649,4,FALSE)</f>
        <v>4 - Low</v>
      </c>
      <c r="N490">
        <f>VLOOKUP(Requests[[#This Row],[Priority]],'SLA Config'!$B$3:$C$6,2,FALSE)</f>
        <v>25</v>
      </c>
      <c r="O490" t="str">
        <f ca="1">IF(Requests[[#This Row],[Age (days)]]&gt;Requests[[#This Row],[SLA Threshold]],"Yes","No")</f>
        <v>No</v>
      </c>
    </row>
    <row r="491" spans="1:15" ht="15.75" hidden="1" x14ac:dyDescent="0.3">
      <c r="A491" s="28" t="s">
        <v>2714</v>
      </c>
      <c r="B491" s="30">
        <v>45673</v>
      </c>
      <c r="C491" s="30">
        <v>45693</v>
      </c>
      <c r="D491" s="28" t="s">
        <v>29</v>
      </c>
      <c r="E491" s="28" t="s">
        <v>324</v>
      </c>
      <c r="F491">
        <f t="shared" ca="1" si="15"/>
        <v>15</v>
      </c>
      <c r="G491" s="28" t="s">
        <v>31</v>
      </c>
      <c r="H491" s="28" t="s">
        <v>2715</v>
      </c>
      <c r="K491" s="28" t="s">
        <v>35</v>
      </c>
      <c r="L491" t="s">
        <v>36</v>
      </c>
      <c r="M491" t="str">
        <f>VLOOKUP(Requests[[#This Row],[Ticket ID]],[2]Requests!$A$2:$D$649,4,FALSE)</f>
        <v>4 - Low</v>
      </c>
      <c r="N491">
        <f>VLOOKUP(Requests[[#This Row],[Priority]],'SLA Config'!$B$3:$C$6,2,FALSE)</f>
        <v>25</v>
      </c>
      <c r="O491" t="str">
        <f ca="1">IF(Requests[[#This Row],[Age (days)]]&gt;Requests[[#This Row],[SLA Threshold]],"Yes","No")</f>
        <v>No</v>
      </c>
    </row>
    <row r="492" spans="1:15" ht="15.75" x14ac:dyDescent="0.3">
      <c r="A492" s="28" t="s">
        <v>2716</v>
      </c>
      <c r="B492" s="30">
        <v>45686</v>
      </c>
      <c r="C492" s="30">
        <v>45712</v>
      </c>
      <c r="D492" t="s">
        <v>29</v>
      </c>
      <c r="E492" s="28" t="s">
        <v>46</v>
      </c>
      <c r="F492">
        <f t="shared" ca="1" si="15"/>
        <v>19</v>
      </c>
      <c r="G492" s="28" t="s">
        <v>51</v>
      </c>
      <c r="H492" s="28" t="s">
        <v>1725</v>
      </c>
      <c r="K492" s="28" t="s">
        <v>119</v>
      </c>
      <c r="L492" t="s">
        <v>120</v>
      </c>
      <c r="M492" t="str">
        <f>VLOOKUP(Requests[[#This Row],[Ticket ID]],[2]Requests!$A$2:$D$649,4,FALSE)</f>
        <v>4 - Low</v>
      </c>
      <c r="N492">
        <f>VLOOKUP(Requests[[#This Row],[Priority]],'SLA Config'!$B$3:$C$6,2,FALSE)</f>
        <v>25</v>
      </c>
      <c r="O492" t="str">
        <f ca="1">IF(Requests[[#This Row],[Age (days)]]&gt;Requests[[#This Row],[SLA Threshold]],"Yes","No")</f>
        <v>No</v>
      </c>
    </row>
    <row r="493" spans="1:15" ht="15.75" x14ac:dyDescent="0.3">
      <c r="A493" s="28" t="s">
        <v>2717</v>
      </c>
      <c r="B493" s="30">
        <v>45698</v>
      </c>
      <c r="C493" s="30">
        <v>45710</v>
      </c>
      <c r="D493" t="s">
        <v>29</v>
      </c>
      <c r="E493" s="28" t="s">
        <v>46</v>
      </c>
      <c r="F493">
        <f t="shared" ca="1" si="15"/>
        <v>10</v>
      </c>
      <c r="G493" s="28" t="s">
        <v>31</v>
      </c>
      <c r="H493" s="28" t="s">
        <v>2718</v>
      </c>
      <c r="K493" s="28" t="s">
        <v>35</v>
      </c>
      <c r="L493" t="s">
        <v>36</v>
      </c>
      <c r="M493" t="str">
        <f>VLOOKUP(Requests[[#This Row],[Ticket ID]],[2]Requests!$A$2:$D$649,4,FALSE)</f>
        <v>4 - Low</v>
      </c>
      <c r="N493">
        <f>VLOOKUP(Requests[[#This Row],[Priority]],'SLA Config'!$B$3:$C$6,2,FALSE)</f>
        <v>25</v>
      </c>
      <c r="O493" t="str">
        <f ca="1">IF(Requests[[#This Row],[Age (days)]]&gt;Requests[[#This Row],[SLA Threshold]],"Yes","No")</f>
        <v>No</v>
      </c>
    </row>
    <row r="494" spans="1:15" ht="15.75" x14ac:dyDescent="0.3">
      <c r="A494" s="28" t="s">
        <v>2719</v>
      </c>
      <c r="B494" s="30">
        <v>45694</v>
      </c>
      <c r="C494" s="30">
        <v>45713</v>
      </c>
      <c r="D494" t="s">
        <v>29</v>
      </c>
      <c r="E494" s="28" t="s">
        <v>46</v>
      </c>
      <c r="F494">
        <f t="shared" ca="1" si="15"/>
        <v>14</v>
      </c>
      <c r="G494" s="28" t="s">
        <v>31</v>
      </c>
      <c r="H494" s="28" t="s">
        <v>2720</v>
      </c>
      <c r="K494" s="28" t="s">
        <v>35</v>
      </c>
      <c r="L494" t="s">
        <v>36</v>
      </c>
      <c r="M494" t="str">
        <f>VLOOKUP(Requests[[#This Row],[Ticket ID]],[2]Requests!$A$2:$D$649,4,FALSE)</f>
        <v>2 - High</v>
      </c>
      <c r="N494">
        <f>VLOOKUP(Requests[[#This Row],[Priority]],'SLA Config'!$B$3:$C$6,2,FALSE)</f>
        <v>5</v>
      </c>
      <c r="O494" t="str">
        <f ca="1">IF(Requests[[#This Row],[Age (days)]]&gt;Requests[[#This Row],[SLA Threshold]],"Yes","No")</f>
        <v>Yes</v>
      </c>
    </row>
    <row r="495" spans="1:15" ht="15.75" hidden="1" x14ac:dyDescent="0.3">
      <c r="A495" s="28" t="s">
        <v>2721</v>
      </c>
      <c r="B495" s="30">
        <v>45696</v>
      </c>
      <c r="C495" s="8">
        <v>45774</v>
      </c>
      <c r="D495" s="28" t="s">
        <v>29</v>
      </c>
      <c r="E495" s="28" t="s">
        <v>1557</v>
      </c>
      <c r="F495">
        <f t="shared" ca="1" si="15"/>
        <v>55</v>
      </c>
      <c r="G495" s="28" t="s">
        <v>2583</v>
      </c>
      <c r="H495" s="28" t="s">
        <v>1692</v>
      </c>
      <c r="K495" s="28" t="s">
        <v>1695</v>
      </c>
      <c r="L495" t="s">
        <v>71</v>
      </c>
      <c r="M495" t="str">
        <f>VLOOKUP(Requests[[#This Row],[Ticket ID]],[2]Requests!$A$2:$D$649,4,FALSE)</f>
        <v>4 - Low</v>
      </c>
      <c r="N495">
        <f>VLOOKUP(Requests[[#This Row],[Priority]],'SLA Config'!$B$3:$C$6,2,FALSE)</f>
        <v>25</v>
      </c>
      <c r="O495" t="str">
        <f ca="1">IF(Requests[[#This Row],[Age (days)]]&gt;Requests[[#This Row],[SLA Threshold]],"Yes","No")</f>
        <v>Yes</v>
      </c>
    </row>
    <row r="496" spans="1:15" ht="15.75" hidden="1" x14ac:dyDescent="0.25">
      <c r="A496" t="s">
        <v>2722</v>
      </c>
      <c r="B496" s="31">
        <v>45737</v>
      </c>
      <c r="C496" s="31">
        <v>45745</v>
      </c>
      <c r="D496" t="s">
        <v>29</v>
      </c>
      <c r="E496" t="s">
        <v>38</v>
      </c>
      <c r="F496">
        <f t="shared" ca="1" si="15"/>
        <v>6</v>
      </c>
      <c r="G496" s="16" t="s">
        <v>51</v>
      </c>
      <c r="H496" s="11" t="s">
        <v>2723</v>
      </c>
      <c r="K496" t="s">
        <v>90</v>
      </c>
      <c r="L496" t="s">
        <v>36</v>
      </c>
      <c r="M496" t="str">
        <f>VLOOKUP(Requests[[#This Row],[Ticket ID]],[2]Requests!$A$2:$D$649,4,FALSE)</f>
        <v>2 - High</v>
      </c>
      <c r="N496">
        <f>VLOOKUP(Requests[[#This Row],[Priority]],'SLA Config'!$B$3:$C$6,2,FALSE)</f>
        <v>5</v>
      </c>
      <c r="O496" t="str">
        <f ca="1">IF(Requests[[#This Row],[Age (days)]]&gt;Requests[[#This Row],[SLA Threshold]],"Yes","No")</f>
        <v>Yes</v>
      </c>
    </row>
    <row r="497" spans="1:15" ht="15.75" hidden="1" x14ac:dyDescent="0.25">
      <c r="A497" t="s">
        <v>2724</v>
      </c>
      <c r="B497" s="31">
        <v>45726</v>
      </c>
      <c r="C497" s="31">
        <v>45745</v>
      </c>
      <c r="D497" t="s">
        <v>29</v>
      </c>
      <c r="E497" t="s">
        <v>1314</v>
      </c>
      <c r="F497">
        <f t="shared" ca="1" si="15"/>
        <v>15</v>
      </c>
      <c r="G497" s="16" t="s">
        <v>31</v>
      </c>
      <c r="H497" s="11" t="s">
        <v>2725</v>
      </c>
      <c r="K497" t="s">
        <v>2726</v>
      </c>
      <c r="L497" t="s">
        <v>120</v>
      </c>
      <c r="M497" t="str">
        <f>VLOOKUP(Requests[[#This Row],[Ticket ID]],[2]Requests!$A$2:$D$649,4,FALSE)</f>
        <v>4 - Low</v>
      </c>
      <c r="N497">
        <f>VLOOKUP(Requests[[#This Row],[Priority]],'SLA Config'!$B$3:$C$6,2,FALSE)</f>
        <v>25</v>
      </c>
      <c r="O497" t="str">
        <f ca="1">IF(Requests[[#This Row],[Age (days)]]&gt;Requests[[#This Row],[SLA Threshold]],"Yes","No")</f>
        <v>No</v>
      </c>
    </row>
    <row r="498" spans="1:15" ht="30" hidden="1" x14ac:dyDescent="0.25">
      <c r="A498" t="s">
        <v>2727</v>
      </c>
      <c r="B498" s="31">
        <v>45737</v>
      </c>
      <c r="C498" s="31">
        <v>45742</v>
      </c>
      <c r="D498" t="s">
        <v>29</v>
      </c>
      <c r="E498" t="s">
        <v>324</v>
      </c>
      <c r="F498">
        <f t="shared" ca="1" si="15"/>
        <v>4</v>
      </c>
      <c r="G498" s="16" t="s">
        <v>31</v>
      </c>
      <c r="H498" s="11" t="s">
        <v>2728</v>
      </c>
      <c r="K498" t="s">
        <v>1565</v>
      </c>
      <c r="L498" t="s">
        <v>36</v>
      </c>
      <c r="M498" t="str">
        <f>VLOOKUP(Requests[[#This Row],[Ticket ID]],[2]Requests!$A$2:$D$649,4,FALSE)</f>
        <v>4 - Low</v>
      </c>
      <c r="N498">
        <f>VLOOKUP(Requests[[#This Row],[Priority]],'SLA Config'!$B$3:$C$6,2,FALSE)</f>
        <v>25</v>
      </c>
      <c r="O498" t="str">
        <f ca="1">IF(Requests[[#This Row],[Age (days)]]&gt;Requests[[#This Row],[SLA Threshold]],"Yes","No")</f>
        <v>No</v>
      </c>
    </row>
    <row r="499" spans="1:15" ht="15.75" hidden="1" x14ac:dyDescent="0.3">
      <c r="A499" s="28" t="s">
        <v>2729</v>
      </c>
      <c r="B499" s="30">
        <v>45701</v>
      </c>
      <c r="C499" s="8">
        <v>45754</v>
      </c>
      <c r="D499" s="28" t="s">
        <v>29</v>
      </c>
      <c r="E499" s="28" t="s">
        <v>1557</v>
      </c>
      <c r="F499">
        <f t="shared" ca="1" si="15"/>
        <v>38</v>
      </c>
      <c r="G499" s="28" t="s">
        <v>51</v>
      </c>
      <c r="H499" s="28" t="s">
        <v>2616</v>
      </c>
      <c r="K499" s="28" t="s">
        <v>119</v>
      </c>
      <c r="L499" t="s">
        <v>120</v>
      </c>
      <c r="M499" t="str">
        <f>VLOOKUP(Requests[[#This Row],[Ticket ID]],[2]Requests!$A$2:$D$649,4,FALSE)</f>
        <v>4 - Low</v>
      </c>
      <c r="N499">
        <f>VLOOKUP(Requests[[#This Row],[Priority]],'SLA Config'!$B$3:$C$6,2,FALSE)</f>
        <v>25</v>
      </c>
      <c r="O499" t="str">
        <f ca="1">IF(Requests[[#This Row],[Age (days)]]&gt;Requests[[#This Row],[SLA Threshold]],"Yes","No")</f>
        <v>Yes</v>
      </c>
    </row>
    <row r="500" spans="1:15" ht="15.75" hidden="1" x14ac:dyDescent="0.25">
      <c r="A500" t="s">
        <v>2730</v>
      </c>
      <c r="B500" s="31">
        <v>45733</v>
      </c>
      <c r="C500" s="31">
        <v>45741</v>
      </c>
      <c r="D500" t="s">
        <v>29</v>
      </c>
      <c r="E500" t="s">
        <v>1314</v>
      </c>
      <c r="F500">
        <f t="shared" ca="1" si="15"/>
        <v>7</v>
      </c>
      <c r="G500" s="16" t="s">
        <v>31</v>
      </c>
      <c r="H500" s="11" t="s">
        <v>2731</v>
      </c>
      <c r="K500" t="s">
        <v>1316</v>
      </c>
      <c r="L500" t="s">
        <v>36</v>
      </c>
      <c r="M500" t="str">
        <f>VLOOKUP(Requests[[#This Row],[Ticket ID]],[2]Requests!$A$2:$D$649,4,FALSE)</f>
        <v>4 - Low</v>
      </c>
      <c r="N500">
        <f>VLOOKUP(Requests[[#This Row],[Priority]],'SLA Config'!$B$3:$C$6,2,FALSE)</f>
        <v>25</v>
      </c>
      <c r="O500" t="str">
        <f ca="1">IF(Requests[[#This Row],[Age (days)]]&gt;Requests[[#This Row],[SLA Threshold]],"Yes","No")</f>
        <v>No</v>
      </c>
    </row>
    <row r="501" spans="1:15" ht="15.75" hidden="1" x14ac:dyDescent="0.3">
      <c r="A501" s="28" t="s">
        <v>2732</v>
      </c>
      <c r="B501" s="30">
        <v>45702</v>
      </c>
      <c r="C501" s="30">
        <v>45713</v>
      </c>
      <c r="D501" t="s">
        <v>29</v>
      </c>
      <c r="E501" s="28" t="s">
        <v>324</v>
      </c>
      <c r="F501">
        <f t="shared" ca="1" si="15"/>
        <v>8</v>
      </c>
      <c r="G501" s="28" t="s">
        <v>31</v>
      </c>
      <c r="H501" s="28" t="s">
        <v>2733</v>
      </c>
      <c r="K501" s="28" t="s">
        <v>215</v>
      </c>
      <c r="L501" t="s">
        <v>120</v>
      </c>
      <c r="M501" t="str">
        <f>VLOOKUP(Requests[[#This Row],[Ticket ID]],[2]Requests!$A$2:$D$649,4,FALSE)</f>
        <v>4 - Low</v>
      </c>
      <c r="N501">
        <f>VLOOKUP(Requests[[#This Row],[Priority]],'SLA Config'!$B$3:$C$6,2,FALSE)</f>
        <v>25</v>
      </c>
      <c r="O501" t="str">
        <f ca="1">IF(Requests[[#This Row],[Age (days)]]&gt;Requests[[#This Row],[SLA Threshold]],"Yes","No")</f>
        <v>No</v>
      </c>
    </row>
    <row r="502" spans="1:15" hidden="1" x14ac:dyDescent="0.25">
      <c r="A502" s="17" t="s">
        <v>2734</v>
      </c>
      <c r="B502" s="8">
        <v>45518</v>
      </c>
      <c r="C502" s="8">
        <v>45740</v>
      </c>
      <c r="D502" t="s">
        <v>29</v>
      </c>
      <c r="E502" t="s">
        <v>104</v>
      </c>
      <c r="F502">
        <f t="shared" ca="1" si="15"/>
        <v>159</v>
      </c>
      <c r="G502" s="16" t="s">
        <v>31</v>
      </c>
      <c r="H502" t="s">
        <v>2735</v>
      </c>
      <c r="I502" t="s">
        <v>394</v>
      </c>
      <c r="J502" t="s">
        <v>40</v>
      </c>
      <c r="K502" t="s">
        <v>215</v>
      </c>
      <c r="L502" s="17" t="s">
        <v>120</v>
      </c>
      <c r="M502" t="str">
        <f>VLOOKUP(Requests[[#This Row],[Ticket ID]],[2]Requests!$A$2:$D$649,4,FALSE)</f>
        <v>3 - Medium</v>
      </c>
      <c r="N502">
        <f>VLOOKUP(Requests[[#This Row],[Priority]],'SLA Config'!$B$3:$C$6,2,FALSE)</f>
        <v>15</v>
      </c>
      <c r="O502" t="str">
        <f ca="1">IF(Requests[[#This Row],[Age (days)]]&gt;Requests[[#This Row],[SLA Threshold]],"Yes","No")</f>
        <v>Yes</v>
      </c>
    </row>
    <row r="503" spans="1:15" ht="15.75" x14ac:dyDescent="0.25">
      <c r="A503" t="s">
        <v>2736</v>
      </c>
      <c r="B503" s="31">
        <v>45730</v>
      </c>
      <c r="C503" s="31">
        <v>45740</v>
      </c>
      <c r="D503" t="s">
        <v>29</v>
      </c>
      <c r="E503" t="s">
        <v>46</v>
      </c>
      <c r="F503">
        <f t="shared" ca="1" si="15"/>
        <v>7</v>
      </c>
      <c r="G503" s="16" t="s">
        <v>31</v>
      </c>
      <c r="H503" s="11" t="s">
        <v>2737</v>
      </c>
      <c r="K503" t="s">
        <v>215</v>
      </c>
      <c r="L503" t="s">
        <v>120</v>
      </c>
      <c r="M503" t="str">
        <f>VLOOKUP(Requests[[#This Row],[Ticket ID]],[2]Requests!$A$2:$D$649,4,FALSE)</f>
        <v>4 - Low</v>
      </c>
      <c r="N503">
        <f>VLOOKUP(Requests[[#This Row],[Priority]],'SLA Config'!$B$3:$C$6,2,FALSE)</f>
        <v>25</v>
      </c>
      <c r="O503" t="str">
        <f ca="1">IF(Requests[[#This Row],[Age (days)]]&gt;Requests[[#This Row],[SLA Threshold]],"Yes","No")</f>
        <v>No</v>
      </c>
    </row>
    <row r="504" spans="1:15" ht="15.75" x14ac:dyDescent="0.25">
      <c r="A504" t="s">
        <v>2738</v>
      </c>
      <c r="B504" s="31">
        <v>45728</v>
      </c>
      <c r="C504" s="31">
        <v>45740</v>
      </c>
      <c r="D504" t="s">
        <v>29</v>
      </c>
      <c r="E504" t="s">
        <v>46</v>
      </c>
      <c r="F504">
        <f t="shared" ca="1" si="15"/>
        <v>9</v>
      </c>
      <c r="G504" s="16" t="s">
        <v>31</v>
      </c>
      <c r="H504" s="11" t="s">
        <v>2739</v>
      </c>
      <c r="K504" t="s">
        <v>480</v>
      </c>
      <c r="L504" t="s">
        <v>120</v>
      </c>
      <c r="M504" t="str">
        <f>VLOOKUP(Requests[[#This Row],[Ticket ID]],[2]Requests!$A$2:$D$649,4,FALSE)</f>
        <v>4 - Low</v>
      </c>
      <c r="N504">
        <f>VLOOKUP(Requests[[#This Row],[Priority]],'SLA Config'!$B$3:$C$6,2,FALSE)</f>
        <v>25</v>
      </c>
      <c r="O504" t="str">
        <f ca="1">IF(Requests[[#This Row],[Age (days)]]&gt;Requests[[#This Row],[SLA Threshold]],"Yes","No")</f>
        <v>No</v>
      </c>
    </row>
    <row r="505" spans="1:15" ht="15.75" hidden="1" x14ac:dyDescent="0.25">
      <c r="A505" t="s">
        <v>2740</v>
      </c>
      <c r="B505" s="31">
        <v>45719</v>
      </c>
      <c r="C505" s="8">
        <v>45739</v>
      </c>
      <c r="D505" t="s">
        <v>29</v>
      </c>
      <c r="E505" t="s">
        <v>1557</v>
      </c>
      <c r="F505">
        <f t="shared" ca="1" si="15"/>
        <v>15</v>
      </c>
      <c r="G505" s="16" t="s">
        <v>486</v>
      </c>
      <c r="H505" s="11" t="s">
        <v>2741</v>
      </c>
      <c r="K505" t="s">
        <v>575</v>
      </c>
      <c r="L505" t="s">
        <v>71</v>
      </c>
      <c r="M505" t="str">
        <f>VLOOKUP(Requests[[#This Row],[Ticket ID]],[2]Requests!$A$2:$D$649,4,FALSE)</f>
        <v>4 - Low</v>
      </c>
      <c r="N505">
        <f>VLOOKUP(Requests[[#This Row],[Priority]],'SLA Config'!$B$3:$C$6,2,FALSE)</f>
        <v>25</v>
      </c>
      <c r="O505" t="str">
        <f ca="1">IF(Requests[[#This Row],[Age (days)]]&gt;Requests[[#This Row],[SLA Threshold]],"Yes","No")</f>
        <v>No</v>
      </c>
    </row>
    <row r="506" spans="1:15" ht="15.75" x14ac:dyDescent="0.3">
      <c r="A506" s="28" t="s">
        <v>2742</v>
      </c>
      <c r="B506" s="30">
        <v>45708</v>
      </c>
      <c r="C506" s="8">
        <v>45738</v>
      </c>
      <c r="D506" t="s">
        <v>29</v>
      </c>
      <c r="E506" s="28" t="s">
        <v>46</v>
      </c>
      <c r="F506">
        <f t="shared" ca="1" si="15"/>
        <v>22</v>
      </c>
      <c r="G506" s="28" t="s">
        <v>31</v>
      </c>
      <c r="H506" s="28" t="s">
        <v>2743</v>
      </c>
      <c r="K506" s="28" t="s">
        <v>236</v>
      </c>
      <c r="L506" t="s">
        <v>36</v>
      </c>
      <c r="M506" t="str">
        <f>VLOOKUP(Requests[[#This Row],[Ticket ID]],[2]Requests!$A$2:$D$649,4,FALSE)</f>
        <v>4 - Low</v>
      </c>
      <c r="N506">
        <f>VLOOKUP(Requests[[#This Row],[Priority]],'SLA Config'!$B$3:$C$6,2,FALSE)</f>
        <v>25</v>
      </c>
      <c r="O506" t="str">
        <f ca="1">IF(Requests[[#This Row],[Age (days)]]&gt;Requests[[#This Row],[SLA Threshold]],"Yes","No")</f>
        <v>No</v>
      </c>
    </row>
    <row r="507" spans="1:15" ht="15.75" hidden="1" x14ac:dyDescent="0.25">
      <c r="A507" t="s">
        <v>2744</v>
      </c>
      <c r="B507" s="31">
        <v>45726</v>
      </c>
      <c r="C507" s="31">
        <v>45738</v>
      </c>
      <c r="D507" t="s">
        <v>29</v>
      </c>
      <c r="E507" t="s">
        <v>1314</v>
      </c>
      <c r="F507">
        <f t="shared" ca="1" si="15"/>
        <v>10</v>
      </c>
      <c r="G507" s="16" t="s">
        <v>31</v>
      </c>
      <c r="H507" s="11" t="s">
        <v>2745</v>
      </c>
      <c r="K507" t="s">
        <v>1316</v>
      </c>
      <c r="L507" t="s">
        <v>36</v>
      </c>
      <c r="M507" t="str">
        <f>VLOOKUP(Requests[[#This Row],[Ticket ID]],[2]Requests!$A$2:$D$649,4,FALSE)</f>
        <v>4 - Low</v>
      </c>
      <c r="N507">
        <f>VLOOKUP(Requests[[#This Row],[Priority]],'SLA Config'!$B$3:$C$6,2,FALSE)</f>
        <v>25</v>
      </c>
      <c r="O507" t="str">
        <f ca="1">IF(Requests[[#This Row],[Age (days)]]&gt;Requests[[#This Row],[SLA Threshold]],"Yes","No")</f>
        <v>No</v>
      </c>
    </row>
    <row r="508" spans="1:15" ht="30" hidden="1" x14ac:dyDescent="0.25">
      <c r="A508" t="s">
        <v>2746</v>
      </c>
      <c r="B508" s="31">
        <v>45728</v>
      </c>
      <c r="C508" s="31">
        <v>45738</v>
      </c>
      <c r="D508" t="s">
        <v>29</v>
      </c>
      <c r="E508" t="s">
        <v>1314</v>
      </c>
      <c r="F508">
        <f t="shared" ca="1" si="15"/>
        <v>8</v>
      </c>
      <c r="G508" s="16" t="s">
        <v>31</v>
      </c>
      <c r="H508" s="11" t="s">
        <v>2747</v>
      </c>
      <c r="K508" t="s">
        <v>1316</v>
      </c>
      <c r="L508" t="s">
        <v>36</v>
      </c>
      <c r="M508" t="str">
        <f>VLOOKUP(Requests[[#This Row],[Ticket ID]],[2]Requests!$A$2:$D$649,4,FALSE)</f>
        <v>4 - Low</v>
      </c>
      <c r="N508">
        <f>VLOOKUP(Requests[[#This Row],[Priority]],'SLA Config'!$B$3:$C$6,2,FALSE)</f>
        <v>25</v>
      </c>
      <c r="O508" t="str">
        <f ca="1">IF(Requests[[#This Row],[Age (days)]]&gt;Requests[[#This Row],[SLA Threshold]],"Yes","No")</f>
        <v>No</v>
      </c>
    </row>
    <row r="509" spans="1:15" ht="15.75" x14ac:dyDescent="0.3">
      <c r="A509" s="28" t="s">
        <v>2748</v>
      </c>
      <c r="B509" s="30">
        <v>45684</v>
      </c>
      <c r="C509" s="8">
        <v>45735</v>
      </c>
      <c r="D509" t="s">
        <v>29</v>
      </c>
      <c r="E509" s="28" t="s">
        <v>46</v>
      </c>
      <c r="F509">
        <f t="shared" ca="1" si="15"/>
        <v>38</v>
      </c>
      <c r="G509" s="28" t="s">
        <v>31</v>
      </c>
      <c r="H509" s="28" t="s">
        <v>2749</v>
      </c>
      <c r="K509" s="28" t="s">
        <v>35</v>
      </c>
      <c r="L509" t="s">
        <v>36</v>
      </c>
      <c r="M509" t="str">
        <f>VLOOKUP(Requests[[#This Row],[Ticket ID]],[2]Requests!$A$2:$D$649,4,FALSE)</f>
        <v>4 - Low</v>
      </c>
      <c r="N509">
        <f>VLOOKUP(Requests[[#This Row],[Priority]],'SLA Config'!$B$3:$C$6,2,FALSE)</f>
        <v>25</v>
      </c>
      <c r="O509" t="str">
        <f ca="1">IF(Requests[[#This Row],[Age (days)]]&gt;Requests[[#This Row],[SLA Threshold]],"Yes","No")</f>
        <v>Yes</v>
      </c>
    </row>
    <row r="510" spans="1:15" ht="15.75" x14ac:dyDescent="0.25">
      <c r="A510" t="s">
        <v>2750</v>
      </c>
      <c r="B510" s="31">
        <v>45720</v>
      </c>
      <c r="C510" s="8">
        <v>45735</v>
      </c>
      <c r="D510" t="s">
        <v>29</v>
      </c>
      <c r="E510" t="s">
        <v>46</v>
      </c>
      <c r="F510">
        <f t="shared" ca="1" si="15"/>
        <v>12</v>
      </c>
      <c r="G510" s="16" t="s">
        <v>31</v>
      </c>
      <c r="H510" s="11" t="s">
        <v>2751</v>
      </c>
      <c r="K510" t="s">
        <v>35</v>
      </c>
      <c r="L510" t="s">
        <v>36</v>
      </c>
      <c r="M510" t="str">
        <f>VLOOKUP(Requests[[#This Row],[Ticket ID]],[2]Requests!$A$2:$D$649,4,FALSE)</f>
        <v>4 - Low</v>
      </c>
      <c r="N510">
        <f>VLOOKUP(Requests[[#This Row],[Priority]],'SLA Config'!$B$3:$C$6,2,FALSE)</f>
        <v>25</v>
      </c>
      <c r="O510" t="str">
        <f ca="1">IF(Requests[[#This Row],[Age (days)]]&gt;Requests[[#This Row],[SLA Threshold]],"Yes","No")</f>
        <v>No</v>
      </c>
    </row>
    <row r="511" spans="1:15" ht="15.75" x14ac:dyDescent="0.25">
      <c r="A511" t="s">
        <v>2752</v>
      </c>
      <c r="B511" s="31">
        <v>45720</v>
      </c>
      <c r="C511" s="31">
        <v>45735</v>
      </c>
      <c r="D511" t="s">
        <v>29</v>
      </c>
      <c r="E511" t="s">
        <v>46</v>
      </c>
      <c r="F511">
        <f t="shared" ca="1" si="15"/>
        <v>12</v>
      </c>
      <c r="G511" s="16" t="s">
        <v>31</v>
      </c>
      <c r="H511" s="11" t="s">
        <v>2753</v>
      </c>
      <c r="K511" t="s">
        <v>35</v>
      </c>
      <c r="L511" t="s">
        <v>36</v>
      </c>
      <c r="M511" t="str">
        <f>VLOOKUP(Requests[[#This Row],[Ticket ID]],[2]Requests!$A$2:$D$649,4,FALSE)</f>
        <v>4 - Low</v>
      </c>
      <c r="N511">
        <f>VLOOKUP(Requests[[#This Row],[Priority]],'SLA Config'!$B$3:$C$6,2,FALSE)</f>
        <v>25</v>
      </c>
      <c r="O511" t="str">
        <f ca="1">IF(Requests[[#This Row],[Age (days)]]&gt;Requests[[#This Row],[SLA Threshold]],"Yes","No")</f>
        <v>No</v>
      </c>
    </row>
    <row r="512" spans="1:15" ht="15.75" hidden="1" x14ac:dyDescent="0.25">
      <c r="A512" t="s">
        <v>2754</v>
      </c>
      <c r="B512" s="31">
        <v>45730</v>
      </c>
      <c r="C512" s="31">
        <v>45735</v>
      </c>
      <c r="D512" t="s">
        <v>29</v>
      </c>
      <c r="E512" t="s">
        <v>1314</v>
      </c>
      <c r="F512">
        <f t="shared" ca="1" si="15"/>
        <v>4</v>
      </c>
      <c r="G512" s="16" t="s">
        <v>31</v>
      </c>
      <c r="H512" s="11" t="s">
        <v>2737</v>
      </c>
      <c r="K512" t="s">
        <v>215</v>
      </c>
      <c r="L512" t="s">
        <v>120</v>
      </c>
      <c r="M512" t="str">
        <f>VLOOKUP(Requests[[#This Row],[Ticket ID]],[2]Requests!$A$2:$D$649,4,FALSE)</f>
        <v>4 - Low</v>
      </c>
      <c r="N512">
        <f>VLOOKUP(Requests[[#This Row],[Priority]],'SLA Config'!$B$3:$C$6,2,FALSE)</f>
        <v>25</v>
      </c>
      <c r="O512" t="str">
        <f ca="1">IF(Requests[[#This Row],[Age (days)]]&gt;Requests[[#This Row],[SLA Threshold]],"Yes","No")</f>
        <v>No</v>
      </c>
    </row>
    <row r="513" spans="1:15" ht="30" hidden="1" x14ac:dyDescent="0.25">
      <c r="A513" t="s">
        <v>2755</v>
      </c>
      <c r="B513" s="31">
        <v>45720</v>
      </c>
      <c r="C513" s="31">
        <v>45734</v>
      </c>
      <c r="D513" t="s">
        <v>29</v>
      </c>
      <c r="E513" t="s">
        <v>1314</v>
      </c>
      <c r="F513">
        <f t="shared" ca="1" si="15"/>
        <v>11</v>
      </c>
      <c r="G513" s="16" t="s">
        <v>31</v>
      </c>
      <c r="H513" s="11" t="s">
        <v>2756</v>
      </c>
      <c r="K513" t="s">
        <v>1316</v>
      </c>
      <c r="L513" t="s">
        <v>36</v>
      </c>
      <c r="M513" t="str">
        <f>VLOOKUP(Requests[[#This Row],[Ticket ID]],[2]Requests!$A$2:$D$649,4,FALSE)</f>
        <v>4 - Low</v>
      </c>
      <c r="N513">
        <f>VLOOKUP(Requests[[#This Row],[Priority]],'SLA Config'!$B$3:$C$6,2,FALSE)</f>
        <v>25</v>
      </c>
      <c r="O513" t="str">
        <f ca="1">IF(Requests[[#This Row],[Age (days)]]&gt;Requests[[#This Row],[SLA Threshold]],"Yes","No")</f>
        <v>No</v>
      </c>
    </row>
    <row r="514" spans="1:15" ht="15.75" x14ac:dyDescent="0.25">
      <c r="A514" t="s">
        <v>2757</v>
      </c>
      <c r="B514" s="31">
        <v>45722</v>
      </c>
      <c r="C514" s="31">
        <v>45734</v>
      </c>
      <c r="D514" t="s">
        <v>29</v>
      </c>
      <c r="E514" t="s">
        <v>46</v>
      </c>
      <c r="F514">
        <f t="shared" ca="1" si="15"/>
        <v>9</v>
      </c>
      <c r="G514" s="16" t="s">
        <v>31</v>
      </c>
      <c r="H514" s="11" t="s">
        <v>2758</v>
      </c>
      <c r="K514" t="s">
        <v>215</v>
      </c>
      <c r="L514" t="s">
        <v>120</v>
      </c>
      <c r="M514" t="str">
        <f>VLOOKUP(Requests[[#This Row],[Ticket ID]],[2]Requests!$A$2:$D$649,4,FALSE)</f>
        <v>4 - Low</v>
      </c>
      <c r="N514">
        <f>VLOOKUP(Requests[[#This Row],[Priority]],'SLA Config'!$B$3:$C$6,2,FALSE)</f>
        <v>25</v>
      </c>
      <c r="O514" t="str">
        <f ca="1">IF(Requests[[#This Row],[Age (days)]]&gt;Requests[[#This Row],[SLA Threshold]],"Yes","No")</f>
        <v>No</v>
      </c>
    </row>
    <row r="515" spans="1:15" ht="15.75" x14ac:dyDescent="0.25">
      <c r="A515" t="s">
        <v>2759</v>
      </c>
      <c r="B515" s="31">
        <v>45727</v>
      </c>
      <c r="C515" s="31">
        <v>45734</v>
      </c>
      <c r="D515" t="s">
        <v>29</v>
      </c>
      <c r="E515" t="s">
        <v>46</v>
      </c>
      <c r="F515">
        <f t="shared" ca="1" si="15"/>
        <v>6</v>
      </c>
      <c r="G515" s="16" t="s">
        <v>31</v>
      </c>
      <c r="H515" s="11" t="s">
        <v>2760</v>
      </c>
      <c r="K515" t="s">
        <v>480</v>
      </c>
      <c r="L515" t="s">
        <v>120</v>
      </c>
      <c r="M515" t="str">
        <f>VLOOKUP(Requests[[#This Row],[Ticket ID]],[2]Requests!$A$2:$D$649,4,FALSE)</f>
        <v>4 - Low</v>
      </c>
      <c r="N515">
        <f>VLOOKUP(Requests[[#This Row],[Priority]],'SLA Config'!$B$3:$C$6,2,FALSE)</f>
        <v>25</v>
      </c>
      <c r="O515" t="str">
        <f ca="1">IF(Requests[[#This Row],[Age (days)]]&gt;Requests[[#This Row],[SLA Threshold]],"Yes","No")</f>
        <v>No</v>
      </c>
    </row>
    <row r="516" spans="1:15" ht="15.75" hidden="1" x14ac:dyDescent="0.25">
      <c r="A516" t="s">
        <v>2761</v>
      </c>
      <c r="B516" s="31">
        <v>45729</v>
      </c>
      <c r="C516" s="31">
        <v>45734</v>
      </c>
      <c r="D516" t="s">
        <v>29</v>
      </c>
      <c r="E516" t="s">
        <v>1314</v>
      </c>
      <c r="F516">
        <f t="shared" ca="1" si="15"/>
        <v>4</v>
      </c>
      <c r="G516" s="16" t="s">
        <v>31</v>
      </c>
      <c r="H516" s="11" t="s">
        <v>2762</v>
      </c>
      <c r="K516" t="s">
        <v>215</v>
      </c>
      <c r="L516" t="s">
        <v>120</v>
      </c>
      <c r="M516" t="str">
        <f>VLOOKUP(Requests[[#This Row],[Ticket ID]],[2]Requests!$A$2:$D$649,4,FALSE)</f>
        <v>4 - Low</v>
      </c>
      <c r="N516">
        <f>VLOOKUP(Requests[[#This Row],[Priority]],'SLA Config'!$B$3:$C$6,2,FALSE)</f>
        <v>25</v>
      </c>
      <c r="O516" t="str">
        <f ca="1">IF(Requests[[#This Row],[Age (days)]]&gt;Requests[[#This Row],[SLA Threshold]],"Yes","No")</f>
        <v>No</v>
      </c>
    </row>
    <row r="517" spans="1:15" ht="15.75" hidden="1" x14ac:dyDescent="0.25">
      <c r="A517" t="s">
        <v>2763</v>
      </c>
      <c r="B517" s="31">
        <v>45726</v>
      </c>
      <c r="C517" s="31">
        <v>45734</v>
      </c>
      <c r="D517" t="s">
        <v>29</v>
      </c>
      <c r="E517" t="s">
        <v>1314</v>
      </c>
      <c r="F517">
        <f t="shared" ca="1" si="15"/>
        <v>7</v>
      </c>
      <c r="G517" s="16" t="s">
        <v>31</v>
      </c>
      <c r="H517" s="11" t="s">
        <v>2764</v>
      </c>
      <c r="K517" t="s">
        <v>236</v>
      </c>
      <c r="L517" t="s">
        <v>36</v>
      </c>
      <c r="M517" t="str">
        <f>VLOOKUP(Requests[[#This Row],[Ticket ID]],[2]Requests!$A$2:$D$649,4,FALSE)</f>
        <v>4 - Low</v>
      </c>
      <c r="N517">
        <f>VLOOKUP(Requests[[#This Row],[Priority]],'SLA Config'!$B$3:$C$6,2,FALSE)</f>
        <v>25</v>
      </c>
      <c r="O517" t="str">
        <f ca="1">IF(Requests[[#This Row],[Age (days)]]&gt;Requests[[#This Row],[SLA Threshold]],"Yes","No")</f>
        <v>No</v>
      </c>
    </row>
    <row r="518" spans="1:15" ht="15.75" hidden="1" x14ac:dyDescent="0.3">
      <c r="A518" s="28" t="s">
        <v>2765</v>
      </c>
      <c r="B518" s="30">
        <v>45698</v>
      </c>
      <c r="C518" s="8">
        <v>45733</v>
      </c>
      <c r="D518" t="s">
        <v>29</v>
      </c>
      <c r="E518" s="28" t="s">
        <v>30</v>
      </c>
      <c r="F518">
        <f t="shared" ca="1" si="15"/>
        <v>26</v>
      </c>
      <c r="G518" s="28" t="s">
        <v>51</v>
      </c>
      <c r="H518" s="28" t="s">
        <v>1725</v>
      </c>
      <c r="K518" s="28" t="s">
        <v>119</v>
      </c>
      <c r="L518" t="s">
        <v>120</v>
      </c>
      <c r="M518" t="str">
        <f>VLOOKUP(Requests[[#This Row],[Ticket ID]],[2]Requests!$A$2:$D$649,4,FALSE)</f>
        <v>4 - Low</v>
      </c>
      <c r="N518">
        <f>VLOOKUP(Requests[[#This Row],[Priority]],'SLA Config'!$B$3:$C$6,2,FALSE)</f>
        <v>25</v>
      </c>
      <c r="O518" t="str">
        <f ca="1">IF(Requests[[#This Row],[Age (days)]]&gt;Requests[[#This Row],[SLA Threshold]],"Yes","No")</f>
        <v>Yes</v>
      </c>
    </row>
    <row r="519" spans="1:15" ht="15.75" hidden="1" x14ac:dyDescent="0.3">
      <c r="A519" s="28" t="s">
        <v>2766</v>
      </c>
      <c r="B519" s="30">
        <v>45700</v>
      </c>
      <c r="C519" s="8">
        <v>45733</v>
      </c>
      <c r="D519" t="s">
        <v>29</v>
      </c>
      <c r="E519" s="28" t="s">
        <v>30</v>
      </c>
      <c r="F519">
        <f t="shared" ca="1" si="15"/>
        <v>24</v>
      </c>
      <c r="G519" s="28" t="s">
        <v>51</v>
      </c>
      <c r="H519" s="28" t="s">
        <v>2767</v>
      </c>
      <c r="K519" s="28" t="s">
        <v>90</v>
      </c>
      <c r="L519" t="s">
        <v>36</v>
      </c>
      <c r="M519" t="str">
        <f>VLOOKUP(Requests[[#This Row],[Ticket ID]],[2]Requests!$A$2:$D$649,4,FALSE)</f>
        <v>4 - Low</v>
      </c>
      <c r="N519">
        <f>VLOOKUP(Requests[[#This Row],[Priority]],'SLA Config'!$B$3:$C$6,2,FALSE)</f>
        <v>25</v>
      </c>
      <c r="O519" t="str">
        <f ca="1">IF(Requests[[#This Row],[Age (days)]]&gt;Requests[[#This Row],[SLA Threshold]],"Yes","No")</f>
        <v>No</v>
      </c>
    </row>
    <row r="520" spans="1:15" ht="15.75" hidden="1" x14ac:dyDescent="0.3">
      <c r="A520" s="28" t="s">
        <v>2768</v>
      </c>
      <c r="B520" s="30">
        <v>45701</v>
      </c>
      <c r="C520" s="8">
        <v>45733</v>
      </c>
      <c r="D520" t="s">
        <v>29</v>
      </c>
      <c r="E520" s="28" t="s">
        <v>1557</v>
      </c>
      <c r="F520">
        <f t="shared" ca="1" si="15"/>
        <v>23</v>
      </c>
      <c r="G520" s="28" t="s">
        <v>51</v>
      </c>
      <c r="H520" s="28" t="s">
        <v>1725</v>
      </c>
      <c r="K520" s="28" t="s">
        <v>119</v>
      </c>
      <c r="L520" t="s">
        <v>120</v>
      </c>
      <c r="M520" t="str">
        <f>VLOOKUP(Requests[[#This Row],[Ticket ID]],[2]Requests!$A$2:$D$649,4,FALSE)</f>
        <v>4 - Low</v>
      </c>
      <c r="N520">
        <f>VLOOKUP(Requests[[#This Row],[Priority]],'SLA Config'!$B$3:$C$6,2,FALSE)</f>
        <v>25</v>
      </c>
      <c r="O520" t="str">
        <f ca="1">IF(Requests[[#This Row],[Age (days)]]&gt;Requests[[#This Row],[SLA Threshold]],"Yes","No")</f>
        <v>No</v>
      </c>
    </row>
    <row r="521" spans="1:15" ht="15.75" x14ac:dyDescent="0.3">
      <c r="A521" s="28" t="s">
        <v>2769</v>
      </c>
      <c r="B521" s="30">
        <v>45705</v>
      </c>
      <c r="C521" s="8">
        <v>45733</v>
      </c>
      <c r="D521" t="s">
        <v>29</v>
      </c>
      <c r="E521" s="28" t="s">
        <v>46</v>
      </c>
      <c r="F521">
        <f t="shared" ca="1" si="15"/>
        <v>21</v>
      </c>
      <c r="G521" s="28" t="s">
        <v>31</v>
      </c>
      <c r="H521" s="28" t="s">
        <v>2770</v>
      </c>
      <c r="K521" s="28" t="s">
        <v>35</v>
      </c>
      <c r="L521" t="s">
        <v>36</v>
      </c>
      <c r="M521" t="str">
        <f>VLOOKUP(Requests[[#This Row],[Ticket ID]],[2]Requests!$A$2:$D$649,4,FALSE)</f>
        <v>4 - Low</v>
      </c>
      <c r="N521">
        <f>VLOOKUP(Requests[[#This Row],[Priority]],'SLA Config'!$B$3:$C$6,2,FALSE)</f>
        <v>25</v>
      </c>
      <c r="O521" t="str">
        <f ca="1">IF(Requests[[#This Row],[Age (days)]]&gt;Requests[[#This Row],[SLA Threshold]],"Yes","No")</f>
        <v>No</v>
      </c>
    </row>
    <row r="522" spans="1:15" ht="15.75" hidden="1" x14ac:dyDescent="0.25">
      <c r="A522" t="s">
        <v>2771</v>
      </c>
      <c r="B522" s="31">
        <v>45714</v>
      </c>
      <c r="C522" s="8">
        <v>45733</v>
      </c>
      <c r="D522" t="s">
        <v>29</v>
      </c>
      <c r="E522" t="s">
        <v>1314</v>
      </c>
      <c r="F522">
        <f t="shared" ref="F522:F556" ca="1" si="16">IF(ISBLANK(C522), NETWORKDAYS(B522,TODAY()), NETWORKDAYS(B522,C522))</f>
        <v>14</v>
      </c>
      <c r="G522" s="16" t="s">
        <v>31</v>
      </c>
      <c r="H522" s="11" t="s">
        <v>2772</v>
      </c>
      <c r="K522" t="s">
        <v>1316</v>
      </c>
      <c r="L522" t="s">
        <v>36</v>
      </c>
      <c r="M522" t="str">
        <f>VLOOKUP(Requests[[#This Row],[Ticket ID]],[2]Requests!$A$2:$D$649,4,FALSE)</f>
        <v>4 - Low</v>
      </c>
      <c r="N522">
        <f>VLOOKUP(Requests[[#This Row],[Priority]],'SLA Config'!$B$3:$C$6,2,FALSE)</f>
        <v>25</v>
      </c>
      <c r="O522" t="str">
        <f ca="1">IF(Requests[[#This Row],[Age (days)]]&gt;Requests[[#This Row],[SLA Threshold]],"Yes","No")</f>
        <v>No</v>
      </c>
    </row>
    <row r="523" spans="1:15" ht="15.75" hidden="1" x14ac:dyDescent="0.25">
      <c r="A523" t="s">
        <v>2773</v>
      </c>
      <c r="B523" s="31">
        <v>45715</v>
      </c>
      <c r="C523" s="8">
        <v>45733</v>
      </c>
      <c r="D523" t="s">
        <v>29</v>
      </c>
      <c r="E523" t="s">
        <v>1314</v>
      </c>
      <c r="F523">
        <f t="shared" ca="1" si="16"/>
        <v>13</v>
      </c>
      <c r="G523" s="16" t="s">
        <v>31</v>
      </c>
      <c r="H523" s="11" t="s">
        <v>2774</v>
      </c>
      <c r="K523" t="s">
        <v>1316</v>
      </c>
      <c r="L523" t="s">
        <v>36</v>
      </c>
      <c r="M523" t="str">
        <f>VLOOKUP(Requests[[#This Row],[Ticket ID]],[2]Requests!$A$2:$D$649,4,FALSE)</f>
        <v>4 - Low</v>
      </c>
      <c r="N523">
        <f>VLOOKUP(Requests[[#This Row],[Priority]],'SLA Config'!$B$3:$C$6,2,FALSE)</f>
        <v>25</v>
      </c>
      <c r="O523" t="str">
        <f ca="1">IF(Requests[[#This Row],[Age (days)]]&gt;Requests[[#This Row],[SLA Threshold]],"Yes","No")</f>
        <v>No</v>
      </c>
    </row>
    <row r="524" spans="1:15" ht="15.75" x14ac:dyDescent="0.25">
      <c r="A524" t="s">
        <v>2775</v>
      </c>
      <c r="B524" s="31">
        <v>45716</v>
      </c>
      <c r="C524" s="8">
        <v>45733</v>
      </c>
      <c r="D524" t="s">
        <v>29</v>
      </c>
      <c r="E524" t="s">
        <v>46</v>
      </c>
      <c r="F524">
        <f t="shared" ca="1" si="16"/>
        <v>12</v>
      </c>
      <c r="G524" s="16" t="s">
        <v>31</v>
      </c>
      <c r="H524" s="11" t="s">
        <v>2776</v>
      </c>
      <c r="K524" t="s">
        <v>35</v>
      </c>
      <c r="L524" t="s">
        <v>36</v>
      </c>
      <c r="M524" t="str">
        <f>VLOOKUP(Requests[[#This Row],[Ticket ID]],[2]Requests!$A$2:$D$649,4,FALSE)</f>
        <v>4 - Low</v>
      </c>
      <c r="N524">
        <f>VLOOKUP(Requests[[#This Row],[Priority]],'SLA Config'!$B$3:$C$6,2,FALSE)</f>
        <v>25</v>
      </c>
      <c r="O524" t="str">
        <f ca="1">IF(Requests[[#This Row],[Age (days)]]&gt;Requests[[#This Row],[SLA Threshold]],"Yes","No")</f>
        <v>No</v>
      </c>
    </row>
    <row r="525" spans="1:15" ht="15.75" hidden="1" x14ac:dyDescent="0.25">
      <c r="A525" t="s">
        <v>2777</v>
      </c>
      <c r="B525" s="31">
        <v>45726</v>
      </c>
      <c r="C525" s="8">
        <v>45753</v>
      </c>
      <c r="D525" s="28" t="s">
        <v>29</v>
      </c>
      <c r="E525" t="s">
        <v>1314</v>
      </c>
      <c r="F525">
        <f t="shared" ca="1" si="16"/>
        <v>20</v>
      </c>
      <c r="G525" s="16" t="s">
        <v>31</v>
      </c>
      <c r="H525" s="11" t="s">
        <v>2778</v>
      </c>
      <c r="K525" t="s">
        <v>2726</v>
      </c>
      <c r="L525" t="s">
        <v>120</v>
      </c>
      <c r="M525" t="str">
        <f>VLOOKUP(Requests[[#This Row],[Ticket ID]],[2]Requests!$A$2:$D$649,4,FALSE)</f>
        <v>4 - Low</v>
      </c>
      <c r="N525">
        <f>VLOOKUP(Requests[[#This Row],[Priority]],'SLA Config'!$B$3:$C$6,2,FALSE)</f>
        <v>25</v>
      </c>
      <c r="O525" t="str">
        <f ca="1">IF(Requests[[#This Row],[Age (days)]]&gt;Requests[[#This Row],[SLA Threshold]],"Yes","No")</f>
        <v>No</v>
      </c>
    </row>
    <row r="526" spans="1:15" ht="15.75" hidden="1" x14ac:dyDescent="0.25">
      <c r="A526" t="s">
        <v>2779</v>
      </c>
      <c r="B526" s="31">
        <v>45719</v>
      </c>
      <c r="C526" s="8">
        <v>45733</v>
      </c>
      <c r="D526" t="s">
        <v>29</v>
      </c>
      <c r="E526" t="s">
        <v>30</v>
      </c>
      <c r="F526">
        <f t="shared" ca="1" si="16"/>
        <v>11</v>
      </c>
      <c r="G526" s="16" t="s">
        <v>51</v>
      </c>
      <c r="H526" s="11" t="s">
        <v>2780</v>
      </c>
      <c r="K526" t="s">
        <v>90</v>
      </c>
      <c r="L526" t="s">
        <v>36</v>
      </c>
      <c r="M526" t="str">
        <f>VLOOKUP(Requests[[#This Row],[Ticket ID]],[2]Requests!$A$2:$D$649,4,FALSE)</f>
        <v>4 - Low</v>
      </c>
      <c r="N526">
        <f>VLOOKUP(Requests[[#This Row],[Priority]],'SLA Config'!$B$3:$C$6,2,FALSE)</f>
        <v>25</v>
      </c>
      <c r="O526" t="str">
        <f ca="1">IF(Requests[[#This Row],[Age (days)]]&gt;Requests[[#This Row],[SLA Threshold]],"Yes","No")</f>
        <v>No</v>
      </c>
    </row>
    <row r="527" spans="1:15" ht="15.75" hidden="1" x14ac:dyDescent="0.25">
      <c r="A527" t="s">
        <v>2781</v>
      </c>
      <c r="B527" s="31">
        <v>45719</v>
      </c>
      <c r="C527" s="8">
        <v>45733</v>
      </c>
      <c r="D527" t="s">
        <v>29</v>
      </c>
      <c r="E527" t="s">
        <v>1314</v>
      </c>
      <c r="F527">
        <f t="shared" ca="1" si="16"/>
        <v>11</v>
      </c>
      <c r="G527" s="16" t="s">
        <v>31</v>
      </c>
      <c r="H527" s="11" t="s">
        <v>2782</v>
      </c>
      <c r="K527" t="s">
        <v>1316</v>
      </c>
      <c r="L527" t="s">
        <v>36</v>
      </c>
      <c r="M527" t="str">
        <f>VLOOKUP(Requests[[#This Row],[Ticket ID]],[2]Requests!$A$2:$D$649,4,FALSE)</f>
        <v>4 - Low</v>
      </c>
      <c r="N527">
        <f>VLOOKUP(Requests[[#This Row],[Priority]],'SLA Config'!$B$3:$C$6,2,FALSE)</f>
        <v>25</v>
      </c>
      <c r="O527" t="str">
        <f ca="1">IF(Requests[[#This Row],[Age (days)]]&gt;Requests[[#This Row],[SLA Threshold]],"Yes","No")</f>
        <v>No</v>
      </c>
    </row>
    <row r="528" spans="1:15" ht="15.75" x14ac:dyDescent="0.25">
      <c r="A528" t="s">
        <v>2783</v>
      </c>
      <c r="B528" s="31">
        <v>45712</v>
      </c>
      <c r="C528" s="31">
        <v>45733</v>
      </c>
      <c r="D528" t="s">
        <v>29</v>
      </c>
      <c r="E528" t="s">
        <v>46</v>
      </c>
      <c r="F528">
        <f t="shared" ca="1" si="16"/>
        <v>16</v>
      </c>
      <c r="G528" s="16" t="s">
        <v>31</v>
      </c>
      <c r="H528" s="11" t="s">
        <v>2784</v>
      </c>
      <c r="K528" t="s">
        <v>35</v>
      </c>
      <c r="L528" t="s">
        <v>36</v>
      </c>
      <c r="M528" t="str">
        <f>VLOOKUP(Requests[[#This Row],[Ticket ID]],[2]Requests!$A$2:$D$649,4,FALSE)</f>
        <v>4 - Low</v>
      </c>
      <c r="N528">
        <f>VLOOKUP(Requests[[#This Row],[Priority]],'SLA Config'!$B$3:$C$6,2,FALSE)</f>
        <v>25</v>
      </c>
      <c r="O528" t="str">
        <f ca="1">IF(Requests[[#This Row],[Age (days)]]&gt;Requests[[#This Row],[SLA Threshold]],"Yes","No")</f>
        <v>No</v>
      </c>
    </row>
    <row r="529" spans="1:15" ht="15.75" hidden="1" x14ac:dyDescent="0.25">
      <c r="A529" t="s">
        <v>2785</v>
      </c>
      <c r="B529" s="31">
        <v>45728</v>
      </c>
      <c r="C529" s="8">
        <v>45754</v>
      </c>
      <c r="D529" s="28" t="s">
        <v>29</v>
      </c>
      <c r="E529" t="s">
        <v>1314</v>
      </c>
      <c r="F529">
        <f t="shared" ca="1" si="16"/>
        <v>19</v>
      </c>
      <c r="G529" s="16" t="s">
        <v>31</v>
      </c>
      <c r="H529" s="11" t="s">
        <v>2786</v>
      </c>
      <c r="K529" t="s">
        <v>1316</v>
      </c>
      <c r="L529" t="s">
        <v>36</v>
      </c>
      <c r="M529" t="str">
        <f>VLOOKUP(Requests[[#This Row],[Ticket ID]],[2]Requests!$A$2:$D$649,4,FALSE)</f>
        <v>4 - Low</v>
      </c>
      <c r="N529">
        <f>VLOOKUP(Requests[[#This Row],[Priority]],'SLA Config'!$B$3:$C$6,2,FALSE)</f>
        <v>25</v>
      </c>
      <c r="O529" t="str">
        <f ca="1">IF(Requests[[#This Row],[Age (days)]]&gt;Requests[[#This Row],[SLA Threshold]],"Yes","No")</f>
        <v>No</v>
      </c>
    </row>
    <row r="530" spans="1:15" ht="15.75" x14ac:dyDescent="0.25">
      <c r="A530" t="s">
        <v>2787</v>
      </c>
      <c r="B530" s="31">
        <v>45712</v>
      </c>
      <c r="C530" s="31">
        <v>45733</v>
      </c>
      <c r="D530" t="s">
        <v>29</v>
      </c>
      <c r="E530" t="s">
        <v>46</v>
      </c>
      <c r="F530">
        <f t="shared" ca="1" si="16"/>
        <v>16</v>
      </c>
      <c r="G530" s="16" t="s">
        <v>31</v>
      </c>
      <c r="H530" s="11" t="s">
        <v>2788</v>
      </c>
      <c r="K530" t="s">
        <v>35</v>
      </c>
      <c r="L530" t="s">
        <v>36</v>
      </c>
      <c r="M530" t="str">
        <f>VLOOKUP(Requests[[#This Row],[Ticket ID]],[2]Requests!$A$2:$D$649,4,FALSE)</f>
        <v>4 - Low</v>
      </c>
      <c r="N530">
        <f>VLOOKUP(Requests[[#This Row],[Priority]],'SLA Config'!$B$3:$C$6,2,FALSE)</f>
        <v>25</v>
      </c>
      <c r="O530" t="str">
        <f ca="1">IF(Requests[[#This Row],[Age (days)]]&gt;Requests[[#This Row],[SLA Threshold]],"Yes","No")</f>
        <v>No</v>
      </c>
    </row>
    <row r="531" spans="1:15" ht="30" hidden="1" x14ac:dyDescent="0.25">
      <c r="A531" t="s">
        <v>2789</v>
      </c>
      <c r="B531" s="31">
        <v>45729</v>
      </c>
      <c r="C531" s="8">
        <v>45759</v>
      </c>
      <c r="D531" s="28" t="s">
        <v>29</v>
      </c>
      <c r="E531" t="s">
        <v>1314</v>
      </c>
      <c r="F531">
        <f t="shared" ca="1" si="16"/>
        <v>22</v>
      </c>
      <c r="G531" s="16" t="s">
        <v>31</v>
      </c>
      <c r="H531" s="11" t="s">
        <v>2790</v>
      </c>
      <c r="K531" t="s">
        <v>1316</v>
      </c>
      <c r="L531" t="s">
        <v>36</v>
      </c>
      <c r="M531" t="str">
        <f>VLOOKUP(Requests[[#This Row],[Ticket ID]],[2]Requests!$A$2:$D$649,4,FALSE)</f>
        <v>4 - Low</v>
      </c>
      <c r="N531">
        <f>VLOOKUP(Requests[[#This Row],[Priority]],'SLA Config'!$B$3:$C$6,2,FALSE)</f>
        <v>25</v>
      </c>
      <c r="O531" t="str">
        <f ca="1">IF(Requests[[#This Row],[Age (days)]]&gt;Requests[[#This Row],[SLA Threshold]],"Yes","No")</f>
        <v>No</v>
      </c>
    </row>
    <row r="532" spans="1:15" ht="15.75" hidden="1" x14ac:dyDescent="0.25">
      <c r="A532" t="s">
        <v>2791</v>
      </c>
      <c r="B532" s="31">
        <v>45715</v>
      </c>
      <c r="C532" s="31">
        <v>45731</v>
      </c>
      <c r="D532" t="s">
        <v>29</v>
      </c>
      <c r="E532" t="s">
        <v>324</v>
      </c>
      <c r="F532">
        <f t="shared" ca="1" si="16"/>
        <v>12</v>
      </c>
      <c r="G532" s="16" t="s">
        <v>31</v>
      </c>
      <c r="H532" s="11" t="s">
        <v>2792</v>
      </c>
      <c r="K532" t="s">
        <v>215</v>
      </c>
      <c r="L532" t="s">
        <v>120</v>
      </c>
      <c r="M532" t="str">
        <f>VLOOKUP(Requests[[#This Row],[Ticket ID]],[2]Requests!$A$2:$D$649,4,FALSE)</f>
        <v>3 - Medium</v>
      </c>
      <c r="N532">
        <f>VLOOKUP(Requests[[#This Row],[Priority]],'SLA Config'!$B$3:$C$6,2,FALSE)</f>
        <v>15</v>
      </c>
      <c r="O532" t="str">
        <f ca="1">IF(Requests[[#This Row],[Age (days)]]&gt;Requests[[#This Row],[SLA Threshold]],"Yes","No")</f>
        <v>No</v>
      </c>
    </row>
    <row r="533" spans="1:15" ht="15.75" x14ac:dyDescent="0.3">
      <c r="A533" s="28" t="s">
        <v>2793</v>
      </c>
      <c r="B533" s="30">
        <v>45707</v>
      </c>
      <c r="C533" s="8">
        <v>45728</v>
      </c>
      <c r="D533" t="s">
        <v>29</v>
      </c>
      <c r="E533" s="28" t="s">
        <v>46</v>
      </c>
      <c r="F533">
        <f t="shared" ca="1" si="16"/>
        <v>16</v>
      </c>
      <c r="G533" s="28" t="s">
        <v>31</v>
      </c>
      <c r="H533" s="28" t="s">
        <v>2794</v>
      </c>
      <c r="K533" s="28" t="s">
        <v>215</v>
      </c>
      <c r="L533" t="s">
        <v>120</v>
      </c>
      <c r="M533" t="str">
        <f>VLOOKUP(Requests[[#This Row],[Ticket ID]],[2]Requests!$A$2:$D$649,4,FALSE)</f>
        <v>4 - Low</v>
      </c>
      <c r="N533">
        <f>VLOOKUP(Requests[[#This Row],[Priority]],'SLA Config'!$B$3:$C$6,2,FALSE)</f>
        <v>25</v>
      </c>
      <c r="O533" t="str">
        <f ca="1">IF(Requests[[#This Row],[Age (days)]]&gt;Requests[[#This Row],[SLA Threshold]],"Yes","No")</f>
        <v>No</v>
      </c>
    </row>
    <row r="534" spans="1:15" ht="15.75" hidden="1" x14ac:dyDescent="0.25">
      <c r="A534" t="s">
        <v>2795</v>
      </c>
      <c r="B534" s="31">
        <v>45729</v>
      </c>
      <c r="C534" s="31">
        <v>45781</v>
      </c>
      <c r="D534" s="28" t="s">
        <v>29</v>
      </c>
      <c r="E534" t="s">
        <v>30</v>
      </c>
      <c r="F534">
        <f t="shared" ca="1" si="16"/>
        <v>37</v>
      </c>
      <c r="G534" s="16" t="s">
        <v>51</v>
      </c>
      <c r="H534" s="11" t="s">
        <v>1725</v>
      </c>
      <c r="K534" t="s">
        <v>119</v>
      </c>
      <c r="L534" t="s">
        <v>120</v>
      </c>
      <c r="M534" t="str">
        <f>VLOOKUP(Requests[[#This Row],[Ticket ID]],[2]Requests!$A$2:$D$649,4,FALSE)</f>
        <v>4 - Low</v>
      </c>
      <c r="N534">
        <f>VLOOKUP(Requests[[#This Row],[Priority]],'SLA Config'!$B$3:$C$6,2,FALSE)</f>
        <v>25</v>
      </c>
      <c r="O534" t="str">
        <f ca="1">IF(Requests[[#This Row],[Age (days)]]&gt;Requests[[#This Row],[SLA Threshold]],"Yes","No")</f>
        <v>Yes</v>
      </c>
    </row>
    <row r="535" spans="1:15" ht="15.75" x14ac:dyDescent="0.3">
      <c r="A535" s="28" t="s">
        <v>2796</v>
      </c>
      <c r="B535" s="30">
        <v>45673</v>
      </c>
      <c r="C535" s="8">
        <v>45726</v>
      </c>
      <c r="D535" t="s">
        <v>29</v>
      </c>
      <c r="E535" s="28" t="s">
        <v>46</v>
      </c>
      <c r="F535">
        <f t="shared" ca="1" si="16"/>
        <v>38</v>
      </c>
      <c r="G535" s="28" t="s">
        <v>31</v>
      </c>
      <c r="H535" s="28" t="s">
        <v>2797</v>
      </c>
      <c r="K535" s="28" t="s">
        <v>35</v>
      </c>
      <c r="L535" t="s">
        <v>36</v>
      </c>
      <c r="M535" t="str">
        <f>VLOOKUP(Requests[[#This Row],[Ticket ID]],[2]Requests!$A$2:$D$649,4,FALSE)</f>
        <v>4 - Low</v>
      </c>
      <c r="N535">
        <f>VLOOKUP(Requests[[#This Row],[Priority]],'SLA Config'!$B$3:$C$6,2,FALSE)</f>
        <v>25</v>
      </c>
      <c r="O535" t="str">
        <f ca="1">IF(Requests[[#This Row],[Age (days)]]&gt;Requests[[#This Row],[SLA Threshold]],"Yes","No")</f>
        <v>Yes</v>
      </c>
    </row>
    <row r="536" spans="1:15" ht="15.75" hidden="1" x14ac:dyDescent="0.25">
      <c r="A536" t="s">
        <v>2798</v>
      </c>
      <c r="B536" s="31">
        <v>45709</v>
      </c>
      <c r="C536" s="8">
        <v>45726</v>
      </c>
      <c r="D536" t="s">
        <v>29</v>
      </c>
      <c r="E536" t="s">
        <v>30</v>
      </c>
      <c r="F536">
        <f t="shared" ca="1" si="16"/>
        <v>12</v>
      </c>
      <c r="G536" s="16" t="s">
        <v>51</v>
      </c>
      <c r="H536" s="11" t="s">
        <v>2616</v>
      </c>
      <c r="K536" t="s">
        <v>119</v>
      </c>
      <c r="L536" t="s">
        <v>120</v>
      </c>
      <c r="M536" t="str">
        <f>VLOOKUP(Requests[[#This Row],[Ticket ID]],[2]Requests!$A$2:$D$649,4,FALSE)</f>
        <v>4 - Low</v>
      </c>
      <c r="N536">
        <f>VLOOKUP(Requests[[#This Row],[Priority]],'SLA Config'!$B$3:$C$6,2,FALSE)</f>
        <v>25</v>
      </c>
      <c r="O536" t="str">
        <f ca="1">IF(Requests[[#This Row],[Age (days)]]&gt;Requests[[#This Row],[SLA Threshold]],"Yes","No")</f>
        <v>No</v>
      </c>
    </row>
    <row r="537" spans="1:15" ht="15.75" hidden="1" x14ac:dyDescent="0.25">
      <c r="A537" t="s">
        <v>2799</v>
      </c>
      <c r="B537" s="31">
        <v>45712</v>
      </c>
      <c r="C537" s="8">
        <v>45726</v>
      </c>
      <c r="D537" t="s">
        <v>29</v>
      </c>
      <c r="E537" t="s">
        <v>30</v>
      </c>
      <c r="F537">
        <f t="shared" ca="1" si="16"/>
        <v>11</v>
      </c>
      <c r="G537" s="16" t="s">
        <v>51</v>
      </c>
      <c r="H537" s="11" t="s">
        <v>1735</v>
      </c>
      <c r="K537" t="s">
        <v>119</v>
      </c>
      <c r="L537" t="s">
        <v>120</v>
      </c>
      <c r="M537" t="str">
        <f>VLOOKUP(Requests[[#This Row],[Ticket ID]],[2]Requests!$A$2:$D$649,4,FALSE)</f>
        <v>4 - Low</v>
      </c>
      <c r="N537">
        <f>VLOOKUP(Requests[[#This Row],[Priority]],'SLA Config'!$B$3:$C$6,2,FALSE)</f>
        <v>25</v>
      </c>
      <c r="O537" t="str">
        <f ca="1">IF(Requests[[#This Row],[Age (days)]]&gt;Requests[[#This Row],[SLA Threshold]],"Yes","No")</f>
        <v>No</v>
      </c>
    </row>
    <row r="538" spans="1:15" ht="15.75" x14ac:dyDescent="0.25">
      <c r="A538" t="s">
        <v>2800</v>
      </c>
      <c r="B538" s="31">
        <v>45734</v>
      </c>
      <c r="C538" s="31">
        <v>45790</v>
      </c>
      <c r="D538" s="28" t="s">
        <v>29</v>
      </c>
      <c r="E538" t="s">
        <v>46</v>
      </c>
      <c r="F538">
        <f t="shared" ca="1" si="16"/>
        <v>41</v>
      </c>
      <c r="G538" s="16" t="s">
        <v>31</v>
      </c>
      <c r="H538" s="11" t="s">
        <v>2801</v>
      </c>
      <c r="K538" t="s">
        <v>1316</v>
      </c>
      <c r="L538" t="s">
        <v>36</v>
      </c>
      <c r="M538" t="str">
        <f>VLOOKUP(Requests[[#This Row],[Ticket ID]],[2]Requests!$A$2:$D$649,4,FALSE)</f>
        <v>4 - Low</v>
      </c>
      <c r="N538">
        <f>VLOOKUP(Requests[[#This Row],[Priority]],'SLA Config'!$B$3:$C$6,2,FALSE)</f>
        <v>25</v>
      </c>
      <c r="O538" t="str">
        <f ca="1">IF(Requests[[#This Row],[Age (days)]]&gt;Requests[[#This Row],[SLA Threshold]],"Yes","No")</f>
        <v>Yes</v>
      </c>
    </row>
    <row r="539" spans="1:15" ht="15.75" hidden="1" x14ac:dyDescent="0.25">
      <c r="A539" t="s">
        <v>2802</v>
      </c>
      <c r="B539" s="31">
        <v>45734</v>
      </c>
      <c r="C539" s="8">
        <v>45763</v>
      </c>
      <c r="D539" s="28" t="s">
        <v>29</v>
      </c>
      <c r="E539" t="s">
        <v>1314</v>
      </c>
      <c r="F539">
        <f t="shared" ca="1" si="16"/>
        <v>22</v>
      </c>
      <c r="G539" s="16" t="s">
        <v>31</v>
      </c>
      <c r="H539" s="11" t="s">
        <v>2803</v>
      </c>
      <c r="K539" t="s">
        <v>35</v>
      </c>
      <c r="L539" t="s">
        <v>36</v>
      </c>
      <c r="M539" t="str">
        <f>VLOOKUP(Requests[[#This Row],[Ticket ID]],[2]Requests!$A$2:$D$649,4,FALSE)</f>
        <v>4 - Low</v>
      </c>
      <c r="N539">
        <f>VLOOKUP(Requests[[#This Row],[Priority]],'SLA Config'!$B$3:$C$6,2,FALSE)</f>
        <v>25</v>
      </c>
      <c r="O539" t="str">
        <f ca="1">IF(Requests[[#This Row],[Age (days)]]&gt;Requests[[#This Row],[SLA Threshold]],"Yes","No")</f>
        <v>No</v>
      </c>
    </row>
    <row r="540" spans="1:15" ht="15.75" hidden="1" x14ac:dyDescent="0.25">
      <c r="A540" t="s">
        <v>2804</v>
      </c>
      <c r="B540" s="31">
        <v>45734</v>
      </c>
      <c r="C540" s="8">
        <v>45759</v>
      </c>
      <c r="D540" s="28" t="s">
        <v>29</v>
      </c>
      <c r="E540" t="s">
        <v>1314</v>
      </c>
      <c r="F540">
        <f t="shared" ca="1" si="16"/>
        <v>19</v>
      </c>
      <c r="G540" s="16" t="s">
        <v>31</v>
      </c>
      <c r="H540" s="11" t="s">
        <v>2805</v>
      </c>
      <c r="K540" t="s">
        <v>35</v>
      </c>
      <c r="L540" t="s">
        <v>36</v>
      </c>
      <c r="M540" t="str">
        <f>VLOOKUP(Requests[[#This Row],[Ticket ID]],[2]Requests!$A$2:$D$649,4,FALSE)</f>
        <v>4 - Low</v>
      </c>
      <c r="N540">
        <f>VLOOKUP(Requests[[#This Row],[Priority]],'SLA Config'!$B$3:$C$6,2,FALSE)</f>
        <v>25</v>
      </c>
      <c r="O540" t="str">
        <f ca="1">IF(Requests[[#This Row],[Age (days)]]&gt;Requests[[#This Row],[SLA Threshold]],"Yes","No")</f>
        <v>No</v>
      </c>
    </row>
    <row r="541" spans="1:15" ht="15.75" hidden="1" x14ac:dyDescent="0.25">
      <c r="A541" t="s">
        <v>2806</v>
      </c>
      <c r="B541" s="31">
        <v>45735</v>
      </c>
      <c r="C541" s="31">
        <v>45790</v>
      </c>
      <c r="D541" s="28" t="s">
        <v>29</v>
      </c>
      <c r="E541" t="s">
        <v>1314</v>
      </c>
      <c r="F541">
        <f t="shared" ca="1" si="16"/>
        <v>40</v>
      </c>
      <c r="G541" s="16" t="s">
        <v>31</v>
      </c>
      <c r="H541" s="11" t="s">
        <v>2807</v>
      </c>
      <c r="K541" t="s">
        <v>1316</v>
      </c>
      <c r="L541" t="s">
        <v>36</v>
      </c>
      <c r="M541" t="str">
        <f>VLOOKUP(Requests[[#This Row],[Ticket ID]],[2]Requests!$A$2:$D$649,4,FALSE)</f>
        <v>4 - Low</v>
      </c>
      <c r="N541">
        <f>VLOOKUP(Requests[[#This Row],[Priority]],'SLA Config'!$B$3:$C$6,2,FALSE)</f>
        <v>25</v>
      </c>
      <c r="O541" t="str">
        <f ca="1">IF(Requests[[#This Row],[Age (days)]]&gt;Requests[[#This Row],[SLA Threshold]],"Yes","No")</f>
        <v>Yes</v>
      </c>
    </row>
    <row r="542" spans="1:15" ht="15.75" hidden="1" x14ac:dyDescent="0.25">
      <c r="A542" t="s">
        <v>2808</v>
      </c>
      <c r="B542" s="31">
        <v>45735</v>
      </c>
      <c r="C542" s="8">
        <v>45749</v>
      </c>
      <c r="D542" s="28" t="s">
        <v>29</v>
      </c>
      <c r="E542" t="s">
        <v>1314</v>
      </c>
      <c r="F542">
        <f t="shared" ca="1" si="16"/>
        <v>11</v>
      </c>
      <c r="G542" s="16" t="s">
        <v>31</v>
      </c>
      <c r="H542" s="11" t="s">
        <v>2809</v>
      </c>
      <c r="K542" t="s">
        <v>1316</v>
      </c>
      <c r="L542" t="s">
        <v>36</v>
      </c>
      <c r="M542" t="str">
        <f>VLOOKUP(Requests[[#This Row],[Ticket ID]],[2]Requests!$A$2:$D$649,4,FALSE)</f>
        <v>4 - Low</v>
      </c>
      <c r="N542">
        <f>VLOOKUP(Requests[[#This Row],[Priority]],'SLA Config'!$B$3:$C$6,2,FALSE)</f>
        <v>25</v>
      </c>
      <c r="O542" t="str">
        <f ca="1">IF(Requests[[#This Row],[Age (days)]]&gt;Requests[[#This Row],[SLA Threshold]],"Yes","No")</f>
        <v>No</v>
      </c>
    </row>
    <row r="543" spans="1:15" ht="15.75" hidden="1" x14ac:dyDescent="0.3">
      <c r="A543" s="28" t="s">
        <v>2810</v>
      </c>
      <c r="B543" s="30">
        <v>45706</v>
      </c>
      <c r="C543" s="8">
        <v>45725</v>
      </c>
      <c r="D543" t="s">
        <v>29</v>
      </c>
      <c r="E543" s="28" t="s">
        <v>324</v>
      </c>
      <c r="F543">
        <f t="shared" ca="1" si="16"/>
        <v>14</v>
      </c>
      <c r="G543" s="28" t="s">
        <v>31</v>
      </c>
      <c r="H543" s="28" t="s">
        <v>2811</v>
      </c>
      <c r="K543" s="28" t="s">
        <v>310</v>
      </c>
      <c r="L543" t="s">
        <v>71</v>
      </c>
      <c r="M543" t="str">
        <f>VLOOKUP(Requests[[#This Row],[Ticket ID]],[2]Requests!$A$2:$D$649,4,FALSE)</f>
        <v>4 - Low</v>
      </c>
      <c r="N543">
        <f>VLOOKUP(Requests[[#This Row],[Priority]],'SLA Config'!$B$3:$C$6,2,FALSE)</f>
        <v>25</v>
      </c>
      <c r="O543" t="str">
        <f ca="1">IF(Requests[[#This Row],[Age (days)]]&gt;Requests[[#This Row],[SLA Threshold]],"Yes","No")</f>
        <v>No</v>
      </c>
    </row>
    <row r="544" spans="1:15" ht="15.75" x14ac:dyDescent="0.3">
      <c r="A544" s="28" t="s">
        <v>2812</v>
      </c>
      <c r="B544" s="30">
        <v>45705</v>
      </c>
      <c r="C544" s="8">
        <v>45724</v>
      </c>
      <c r="D544" t="s">
        <v>29</v>
      </c>
      <c r="E544" s="28" t="s">
        <v>46</v>
      </c>
      <c r="F544">
        <f t="shared" ca="1" si="16"/>
        <v>15</v>
      </c>
      <c r="G544" s="28" t="s">
        <v>31</v>
      </c>
      <c r="H544" s="28" t="s">
        <v>2813</v>
      </c>
      <c r="K544" s="28" t="s">
        <v>35</v>
      </c>
      <c r="L544" t="s">
        <v>36</v>
      </c>
      <c r="M544" t="str">
        <f>VLOOKUP(Requests[[#This Row],[Ticket ID]],[2]Requests!$A$2:$D$649,4,FALSE)</f>
        <v>4 - Low</v>
      </c>
      <c r="N544">
        <f>VLOOKUP(Requests[[#This Row],[Priority]],'SLA Config'!$B$3:$C$6,2,FALSE)</f>
        <v>25</v>
      </c>
      <c r="O544" t="str">
        <f ca="1">IF(Requests[[#This Row],[Age (days)]]&gt;Requests[[#This Row],[SLA Threshold]],"Yes","No")</f>
        <v>No</v>
      </c>
    </row>
    <row r="545" spans="1:15" ht="15.75" hidden="1" x14ac:dyDescent="0.25">
      <c r="A545" t="s">
        <v>2814</v>
      </c>
      <c r="B545" s="31">
        <v>45736</v>
      </c>
      <c r="C545" s="31">
        <v>45781</v>
      </c>
      <c r="D545" s="28" t="s">
        <v>29</v>
      </c>
      <c r="E545" t="s">
        <v>30</v>
      </c>
      <c r="F545">
        <f t="shared" ca="1" si="16"/>
        <v>32</v>
      </c>
      <c r="G545" s="16" t="s">
        <v>51</v>
      </c>
      <c r="H545" s="11" t="s">
        <v>1725</v>
      </c>
      <c r="K545" t="s">
        <v>119</v>
      </c>
      <c r="L545" t="s">
        <v>120</v>
      </c>
      <c r="M545" t="str">
        <f>VLOOKUP(Requests[[#This Row],[Ticket ID]],[2]Requests!$A$2:$D$649,4,FALSE)</f>
        <v>4 - Low</v>
      </c>
      <c r="N545">
        <f>VLOOKUP(Requests[[#This Row],[Priority]],'SLA Config'!$B$3:$C$6,2,FALSE)</f>
        <v>25</v>
      </c>
      <c r="O545" t="str">
        <f ca="1">IF(Requests[[#This Row],[Age (days)]]&gt;Requests[[#This Row],[SLA Threshold]],"Yes","No")</f>
        <v>Yes</v>
      </c>
    </row>
    <row r="546" spans="1:15" ht="30" hidden="1" x14ac:dyDescent="0.25">
      <c r="A546" t="s">
        <v>2815</v>
      </c>
      <c r="B546" s="31">
        <v>45737</v>
      </c>
      <c r="C546" s="8">
        <v>45777</v>
      </c>
      <c r="D546" s="28" t="s">
        <v>29</v>
      </c>
      <c r="E546" t="s">
        <v>324</v>
      </c>
      <c r="F546">
        <f t="shared" ca="1" si="16"/>
        <v>29</v>
      </c>
      <c r="G546" s="16" t="s">
        <v>31</v>
      </c>
      <c r="H546" s="11" t="s">
        <v>2816</v>
      </c>
      <c r="K546" t="s">
        <v>1565</v>
      </c>
      <c r="L546" t="s">
        <v>36</v>
      </c>
      <c r="M546" t="str">
        <f>VLOOKUP(Requests[[#This Row],[Ticket ID]],[2]Requests!$A$2:$D$649,4,FALSE)</f>
        <v>4 - Low</v>
      </c>
      <c r="N546">
        <f>VLOOKUP(Requests[[#This Row],[Priority]],'SLA Config'!$B$3:$C$6,2,FALSE)</f>
        <v>25</v>
      </c>
      <c r="O546" t="str">
        <f ca="1">IF(Requests[[#This Row],[Age (days)]]&gt;Requests[[#This Row],[SLA Threshold]],"Yes","No")</f>
        <v>Yes</v>
      </c>
    </row>
    <row r="547" spans="1:15" ht="15.75" hidden="1" x14ac:dyDescent="0.25">
      <c r="A547" t="s">
        <v>2817</v>
      </c>
      <c r="B547" s="31">
        <v>45737</v>
      </c>
      <c r="C547" s="8">
        <v>45748</v>
      </c>
      <c r="D547" s="28" t="s">
        <v>29</v>
      </c>
      <c r="E547" t="s">
        <v>30</v>
      </c>
      <c r="F547">
        <f t="shared" ca="1" si="16"/>
        <v>8</v>
      </c>
      <c r="G547" s="16" t="s">
        <v>51</v>
      </c>
      <c r="H547" s="11" t="s">
        <v>2818</v>
      </c>
      <c r="K547" t="s">
        <v>90</v>
      </c>
      <c r="L547" t="s">
        <v>36</v>
      </c>
      <c r="M547" t="str">
        <f>VLOOKUP(Requests[[#This Row],[Ticket ID]],[2]Requests!$A$2:$D$649,4,FALSE)</f>
        <v>2 - High</v>
      </c>
      <c r="N547">
        <f>VLOOKUP(Requests[[#This Row],[Priority]],'SLA Config'!$B$3:$C$6,2,FALSE)</f>
        <v>5</v>
      </c>
      <c r="O547" t="str">
        <f ca="1">IF(Requests[[#This Row],[Age (days)]]&gt;Requests[[#This Row],[SLA Threshold]],"Yes","No")</f>
        <v>Yes</v>
      </c>
    </row>
    <row r="548" spans="1:15" ht="15.75" x14ac:dyDescent="0.25">
      <c r="A548" t="s">
        <v>2819</v>
      </c>
      <c r="B548" s="31">
        <v>45715</v>
      </c>
      <c r="C548" s="31">
        <v>45724</v>
      </c>
      <c r="D548" t="s">
        <v>29</v>
      </c>
      <c r="E548" t="s">
        <v>46</v>
      </c>
      <c r="F548">
        <f t="shared" ca="1" si="16"/>
        <v>7</v>
      </c>
      <c r="G548" s="16" t="s">
        <v>31</v>
      </c>
      <c r="H548" s="11" t="s">
        <v>2820</v>
      </c>
      <c r="K548" t="s">
        <v>2726</v>
      </c>
      <c r="L548" t="s">
        <v>120</v>
      </c>
      <c r="M548" t="str">
        <f>VLOOKUP(Requests[[#This Row],[Ticket ID]],[2]Requests!$A$2:$D$649,4,FALSE)</f>
        <v>4 - Low</v>
      </c>
      <c r="N548">
        <f>VLOOKUP(Requests[[#This Row],[Priority]],'SLA Config'!$B$3:$C$6,2,FALSE)</f>
        <v>25</v>
      </c>
      <c r="O548" t="str">
        <f ca="1">IF(Requests[[#This Row],[Age (days)]]&gt;Requests[[#This Row],[SLA Threshold]],"Yes","No")</f>
        <v>No</v>
      </c>
    </row>
    <row r="549" spans="1:15" ht="15.75" hidden="1" x14ac:dyDescent="0.25">
      <c r="A549" t="s">
        <v>2821</v>
      </c>
      <c r="B549" s="31">
        <v>45740</v>
      </c>
      <c r="C549" s="8">
        <v>45749</v>
      </c>
      <c r="D549" s="28" t="s">
        <v>29</v>
      </c>
      <c r="E549" t="s">
        <v>1314</v>
      </c>
      <c r="F549">
        <f t="shared" ca="1" si="16"/>
        <v>8</v>
      </c>
      <c r="G549" s="16" t="s">
        <v>31</v>
      </c>
      <c r="H549" s="11" t="s">
        <v>2822</v>
      </c>
      <c r="K549" t="s">
        <v>1316</v>
      </c>
      <c r="L549" t="s">
        <v>36</v>
      </c>
      <c r="M549" t="str">
        <f>VLOOKUP(Requests[[#This Row],[Ticket ID]],[2]Requests!$A$2:$D$649,4,FALSE)</f>
        <v>4 - Low</v>
      </c>
      <c r="N549">
        <f>VLOOKUP(Requests[[#This Row],[Priority]],'SLA Config'!$B$3:$C$6,2,FALSE)</f>
        <v>25</v>
      </c>
      <c r="O549" t="str">
        <f ca="1">IF(Requests[[#This Row],[Age (days)]]&gt;Requests[[#This Row],[SLA Threshold]],"Yes","No")</f>
        <v>No</v>
      </c>
    </row>
    <row r="550" spans="1:15" ht="15.75" x14ac:dyDescent="0.3">
      <c r="A550" s="28" t="s">
        <v>2823</v>
      </c>
      <c r="B550" s="30">
        <v>45707</v>
      </c>
      <c r="C550" s="8">
        <v>45721</v>
      </c>
      <c r="D550" t="s">
        <v>29</v>
      </c>
      <c r="E550" s="28" t="s">
        <v>46</v>
      </c>
      <c r="F550">
        <f t="shared" ca="1" si="16"/>
        <v>11</v>
      </c>
      <c r="G550" s="28" t="s">
        <v>31</v>
      </c>
      <c r="H550" s="28" t="s">
        <v>2824</v>
      </c>
      <c r="K550" s="28" t="s">
        <v>236</v>
      </c>
      <c r="L550" t="s">
        <v>36</v>
      </c>
      <c r="M550" t="str">
        <f>VLOOKUP(Requests[[#This Row],[Ticket ID]],[2]Requests!$A$2:$D$649,4,FALSE)</f>
        <v>4 - Low</v>
      </c>
      <c r="N550">
        <f>VLOOKUP(Requests[[#This Row],[Priority]],'SLA Config'!$B$3:$C$6,2,FALSE)</f>
        <v>25</v>
      </c>
      <c r="O550" t="str">
        <f ca="1">IF(Requests[[#This Row],[Age (days)]]&gt;Requests[[#This Row],[SLA Threshold]],"Yes","No")</f>
        <v>No</v>
      </c>
    </row>
    <row r="551" spans="1:15" ht="15.75" x14ac:dyDescent="0.25">
      <c r="A551" t="s">
        <v>2825</v>
      </c>
      <c r="B551" s="31">
        <v>45740</v>
      </c>
      <c r="C551" s="8">
        <v>45749</v>
      </c>
      <c r="D551" s="28" t="s">
        <v>29</v>
      </c>
      <c r="E551" t="s">
        <v>46</v>
      </c>
      <c r="F551">
        <f t="shared" ca="1" si="16"/>
        <v>8</v>
      </c>
      <c r="G551" s="16" t="s">
        <v>31</v>
      </c>
      <c r="H551" s="11" t="s">
        <v>2826</v>
      </c>
      <c r="K551" t="s">
        <v>215</v>
      </c>
      <c r="L551" t="s">
        <v>120</v>
      </c>
      <c r="M551" t="str">
        <f>VLOOKUP(Requests[[#This Row],[Ticket ID]],[2]Requests!$A$2:$D$649,4,FALSE)</f>
        <v>3 - Medium</v>
      </c>
      <c r="N551">
        <f>VLOOKUP(Requests[[#This Row],[Priority]],'SLA Config'!$B$3:$C$6,2,FALSE)</f>
        <v>15</v>
      </c>
      <c r="O551" t="str">
        <f ca="1">IF(Requests[[#This Row],[Age (days)]]&gt;Requests[[#This Row],[SLA Threshold]],"Yes","No")</f>
        <v>No</v>
      </c>
    </row>
    <row r="552" spans="1:15" ht="15.75" x14ac:dyDescent="0.3">
      <c r="A552" s="28" t="s">
        <v>2827</v>
      </c>
      <c r="B552" s="30">
        <v>45665</v>
      </c>
      <c r="C552" s="8">
        <v>45718</v>
      </c>
      <c r="D552" t="s">
        <v>29</v>
      </c>
      <c r="E552" s="28" t="s">
        <v>46</v>
      </c>
      <c r="F552">
        <f t="shared" ca="1" si="16"/>
        <v>38</v>
      </c>
      <c r="G552" s="28" t="s">
        <v>31</v>
      </c>
      <c r="H552" s="28" t="s">
        <v>2828</v>
      </c>
      <c r="K552" s="28" t="s">
        <v>35</v>
      </c>
      <c r="L552" t="s">
        <v>36</v>
      </c>
      <c r="M552" t="str">
        <f>VLOOKUP(Requests[[#This Row],[Ticket ID]],[2]Requests!$A$2:$D$649,4,FALSE)</f>
        <v>4 - Low</v>
      </c>
      <c r="N552">
        <f>VLOOKUP(Requests[[#This Row],[Priority]],'SLA Config'!$B$3:$C$6,2,FALSE)</f>
        <v>25</v>
      </c>
      <c r="O552" t="str">
        <f ca="1">IF(Requests[[#This Row],[Age (days)]]&gt;Requests[[#This Row],[SLA Threshold]],"Yes","No")</f>
        <v>Yes</v>
      </c>
    </row>
    <row r="553" spans="1:15" ht="15.75" x14ac:dyDescent="0.25">
      <c r="A553" t="s">
        <v>2829</v>
      </c>
      <c r="B553" s="31">
        <v>45741</v>
      </c>
      <c r="C553" s="31">
        <v>45783</v>
      </c>
      <c r="D553" s="28" t="s">
        <v>29</v>
      </c>
      <c r="E553" t="s">
        <v>46</v>
      </c>
      <c r="F553">
        <f t="shared" ca="1" si="16"/>
        <v>31</v>
      </c>
      <c r="G553" s="16" t="s">
        <v>31</v>
      </c>
      <c r="H553" s="11" t="s">
        <v>2830</v>
      </c>
      <c r="K553" t="s">
        <v>215</v>
      </c>
      <c r="L553" t="s">
        <v>120</v>
      </c>
      <c r="M553" t="str">
        <f>VLOOKUP(Requests[[#This Row],[Ticket ID]],[2]Requests!$A$2:$D$649,4,FALSE)</f>
        <v>4 - Low</v>
      </c>
      <c r="N553">
        <f>VLOOKUP(Requests[[#This Row],[Priority]],'SLA Config'!$B$3:$C$6,2,FALSE)</f>
        <v>25</v>
      </c>
      <c r="O553" t="str">
        <f ca="1">IF(Requests[[#This Row],[Age (days)]]&gt;Requests[[#This Row],[SLA Threshold]],"Yes","No")</f>
        <v>Yes</v>
      </c>
    </row>
    <row r="554" spans="1:15" ht="15.75" x14ac:dyDescent="0.3">
      <c r="A554" s="28" t="s">
        <v>2831</v>
      </c>
      <c r="B554" s="30">
        <v>45699</v>
      </c>
      <c r="C554" s="8">
        <v>45718</v>
      </c>
      <c r="D554" t="s">
        <v>29</v>
      </c>
      <c r="E554" s="28" t="s">
        <v>46</v>
      </c>
      <c r="F554">
        <f t="shared" ca="1" si="16"/>
        <v>14</v>
      </c>
      <c r="G554" s="28" t="s">
        <v>31</v>
      </c>
      <c r="H554" s="28" t="s">
        <v>2832</v>
      </c>
      <c r="K554" s="28" t="s">
        <v>35</v>
      </c>
      <c r="L554" t="s">
        <v>36</v>
      </c>
      <c r="M554" t="str">
        <f>VLOOKUP(Requests[[#This Row],[Ticket ID]],[2]Requests!$A$2:$D$649,4,FALSE)</f>
        <v>4 - Low</v>
      </c>
      <c r="N554">
        <f>VLOOKUP(Requests[[#This Row],[Priority]],'SLA Config'!$B$3:$C$6,2,FALSE)</f>
        <v>25</v>
      </c>
      <c r="O554" t="str">
        <f ca="1">IF(Requests[[#This Row],[Age (days)]]&gt;Requests[[#This Row],[SLA Threshold]],"Yes","No")</f>
        <v>No</v>
      </c>
    </row>
    <row r="555" spans="1:15" ht="15.75" x14ac:dyDescent="0.25">
      <c r="A555" t="s">
        <v>2833</v>
      </c>
      <c r="B555" s="31">
        <v>45740</v>
      </c>
      <c r="C555" s="31">
        <v>45780</v>
      </c>
      <c r="D555" s="28" t="s">
        <v>29</v>
      </c>
      <c r="E555" t="s">
        <v>46</v>
      </c>
      <c r="F555">
        <f t="shared" ca="1" si="16"/>
        <v>30</v>
      </c>
      <c r="G555" s="16" t="s">
        <v>31</v>
      </c>
      <c r="H555" s="11" t="s">
        <v>2834</v>
      </c>
      <c r="K555" t="s">
        <v>215</v>
      </c>
      <c r="L555" t="s">
        <v>120</v>
      </c>
      <c r="M555" t="str">
        <f>VLOOKUP(Requests[[#This Row],[Ticket ID]],[2]Requests!$A$2:$D$649,4,FALSE)</f>
        <v>3 - Medium</v>
      </c>
      <c r="N555">
        <f>VLOOKUP(Requests[[#This Row],[Priority]],'SLA Config'!$B$3:$C$6,2,FALSE)</f>
        <v>15</v>
      </c>
      <c r="O555" t="str">
        <f ca="1">IF(Requests[[#This Row],[Age (days)]]&gt;Requests[[#This Row],[SLA Threshold]],"Yes","No")</f>
        <v>Yes</v>
      </c>
    </row>
    <row r="556" spans="1:15" ht="15.75" hidden="1" x14ac:dyDescent="0.3">
      <c r="A556" s="28" t="s">
        <v>2835</v>
      </c>
      <c r="B556" s="30">
        <v>45637</v>
      </c>
      <c r="C556" s="8">
        <v>45717</v>
      </c>
      <c r="D556" t="s">
        <v>29</v>
      </c>
      <c r="E556" s="28" t="s">
        <v>30</v>
      </c>
      <c r="F556">
        <f t="shared" ca="1" si="16"/>
        <v>58</v>
      </c>
      <c r="G556" s="28" t="s">
        <v>31</v>
      </c>
      <c r="H556" s="28" t="s">
        <v>2836</v>
      </c>
      <c r="K556" s="28" t="s">
        <v>215</v>
      </c>
      <c r="L556" t="s">
        <v>120</v>
      </c>
      <c r="M556" t="str">
        <f>VLOOKUP(Requests[[#This Row],[Ticket ID]],[2]Requests!$A$2:$D$649,4,FALSE)</f>
        <v>4 - Low</v>
      </c>
      <c r="N556">
        <f>VLOOKUP(Requests[[#This Row],[Priority]],'SLA Config'!$B$3:$C$6,2,FALSE)</f>
        <v>25</v>
      </c>
      <c r="O556" t="str">
        <f ca="1">IF(Requests[[#This Row],[Age (days)]]&gt;Requests[[#This Row],[SLA Threshold]],"Yes","No")</f>
        <v>Yes</v>
      </c>
    </row>
    <row r="557" spans="1:15" ht="15.75" hidden="1" x14ac:dyDescent="0.25">
      <c r="A557" t="s">
        <v>2837</v>
      </c>
      <c r="B557" s="31">
        <v>45740</v>
      </c>
      <c r="C557" s="8">
        <v>45749</v>
      </c>
      <c r="D557" s="28" t="s">
        <v>29</v>
      </c>
      <c r="E557" t="s">
        <v>30</v>
      </c>
      <c r="F557">
        <f t="shared" ref="F557:F560" ca="1" si="17">IF(ISBLANK(C557), NETWORKDAYS(B557,TODAY()), NETWORKDAYS(B557,C557))</f>
        <v>8</v>
      </c>
      <c r="G557" s="16" t="s">
        <v>51</v>
      </c>
      <c r="H557" s="11" t="s">
        <v>2838</v>
      </c>
      <c r="K557" t="s">
        <v>119</v>
      </c>
      <c r="L557" t="s">
        <v>120</v>
      </c>
      <c r="M557" t="str">
        <f>VLOOKUP(Requests[[#This Row],[Ticket ID]],[2]Requests!$A$2:$D$649,4,FALSE)</f>
        <v>4 - Low</v>
      </c>
      <c r="N557">
        <f>VLOOKUP(Requests[[#This Row],[Priority]],'SLA Config'!$B$3:$C$6,2,FALSE)</f>
        <v>25</v>
      </c>
      <c r="O557" t="str">
        <f ca="1">IF(Requests[[#This Row],[Age (days)]]&gt;Requests[[#This Row],[SLA Threshold]],"Yes","No")</f>
        <v>No</v>
      </c>
    </row>
    <row r="558" spans="1:15" ht="15.75" hidden="1" x14ac:dyDescent="0.25">
      <c r="A558" t="s">
        <v>2839</v>
      </c>
      <c r="B558" s="31">
        <v>45743</v>
      </c>
      <c r="C558" s="8">
        <v>45773</v>
      </c>
      <c r="D558" s="28" t="s">
        <v>29</v>
      </c>
      <c r="E558" t="s">
        <v>1314</v>
      </c>
      <c r="F558">
        <f t="shared" ca="1" si="17"/>
        <v>22</v>
      </c>
      <c r="G558" s="16" t="s">
        <v>31</v>
      </c>
      <c r="H558" s="11" t="s">
        <v>2840</v>
      </c>
      <c r="K558" t="s">
        <v>1316</v>
      </c>
      <c r="L558" t="s">
        <v>36</v>
      </c>
      <c r="M558" t="str">
        <f>VLOOKUP(Requests[[#This Row],[Ticket ID]],[2]Requests!$A$2:$D$649,4,FALSE)</f>
        <v>4 - Low</v>
      </c>
      <c r="N558">
        <f>VLOOKUP(Requests[[#This Row],[Priority]],'SLA Config'!$B$3:$C$6,2,FALSE)</f>
        <v>25</v>
      </c>
      <c r="O558" t="str">
        <f ca="1">IF(Requests[[#This Row],[Age (days)]]&gt;Requests[[#This Row],[SLA Threshold]],"Yes","No")</f>
        <v>No</v>
      </c>
    </row>
    <row r="559" spans="1:15" ht="15.75" x14ac:dyDescent="0.25">
      <c r="A559" t="s">
        <v>2841</v>
      </c>
      <c r="B559" s="31">
        <v>45734</v>
      </c>
      <c r="C559" s="8">
        <v>45748</v>
      </c>
      <c r="D559" s="28" t="s">
        <v>29</v>
      </c>
      <c r="E559" t="s">
        <v>46</v>
      </c>
      <c r="F559">
        <f t="shared" ca="1" si="17"/>
        <v>11</v>
      </c>
      <c r="G559" s="16" t="s">
        <v>31</v>
      </c>
      <c r="H559" s="11" t="s">
        <v>2842</v>
      </c>
      <c r="K559" t="s">
        <v>35</v>
      </c>
      <c r="L559" t="s">
        <v>36</v>
      </c>
      <c r="M559" t="str">
        <f>VLOOKUP(Requests[[#This Row],[Ticket ID]],[2]Requests!$A$2:$D$649,4,FALSE)</f>
        <v>4 - Low</v>
      </c>
      <c r="N559">
        <f>VLOOKUP(Requests[[#This Row],[Priority]],'SLA Config'!$B$3:$C$6,2,FALSE)</f>
        <v>25</v>
      </c>
      <c r="O559" t="str">
        <f ca="1">IF(Requests[[#This Row],[Age (days)]]&gt;Requests[[#This Row],[SLA Threshold]],"Yes","No")</f>
        <v>No</v>
      </c>
    </row>
    <row r="560" spans="1:15" ht="15.75" hidden="1" x14ac:dyDescent="0.25">
      <c r="A560" t="s">
        <v>2843</v>
      </c>
      <c r="B560" s="31">
        <v>45744</v>
      </c>
      <c r="C560" s="8">
        <v>45762</v>
      </c>
      <c r="D560" s="28" t="s">
        <v>29</v>
      </c>
      <c r="E560" t="s">
        <v>1314</v>
      </c>
      <c r="F560">
        <f t="shared" ca="1" si="17"/>
        <v>13</v>
      </c>
      <c r="G560" s="16" t="s">
        <v>31</v>
      </c>
      <c r="H560" s="11" t="s">
        <v>2844</v>
      </c>
      <c r="K560" t="s">
        <v>1316</v>
      </c>
      <c r="L560" t="s">
        <v>36</v>
      </c>
      <c r="M560" t="str">
        <f>VLOOKUP(Requests[[#This Row],[Ticket ID]],[2]Requests!$A$2:$D$649,4,FALSE)</f>
        <v>4 - Low</v>
      </c>
      <c r="N560">
        <f>VLOOKUP(Requests[[#This Row],[Priority]],'SLA Config'!$B$3:$C$6,2,FALSE)</f>
        <v>25</v>
      </c>
      <c r="O560" t="str">
        <f ca="1">IF(Requests[[#This Row],[Age (days)]]&gt;Requests[[#This Row],[SLA Threshold]],"Yes","No")</f>
        <v>No</v>
      </c>
    </row>
    <row r="561" spans="1:15" ht="15.75" x14ac:dyDescent="0.25">
      <c r="A561" s="32" t="s">
        <v>2845</v>
      </c>
      <c r="B561" s="40">
        <v>45748</v>
      </c>
      <c r="C561" s="40">
        <v>45776</v>
      </c>
      <c r="D561" s="32" t="s">
        <v>29</v>
      </c>
      <c r="E561" s="32" t="s">
        <v>46</v>
      </c>
      <c r="F561">
        <f t="shared" ref="F561:F595" ca="1" si="18">IF(ISBLANK(C561), NETWORKDAYS(B561,TODAY()), NETWORKDAYS(B561,C561))</f>
        <v>21</v>
      </c>
      <c r="G561" s="36" t="s">
        <v>31</v>
      </c>
      <c r="H561" s="37" t="s">
        <v>2846</v>
      </c>
      <c r="I561" s="32"/>
      <c r="J561" s="32"/>
      <c r="K561" s="32" t="s">
        <v>201</v>
      </c>
      <c r="L561" s="33" t="s">
        <v>120</v>
      </c>
      <c r="M561" t="str">
        <f>VLOOKUP(Requests[[#This Row],[Ticket ID]],[2]Requests!$A$2:$D$649,4,FALSE)</f>
        <v>4 - Low</v>
      </c>
      <c r="N561">
        <f>VLOOKUP(Requests[[#This Row],[Priority]],'SLA Config'!$B$3:$C$6,2,FALSE)</f>
        <v>25</v>
      </c>
      <c r="O561" t="str">
        <f ca="1">IF(Requests[[#This Row],[Age (days)]]&gt;Requests[[#This Row],[SLA Threshold]],"Yes","No")</f>
        <v>No</v>
      </c>
    </row>
    <row r="562" spans="1:15" ht="15.75" hidden="1" x14ac:dyDescent="0.25">
      <c r="A562" s="32" t="s">
        <v>2847</v>
      </c>
      <c r="B562" s="40">
        <v>45749</v>
      </c>
      <c r="C562" s="31"/>
      <c r="D562" s="28" t="s">
        <v>1653</v>
      </c>
      <c r="E562" s="32" t="s">
        <v>30</v>
      </c>
      <c r="F562">
        <f t="shared" ca="1" si="18"/>
        <v>263</v>
      </c>
      <c r="G562" s="36" t="s">
        <v>31</v>
      </c>
      <c r="H562" s="37" t="s">
        <v>2848</v>
      </c>
      <c r="I562" s="32"/>
      <c r="J562" s="32"/>
      <c r="K562" s="32" t="s">
        <v>201</v>
      </c>
      <c r="L562" s="33" t="s">
        <v>120</v>
      </c>
      <c r="M562" t="str">
        <f>VLOOKUP(Requests[[#This Row],[Ticket ID]],[2]Requests!$A$2:$D$649,4,FALSE)</f>
        <v>3 - Medium</v>
      </c>
      <c r="N562">
        <f>VLOOKUP(Requests[[#This Row],[Priority]],'SLA Config'!$B$3:$C$6,2,FALSE)</f>
        <v>15</v>
      </c>
      <c r="O562" t="str">
        <f ca="1">IF(Requests[[#This Row],[Age (days)]]&gt;Requests[[#This Row],[SLA Threshold]],"Yes","No")</f>
        <v>Yes</v>
      </c>
    </row>
    <row r="563" spans="1:15" ht="15.75" hidden="1" x14ac:dyDescent="0.25">
      <c r="A563" s="32" t="s">
        <v>2849</v>
      </c>
      <c r="B563" s="40">
        <v>45750</v>
      </c>
      <c r="C563" s="40">
        <v>45760</v>
      </c>
      <c r="D563" s="32" t="s">
        <v>29</v>
      </c>
      <c r="E563" s="32" t="s">
        <v>324</v>
      </c>
      <c r="F563">
        <f t="shared" ca="1" si="18"/>
        <v>7</v>
      </c>
      <c r="G563" s="36" t="s">
        <v>31</v>
      </c>
      <c r="H563" s="37" t="s">
        <v>2850</v>
      </c>
      <c r="I563" s="32"/>
      <c r="J563" s="32"/>
      <c r="K563" s="32" t="s">
        <v>215</v>
      </c>
      <c r="L563" s="33" t="s">
        <v>120</v>
      </c>
      <c r="M563" t="str">
        <f>VLOOKUP(Requests[[#This Row],[Ticket ID]],[2]Requests!$A$2:$D$649,4,FALSE)</f>
        <v>4 - Low</v>
      </c>
      <c r="N563">
        <f>VLOOKUP(Requests[[#This Row],[Priority]],'SLA Config'!$B$3:$C$6,2,FALSE)</f>
        <v>25</v>
      </c>
      <c r="O563" t="str">
        <f ca="1">IF(Requests[[#This Row],[Age (days)]]&gt;Requests[[#This Row],[SLA Threshold]],"Yes","No")</f>
        <v>No</v>
      </c>
    </row>
    <row r="564" spans="1:15" ht="15.75" hidden="1" x14ac:dyDescent="0.25">
      <c r="A564" s="32" t="s">
        <v>2851</v>
      </c>
      <c r="B564" s="40">
        <v>45750</v>
      </c>
      <c r="C564" s="40"/>
      <c r="D564" s="32" t="s">
        <v>1553</v>
      </c>
      <c r="E564" s="32" t="s">
        <v>38</v>
      </c>
      <c r="F564">
        <f t="shared" ca="1" si="18"/>
        <v>262</v>
      </c>
      <c r="G564" s="36" t="s">
        <v>31</v>
      </c>
      <c r="H564" s="37" t="s">
        <v>2852</v>
      </c>
      <c r="I564" s="32"/>
      <c r="J564" s="32"/>
      <c r="K564" s="32" t="s">
        <v>1316</v>
      </c>
      <c r="L564" s="33" t="s">
        <v>36</v>
      </c>
      <c r="M564" t="str">
        <f>VLOOKUP(Requests[[#This Row],[Ticket ID]],[2]Requests!$A$2:$D$649,4,FALSE)</f>
        <v>4 - Low</v>
      </c>
      <c r="N564">
        <f>VLOOKUP(Requests[[#This Row],[Priority]],'SLA Config'!$B$3:$C$6,2,FALSE)</f>
        <v>25</v>
      </c>
      <c r="O564" t="str">
        <f ca="1">IF(Requests[[#This Row],[Age (days)]]&gt;Requests[[#This Row],[SLA Threshold]],"Yes","No")</f>
        <v>Yes</v>
      </c>
    </row>
    <row r="565" spans="1:15" ht="15.75" x14ac:dyDescent="0.25">
      <c r="A565" s="32" t="s">
        <v>2853</v>
      </c>
      <c r="B565" s="40">
        <v>45750</v>
      </c>
      <c r="C565" s="31">
        <v>45789</v>
      </c>
      <c r="D565" s="28" t="s">
        <v>29</v>
      </c>
      <c r="E565" s="32" t="s">
        <v>46</v>
      </c>
      <c r="F565">
        <f t="shared" ca="1" si="18"/>
        <v>28</v>
      </c>
      <c r="G565" s="36" t="s">
        <v>51</v>
      </c>
      <c r="H565" s="37" t="s">
        <v>2854</v>
      </c>
      <c r="I565" s="32"/>
      <c r="J565" s="32"/>
      <c r="K565" s="32" t="s">
        <v>119</v>
      </c>
      <c r="L565" s="33" t="s">
        <v>120</v>
      </c>
      <c r="M565" t="str">
        <f>VLOOKUP(Requests[[#This Row],[Ticket ID]],[2]Requests!$A$2:$D$649,4,FALSE)</f>
        <v>4 - Low</v>
      </c>
      <c r="N565">
        <f>VLOOKUP(Requests[[#This Row],[Priority]],'SLA Config'!$B$3:$C$6,2,FALSE)</f>
        <v>25</v>
      </c>
      <c r="O565" t="str">
        <f ca="1">IF(Requests[[#This Row],[Age (days)]]&gt;Requests[[#This Row],[SLA Threshold]],"Yes","No")</f>
        <v>Yes</v>
      </c>
    </row>
    <row r="566" spans="1:15" ht="15.75" hidden="1" x14ac:dyDescent="0.25">
      <c r="A566" s="32" t="s">
        <v>2855</v>
      </c>
      <c r="B566" s="40">
        <v>45750</v>
      </c>
      <c r="C566" s="40">
        <v>45759</v>
      </c>
      <c r="D566" s="32" t="s">
        <v>29</v>
      </c>
      <c r="E566" s="32" t="s">
        <v>1658</v>
      </c>
      <c r="F566">
        <f t="shared" ca="1" si="18"/>
        <v>7</v>
      </c>
      <c r="G566" s="36" t="s">
        <v>31</v>
      </c>
      <c r="H566" s="37" t="s">
        <v>2856</v>
      </c>
      <c r="I566" s="32"/>
      <c r="J566" s="32"/>
      <c r="K566" s="32" t="s">
        <v>215</v>
      </c>
      <c r="L566" s="33" t="s">
        <v>120</v>
      </c>
      <c r="M566" t="str">
        <f>VLOOKUP(Requests[[#This Row],[Ticket ID]],[2]Requests!$A$2:$D$649,4,FALSE)</f>
        <v>3 - Medium</v>
      </c>
      <c r="N566">
        <f>VLOOKUP(Requests[[#This Row],[Priority]],'SLA Config'!$B$3:$C$6,2,FALSE)</f>
        <v>15</v>
      </c>
      <c r="O566" t="str">
        <f ca="1">IF(Requests[[#This Row],[Age (days)]]&gt;Requests[[#This Row],[SLA Threshold]],"Yes","No")</f>
        <v>No</v>
      </c>
    </row>
    <row r="567" spans="1:15" ht="15.75" hidden="1" x14ac:dyDescent="0.25">
      <c r="A567" s="32" t="s">
        <v>2857</v>
      </c>
      <c r="B567" s="40">
        <v>45754</v>
      </c>
      <c r="C567" s="40"/>
      <c r="D567" s="28" t="s">
        <v>2858</v>
      </c>
      <c r="E567" s="32" t="s">
        <v>1334</v>
      </c>
      <c r="F567">
        <f t="shared" ca="1" si="18"/>
        <v>260</v>
      </c>
      <c r="G567" s="36" t="s">
        <v>31</v>
      </c>
      <c r="H567" s="37" t="s">
        <v>2859</v>
      </c>
      <c r="I567" s="32"/>
      <c r="J567" s="32"/>
      <c r="K567" s="32" t="s">
        <v>215</v>
      </c>
      <c r="L567" s="33" t="s">
        <v>120</v>
      </c>
      <c r="M567" t="str">
        <f>VLOOKUP(Requests[[#This Row],[Ticket ID]],[2]Requests!$A$2:$D$649,4,FALSE)</f>
        <v>4 - Low</v>
      </c>
      <c r="N567">
        <f>VLOOKUP(Requests[[#This Row],[Priority]],'SLA Config'!$B$3:$C$6,2,FALSE)</f>
        <v>25</v>
      </c>
      <c r="O567" t="str">
        <f ca="1">IF(Requests[[#This Row],[Age (days)]]&gt;Requests[[#This Row],[SLA Threshold]],"Yes","No")</f>
        <v>Yes</v>
      </c>
    </row>
    <row r="568" spans="1:15" ht="15.75" hidden="1" x14ac:dyDescent="0.25">
      <c r="A568" s="32" t="s">
        <v>2860</v>
      </c>
      <c r="B568" s="40">
        <v>45755</v>
      </c>
      <c r="C568" s="40">
        <v>45776</v>
      </c>
      <c r="D568" s="32" t="s">
        <v>29</v>
      </c>
      <c r="E568" s="32" t="s">
        <v>532</v>
      </c>
      <c r="F568">
        <f t="shared" ca="1" si="18"/>
        <v>16</v>
      </c>
      <c r="G568" s="36" t="s">
        <v>31</v>
      </c>
      <c r="H568" s="37" t="s">
        <v>2861</v>
      </c>
      <c r="I568" s="32"/>
      <c r="J568" s="32"/>
      <c r="K568" s="32" t="s">
        <v>236</v>
      </c>
      <c r="L568" s="33" t="s">
        <v>36</v>
      </c>
      <c r="M568" t="str">
        <f>VLOOKUP(Requests[[#This Row],[Ticket ID]],[2]Requests!$A$2:$D$649,4,FALSE)</f>
        <v>4 - Low</v>
      </c>
      <c r="N568">
        <f>VLOOKUP(Requests[[#This Row],[Priority]],'SLA Config'!$B$3:$C$6,2,FALSE)</f>
        <v>25</v>
      </c>
      <c r="O568" t="str">
        <f ca="1">IF(Requests[[#This Row],[Age (days)]]&gt;Requests[[#This Row],[SLA Threshold]],"Yes","No")</f>
        <v>No</v>
      </c>
    </row>
    <row r="569" spans="1:15" ht="15.75" hidden="1" x14ac:dyDescent="0.25">
      <c r="A569" s="32" t="s">
        <v>2862</v>
      </c>
      <c r="B569" s="40">
        <v>45751</v>
      </c>
      <c r="C569" s="40">
        <v>45761</v>
      </c>
      <c r="D569" s="32" t="s">
        <v>29</v>
      </c>
      <c r="E569" s="32" t="s">
        <v>324</v>
      </c>
      <c r="F569">
        <f t="shared" ca="1" si="18"/>
        <v>7</v>
      </c>
      <c r="G569" s="36" t="s">
        <v>31</v>
      </c>
      <c r="H569" s="37" t="s">
        <v>2863</v>
      </c>
      <c r="I569" s="32"/>
      <c r="J569" s="32"/>
      <c r="K569" s="32" t="s">
        <v>207</v>
      </c>
      <c r="L569" s="33" t="s">
        <v>71</v>
      </c>
      <c r="M569" t="str">
        <f>VLOOKUP(Requests[[#This Row],[Ticket ID]],[2]Requests!$A$2:$D$649,4,FALSE)</f>
        <v>4 - Low</v>
      </c>
      <c r="N569">
        <f>VLOOKUP(Requests[[#This Row],[Priority]],'SLA Config'!$B$3:$C$6,2,FALSE)</f>
        <v>25</v>
      </c>
      <c r="O569" t="str">
        <f ca="1">IF(Requests[[#This Row],[Age (days)]]&gt;Requests[[#This Row],[SLA Threshold]],"Yes","No")</f>
        <v>No</v>
      </c>
    </row>
    <row r="570" spans="1:15" ht="15.75" hidden="1" x14ac:dyDescent="0.25">
      <c r="A570" s="32" t="s">
        <v>2864</v>
      </c>
      <c r="B570" s="40">
        <v>45757</v>
      </c>
      <c r="C570" s="31">
        <v>45789</v>
      </c>
      <c r="D570" s="28" t="s">
        <v>29</v>
      </c>
      <c r="E570" s="32" t="s">
        <v>1314</v>
      </c>
      <c r="F570">
        <f t="shared" ca="1" si="18"/>
        <v>23</v>
      </c>
      <c r="G570" s="36" t="s">
        <v>31</v>
      </c>
      <c r="H570" s="37" t="s">
        <v>2865</v>
      </c>
      <c r="I570" s="32"/>
      <c r="J570" s="32"/>
      <c r="K570" s="32" t="s">
        <v>1316</v>
      </c>
      <c r="L570" s="33" t="s">
        <v>36</v>
      </c>
      <c r="M570" t="str">
        <f>VLOOKUP(Requests[[#This Row],[Ticket ID]],[2]Requests!$A$2:$D$649,4,FALSE)</f>
        <v>4 - Low</v>
      </c>
      <c r="N570">
        <f>VLOOKUP(Requests[[#This Row],[Priority]],'SLA Config'!$B$3:$C$6,2,FALSE)</f>
        <v>25</v>
      </c>
      <c r="O570" t="str">
        <f ca="1">IF(Requests[[#This Row],[Age (days)]]&gt;Requests[[#This Row],[SLA Threshold]],"Yes","No")</f>
        <v>No</v>
      </c>
    </row>
    <row r="571" spans="1:15" ht="15.75" x14ac:dyDescent="0.25">
      <c r="A571" s="32" t="s">
        <v>2866</v>
      </c>
      <c r="B571" s="40">
        <v>45757</v>
      </c>
      <c r="C571" s="40">
        <v>45774</v>
      </c>
      <c r="D571" s="32" t="s">
        <v>29</v>
      </c>
      <c r="E571" s="32" t="s">
        <v>46</v>
      </c>
      <c r="F571">
        <f t="shared" ca="1" si="18"/>
        <v>12</v>
      </c>
      <c r="G571" s="36" t="s">
        <v>31</v>
      </c>
      <c r="H571" s="37" t="s">
        <v>2867</v>
      </c>
      <c r="I571" s="32"/>
      <c r="J571" s="32"/>
      <c r="K571" s="32" t="s">
        <v>2868</v>
      </c>
      <c r="L571" s="33" t="s">
        <v>120</v>
      </c>
      <c r="M571" t="str">
        <f>VLOOKUP(Requests[[#This Row],[Ticket ID]],[2]Requests!$A$2:$D$649,4,FALSE)</f>
        <v>4 - Low</v>
      </c>
      <c r="N571">
        <f>VLOOKUP(Requests[[#This Row],[Priority]],'SLA Config'!$B$3:$C$6,2,FALSE)</f>
        <v>25</v>
      </c>
      <c r="O571" t="str">
        <f ca="1">IF(Requests[[#This Row],[Age (days)]]&gt;Requests[[#This Row],[SLA Threshold]],"Yes","No")</f>
        <v>No</v>
      </c>
    </row>
    <row r="572" spans="1:15" ht="15.75" hidden="1" x14ac:dyDescent="0.25">
      <c r="A572" s="32" t="s">
        <v>2869</v>
      </c>
      <c r="B572" s="40">
        <v>45756</v>
      </c>
      <c r="C572" s="40">
        <v>45762</v>
      </c>
      <c r="D572" s="32" t="s">
        <v>29</v>
      </c>
      <c r="E572" s="32" t="s">
        <v>324</v>
      </c>
      <c r="F572">
        <f t="shared" ca="1" si="18"/>
        <v>5</v>
      </c>
      <c r="G572" s="36" t="s">
        <v>486</v>
      </c>
      <c r="H572" s="37" t="s">
        <v>2870</v>
      </c>
      <c r="I572" s="32"/>
      <c r="J572" s="32"/>
      <c r="K572" s="32" t="s">
        <v>575</v>
      </c>
      <c r="L572" s="33" t="s">
        <v>71</v>
      </c>
      <c r="M572" t="str">
        <f>VLOOKUP(Requests[[#This Row],[Ticket ID]],[2]Requests!$A$2:$D$649,4,FALSE)</f>
        <v>4 - Low</v>
      </c>
      <c r="N572">
        <f>VLOOKUP(Requests[[#This Row],[Priority]],'SLA Config'!$B$3:$C$6,2,FALSE)</f>
        <v>25</v>
      </c>
      <c r="O572" t="str">
        <f ca="1">IF(Requests[[#This Row],[Age (days)]]&gt;Requests[[#This Row],[SLA Threshold]],"Yes","No")</f>
        <v>No</v>
      </c>
    </row>
    <row r="573" spans="1:15" ht="15.75" hidden="1" x14ac:dyDescent="0.25">
      <c r="A573" s="32" t="s">
        <v>2871</v>
      </c>
      <c r="B573" s="40">
        <v>45749</v>
      </c>
      <c r="C573" s="31">
        <v>45781</v>
      </c>
      <c r="D573" s="28" t="s">
        <v>29</v>
      </c>
      <c r="E573" s="32" t="s">
        <v>30</v>
      </c>
      <c r="F573">
        <f t="shared" ca="1" si="18"/>
        <v>23</v>
      </c>
      <c r="G573" s="36" t="s">
        <v>31</v>
      </c>
      <c r="H573" s="37" t="s">
        <v>2443</v>
      </c>
      <c r="I573" s="32"/>
      <c r="J573" s="32"/>
      <c r="K573" s="32" t="s">
        <v>201</v>
      </c>
      <c r="L573" s="33" t="s">
        <v>120</v>
      </c>
      <c r="M573" t="str">
        <f>VLOOKUP(Requests[[#This Row],[Ticket ID]],[2]Requests!$A$2:$D$649,4,FALSE)</f>
        <v>3 - Medium</v>
      </c>
      <c r="N573">
        <f>VLOOKUP(Requests[[#This Row],[Priority]],'SLA Config'!$B$3:$C$6,2,FALSE)</f>
        <v>15</v>
      </c>
      <c r="O573" t="str">
        <f ca="1">IF(Requests[[#This Row],[Age (days)]]&gt;Requests[[#This Row],[SLA Threshold]],"Yes","No")</f>
        <v>Yes</v>
      </c>
    </row>
    <row r="574" spans="1:15" ht="15.75" hidden="1" x14ac:dyDescent="0.25">
      <c r="A574" s="32" t="s">
        <v>2872</v>
      </c>
      <c r="B574" s="40">
        <v>45761</v>
      </c>
      <c r="C574" s="40">
        <v>45773</v>
      </c>
      <c r="D574" s="32" t="s">
        <v>29</v>
      </c>
      <c r="E574" s="32" t="s">
        <v>1314</v>
      </c>
      <c r="F574">
        <f t="shared" ca="1" si="18"/>
        <v>10</v>
      </c>
      <c r="G574" s="36" t="s">
        <v>31</v>
      </c>
      <c r="H574" s="37" t="s">
        <v>2803</v>
      </c>
      <c r="I574" s="32"/>
      <c r="J574" s="32"/>
      <c r="K574" s="32" t="s">
        <v>1316</v>
      </c>
      <c r="L574" s="33" t="s">
        <v>36</v>
      </c>
      <c r="M574" t="str">
        <f>VLOOKUP(Requests[[#This Row],[Ticket ID]],[2]Requests!$A$2:$D$649,4,FALSE)</f>
        <v>4 - Low</v>
      </c>
      <c r="N574">
        <f>VLOOKUP(Requests[[#This Row],[Priority]],'SLA Config'!$B$3:$C$6,2,FALSE)</f>
        <v>25</v>
      </c>
      <c r="O574" t="str">
        <f ca="1">IF(Requests[[#This Row],[Age (days)]]&gt;Requests[[#This Row],[SLA Threshold]],"Yes","No")</f>
        <v>No</v>
      </c>
    </row>
    <row r="575" spans="1:15" ht="15.75" x14ac:dyDescent="0.25">
      <c r="A575" s="32" t="s">
        <v>2873</v>
      </c>
      <c r="B575" s="40">
        <v>45762</v>
      </c>
      <c r="C575" s="31">
        <v>45780</v>
      </c>
      <c r="D575" s="28" t="s">
        <v>29</v>
      </c>
      <c r="E575" s="32" t="s">
        <v>46</v>
      </c>
      <c r="F575">
        <f t="shared" ca="1" si="18"/>
        <v>14</v>
      </c>
      <c r="G575" s="36" t="s">
        <v>31</v>
      </c>
      <c r="H575" s="37" t="s">
        <v>2874</v>
      </c>
      <c r="I575" s="32"/>
      <c r="J575" s="32"/>
      <c r="K575" s="32" t="s">
        <v>201</v>
      </c>
      <c r="L575" s="33" t="s">
        <v>120</v>
      </c>
      <c r="M575" t="str">
        <f>VLOOKUP(Requests[[#This Row],[Ticket ID]],[2]Requests!$A$2:$D$649,4,FALSE)</f>
        <v>4 - Low</v>
      </c>
      <c r="N575">
        <f>VLOOKUP(Requests[[#This Row],[Priority]],'SLA Config'!$B$3:$C$6,2,FALSE)</f>
        <v>25</v>
      </c>
      <c r="O575" t="str">
        <f ca="1">IF(Requests[[#This Row],[Age (days)]]&gt;Requests[[#This Row],[SLA Threshold]],"Yes","No")</f>
        <v>No</v>
      </c>
    </row>
    <row r="576" spans="1:15" ht="15.75" hidden="1" x14ac:dyDescent="0.25">
      <c r="A576" s="32" t="s">
        <v>2875</v>
      </c>
      <c r="B576" s="40">
        <v>45762</v>
      </c>
      <c r="C576" s="31">
        <v>45781</v>
      </c>
      <c r="D576" s="28" t="s">
        <v>29</v>
      </c>
      <c r="E576" s="32" t="s">
        <v>1314</v>
      </c>
      <c r="F576">
        <f t="shared" ca="1" si="18"/>
        <v>14</v>
      </c>
      <c r="G576" s="36" t="s">
        <v>31</v>
      </c>
      <c r="H576" s="37" t="s">
        <v>2876</v>
      </c>
      <c r="I576" s="32"/>
      <c r="J576" s="32"/>
      <c r="K576" s="32" t="s">
        <v>1316</v>
      </c>
      <c r="L576" s="33" t="s">
        <v>36</v>
      </c>
      <c r="M576" t="str">
        <f>VLOOKUP(Requests[[#This Row],[Ticket ID]],[2]Requests!$A$2:$D$649,4,FALSE)</f>
        <v>4 - Low</v>
      </c>
      <c r="N576">
        <f>VLOOKUP(Requests[[#This Row],[Priority]],'SLA Config'!$B$3:$C$6,2,FALSE)</f>
        <v>25</v>
      </c>
      <c r="O576" t="str">
        <f ca="1">IF(Requests[[#This Row],[Age (days)]]&gt;Requests[[#This Row],[SLA Threshold]],"Yes","No")</f>
        <v>No</v>
      </c>
    </row>
    <row r="577" spans="1:15" ht="15.75" hidden="1" x14ac:dyDescent="0.25">
      <c r="A577" s="32" t="s">
        <v>2877</v>
      </c>
      <c r="B577" s="40">
        <v>45764</v>
      </c>
      <c r="C577" s="40">
        <v>45773</v>
      </c>
      <c r="D577" s="32" t="s">
        <v>29</v>
      </c>
      <c r="E577" s="32" t="s">
        <v>532</v>
      </c>
      <c r="F577">
        <f t="shared" ca="1" si="18"/>
        <v>7</v>
      </c>
      <c r="G577" s="36" t="s">
        <v>31</v>
      </c>
      <c r="H577" s="37" t="s">
        <v>2878</v>
      </c>
      <c r="I577" s="32"/>
      <c r="J577" s="32"/>
      <c r="K577" s="32" t="s">
        <v>215</v>
      </c>
      <c r="L577" s="33" t="s">
        <v>120</v>
      </c>
      <c r="M577" t="str">
        <f>VLOOKUP(Requests[[#This Row],[Ticket ID]],[2]Requests!$A$2:$D$649,4,FALSE)</f>
        <v>4 - Low</v>
      </c>
      <c r="N577">
        <f>VLOOKUP(Requests[[#This Row],[Priority]],'SLA Config'!$B$3:$C$6,2,FALSE)</f>
        <v>25</v>
      </c>
      <c r="O577" t="str">
        <f ca="1">IF(Requests[[#This Row],[Age (days)]]&gt;Requests[[#This Row],[SLA Threshold]],"Yes","No")</f>
        <v>No</v>
      </c>
    </row>
    <row r="578" spans="1:15" ht="15.75" x14ac:dyDescent="0.25">
      <c r="A578" s="32" t="s">
        <v>2879</v>
      </c>
      <c r="B578" s="40">
        <v>45764</v>
      </c>
      <c r="C578" s="31">
        <v>45804</v>
      </c>
      <c r="D578" s="28" t="s">
        <v>29</v>
      </c>
      <c r="E578" s="32" t="s">
        <v>46</v>
      </c>
      <c r="F578">
        <f t="shared" ca="1" si="18"/>
        <v>29</v>
      </c>
      <c r="G578" s="36" t="s">
        <v>31</v>
      </c>
      <c r="H578" s="37" t="s">
        <v>2880</v>
      </c>
      <c r="I578" s="32"/>
      <c r="J578" s="32"/>
      <c r="K578" s="32" t="s">
        <v>2726</v>
      </c>
      <c r="L578" s="33" t="s">
        <v>120</v>
      </c>
      <c r="M578" t="str">
        <f>VLOOKUP(Requests[[#This Row],[Ticket ID]],[2]Requests!$A$2:$D$649,4,FALSE)</f>
        <v>4 - Low</v>
      </c>
      <c r="N578">
        <f>VLOOKUP(Requests[[#This Row],[Priority]],'SLA Config'!$B$3:$C$6,2,FALSE)</f>
        <v>25</v>
      </c>
      <c r="O578" t="str">
        <f ca="1">IF(Requests[[#This Row],[Age (days)]]&gt;Requests[[#This Row],[SLA Threshold]],"Yes","No")</f>
        <v>Yes</v>
      </c>
    </row>
    <row r="579" spans="1:15" ht="15.75" hidden="1" x14ac:dyDescent="0.25">
      <c r="A579" s="32" t="s">
        <v>2881</v>
      </c>
      <c r="B579" s="40">
        <v>45769</v>
      </c>
      <c r="C579" s="40">
        <v>45823.145312499997</v>
      </c>
      <c r="D579" s="28" t="s">
        <v>29</v>
      </c>
      <c r="E579" s="32" t="s">
        <v>1658</v>
      </c>
      <c r="F579">
        <f t="shared" ca="1" si="18"/>
        <v>39</v>
      </c>
      <c r="G579" s="36" t="s">
        <v>31</v>
      </c>
      <c r="H579" s="37" t="s">
        <v>2882</v>
      </c>
      <c r="I579" s="32"/>
      <c r="J579" s="32"/>
      <c r="K579" s="32" t="s">
        <v>215</v>
      </c>
      <c r="L579" s="33" t="s">
        <v>120</v>
      </c>
      <c r="M579" t="str">
        <f>VLOOKUP(Requests[[#This Row],[Ticket ID]],[2]Requests!$A$2:$D$649,4,FALSE)</f>
        <v>4 - Low</v>
      </c>
      <c r="N579">
        <f>VLOOKUP(Requests[[#This Row],[Priority]],'SLA Config'!$B$3:$C$6,2,FALSE)</f>
        <v>25</v>
      </c>
      <c r="O579" t="str">
        <f ca="1">IF(Requests[[#This Row],[Age (days)]]&gt;Requests[[#This Row],[SLA Threshold]],"Yes","No")</f>
        <v>Yes</v>
      </c>
    </row>
    <row r="580" spans="1:15" ht="15.75" hidden="1" x14ac:dyDescent="0.25">
      <c r="A580" s="32" t="s">
        <v>2883</v>
      </c>
      <c r="B580" s="40">
        <v>45765</v>
      </c>
      <c r="C580" s="40"/>
      <c r="D580" s="28" t="s">
        <v>1653</v>
      </c>
      <c r="E580" s="32" t="s">
        <v>532</v>
      </c>
      <c r="F580">
        <f t="shared" ca="1" si="18"/>
        <v>251</v>
      </c>
      <c r="G580" s="36" t="s">
        <v>31</v>
      </c>
      <c r="H580" s="37" t="s">
        <v>2884</v>
      </c>
      <c r="I580" s="32"/>
      <c r="J580" s="32"/>
      <c r="K580" s="32" t="s">
        <v>201</v>
      </c>
      <c r="L580" s="33" t="s">
        <v>120</v>
      </c>
      <c r="M580" t="str">
        <f>VLOOKUP(Requests[[#This Row],[Ticket ID]],[2]Requests!$A$2:$D$649,4,FALSE)</f>
        <v>4 - Low</v>
      </c>
      <c r="N580">
        <f>VLOOKUP(Requests[[#This Row],[Priority]],'SLA Config'!$B$3:$C$6,2,FALSE)</f>
        <v>25</v>
      </c>
      <c r="O580" t="str">
        <f ca="1">IF(Requests[[#This Row],[Age (days)]]&gt;Requests[[#This Row],[SLA Threshold]],"Yes","No")</f>
        <v>Yes</v>
      </c>
    </row>
    <row r="581" spans="1:15" ht="15.75" hidden="1" x14ac:dyDescent="0.25">
      <c r="A581" s="32" t="s">
        <v>2885</v>
      </c>
      <c r="B581" s="40">
        <v>45768</v>
      </c>
      <c r="C581" s="31">
        <v>45784</v>
      </c>
      <c r="D581" s="28" t="s">
        <v>29</v>
      </c>
      <c r="E581" s="32" t="s">
        <v>1314</v>
      </c>
      <c r="F581">
        <f t="shared" ca="1" si="18"/>
        <v>13</v>
      </c>
      <c r="G581" s="36" t="s">
        <v>31</v>
      </c>
      <c r="H581" s="37" t="s">
        <v>2886</v>
      </c>
      <c r="I581" s="32"/>
      <c r="J581" s="32"/>
      <c r="K581" s="32" t="s">
        <v>1316</v>
      </c>
      <c r="L581" s="33" t="s">
        <v>36</v>
      </c>
      <c r="M581" t="str">
        <f>VLOOKUP(Requests[[#This Row],[Ticket ID]],[2]Requests!$A$2:$D$649,4,FALSE)</f>
        <v>4 - Low</v>
      </c>
      <c r="N581">
        <f>VLOOKUP(Requests[[#This Row],[Priority]],'SLA Config'!$B$3:$C$6,2,FALSE)</f>
        <v>25</v>
      </c>
      <c r="O581" t="str">
        <f ca="1">IF(Requests[[#This Row],[Age (days)]]&gt;Requests[[#This Row],[SLA Threshold]],"Yes","No")</f>
        <v>No</v>
      </c>
    </row>
    <row r="582" spans="1:15" ht="15.75" x14ac:dyDescent="0.25">
      <c r="A582" s="32" t="s">
        <v>2887</v>
      </c>
      <c r="B582" s="40">
        <v>45775</v>
      </c>
      <c r="C582" s="31">
        <v>45788</v>
      </c>
      <c r="D582" s="28" t="s">
        <v>29</v>
      </c>
      <c r="E582" s="32" t="s">
        <v>46</v>
      </c>
      <c r="F582">
        <f t="shared" ca="1" si="18"/>
        <v>10</v>
      </c>
      <c r="G582" s="36" t="s">
        <v>486</v>
      </c>
      <c r="H582" s="37" t="s">
        <v>2888</v>
      </c>
      <c r="I582" s="32"/>
      <c r="J582" s="32"/>
      <c r="K582" s="32" t="s">
        <v>575</v>
      </c>
      <c r="L582" s="33" t="s">
        <v>71</v>
      </c>
      <c r="M582" t="str">
        <f>VLOOKUP(Requests[[#This Row],[Ticket ID]],[2]Requests!$A$2:$D$649,4,FALSE)</f>
        <v>4 - Low</v>
      </c>
      <c r="N582">
        <f>VLOOKUP(Requests[[#This Row],[Priority]],'SLA Config'!$B$3:$C$6,2,FALSE)</f>
        <v>25</v>
      </c>
      <c r="O582" t="str">
        <f ca="1">IF(Requests[[#This Row],[Age (days)]]&gt;Requests[[#This Row],[SLA Threshold]],"Yes","No")</f>
        <v>No</v>
      </c>
    </row>
    <row r="583" spans="1:15" ht="15.75" x14ac:dyDescent="0.25">
      <c r="A583" s="32" t="s">
        <v>2889</v>
      </c>
      <c r="B583" s="40">
        <v>45768</v>
      </c>
      <c r="C583" s="31">
        <v>45805</v>
      </c>
      <c r="D583" s="28" t="s">
        <v>29</v>
      </c>
      <c r="E583" s="32" t="s">
        <v>46</v>
      </c>
      <c r="F583">
        <f t="shared" ca="1" si="18"/>
        <v>28</v>
      </c>
      <c r="G583" s="36" t="s">
        <v>31</v>
      </c>
      <c r="H583" s="37" t="s">
        <v>2890</v>
      </c>
      <c r="I583" s="32"/>
      <c r="J583" s="32"/>
      <c r="K583" s="32" t="s">
        <v>2868</v>
      </c>
      <c r="L583" s="33" t="s">
        <v>120</v>
      </c>
      <c r="M583" t="str">
        <f>VLOOKUP(Requests[[#This Row],[Ticket ID]],[2]Requests!$A$2:$D$649,4,FALSE)</f>
        <v>4 - Low</v>
      </c>
      <c r="N583">
        <f>VLOOKUP(Requests[[#This Row],[Priority]],'SLA Config'!$B$3:$C$6,2,FALSE)</f>
        <v>25</v>
      </c>
      <c r="O583" t="str">
        <f ca="1">IF(Requests[[#This Row],[Age (days)]]&gt;Requests[[#This Row],[SLA Threshold]],"Yes","No")</f>
        <v>Yes</v>
      </c>
    </row>
    <row r="584" spans="1:15" ht="15.75" x14ac:dyDescent="0.25">
      <c r="A584" s="32" t="s">
        <v>2891</v>
      </c>
      <c r="B584" s="40">
        <v>45768</v>
      </c>
      <c r="C584" s="31">
        <v>45781</v>
      </c>
      <c r="D584" s="28" t="s">
        <v>29</v>
      </c>
      <c r="E584" s="32" t="s">
        <v>46</v>
      </c>
      <c r="F584">
        <f t="shared" ca="1" si="18"/>
        <v>10</v>
      </c>
      <c r="G584" s="36" t="s">
        <v>31</v>
      </c>
      <c r="H584" s="37" t="s">
        <v>2892</v>
      </c>
      <c r="I584" s="32"/>
      <c r="J584" s="32"/>
      <c r="K584" s="32" t="s">
        <v>2061</v>
      </c>
      <c r="L584" s="33" t="s">
        <v>71</v>
      </c>
      <c r="M584" t="str">
        <f>VLOOKUP(Requests[[#This Row],[Ticket ID]],[2]Requests!$A$2:$D$649,4,FALSE)</f>
        <v>4 - Low</v>
      </c>
      <c r="N584">
        <f>VLOOKUP(Requests[[#This Row],[Priority]],'SLA Config'!$B$3:$C$6,2,FALSE)</f>
        <v>25</v>
      </c>
      <c r="O584" t="str">
        <f ca="1">IF(Requests[[#This Row],[Age (days)]]&gt;Requests[[#This Row],[SLA Threshold]],"Yes","No")</f>
        <v>No</v>
      </c>
    </row>
    <row r="585" spans="1:15" ht="15.75" hidden="1" x14ac:dyDescent="0.25">
      <c r="A585" s="32" t="s">
        <v>2893</v>
      </c>
      <c r="B585" s="40">
        <v>45770</v>
      </c>
      <c r="C585" s="31">
        <v>45789</v>
      </c>
      <c r="D585" s="28" t="s">
        <v>29</v>
      </c>
      <c r="E585" s="32" t="s">
        <v>1314</v>
      </c>
      <c r="F585">
        <f t="shared" ca="1" si="18"/>
        <v>14</v>
      </c>
      <c r="G585" s="36" t="s">
        <v>31</v>
      </c>
      <c r="H585" s="37" t="s">
        <v>2894</v>
      </c>
      <c r="I585" s="32"/>
      <c r="J585" s="32"/>
      <c r="K585" s="32" t="s">
        <v>1316</v>
      </c>
      <c r="L585" s="33" t="s">
        <v>36</v>
      </c>
      <c r="M585" t="str">
        <f>VLOOKUP(Requests[[#This Row],[Ticket ID]],[2]Requests!$A$2:$D$649,4,FALSE)</f>
        <v>4 - Low</v>
      </c>
      <c r="N585">
        <f>VLOOKUP(Requests[[#This Row],[Priority]],'SLA Config'!$B$3:$C$6,2,FALSE)</f>
        <v>25</v>
      </c>
      <c r="O585" t="str">
        <f ca="1">IF(Requests[[#This Row],[Age (days)]]&gt;Requests[[#This Row],[SLA Threshold]],"Yes","No")</f>
        <v>No</v>
      </c>
    </row>
    <row r="586" spans="1:15" ht="15.75" hidden="1" x14ac:dyDescent="0.25">
      <c r="A586" s="32" t="s">
        <v>2895</v>
      </c>
      <c r="B586" s="40">
        <v>45770</v>
      </c>
      <c r="C586" s="40">
        <v>45775</v>
      </c>
      <c r="D586" s="32" t="s">
        <v>29</v>
      </c>
      <c r="E586" s="32" t="s">
        <v>324</v>
      </c>
      <c r="F586">
        <f t="shared" ca="1" si="18"/>
        <v>4</v>
      </c>
      <c r="G586" s="36" t="s">
        <v>486</v>
      </c>
      <c r="H586" s="37" t="s">
        <v>2896</v>
      </c>
      <c r="I586" s="32"/>
      <c r="J586" s="32"/>
      <c r="K586" s="32" t="s">
        <v>575</v>
      </c>
      <c r="L586" s="33" t="s">
        <v>71</v>
      </c>
      <c r="M586" t="str">
        <f>VLOOKUP(Requests[[#This Row],[Ticket ID]],[2]Requests!$A$2:$D$649,4,FALSE)</f>
        <v>4 - Low</v>
      </c>
      <c r="N586">
        <f>VLOOKUP(Requests[[#This Row],[Priority]],'SLA Config'!$B$3:$C$6,2,FALSE)</f>
        <v>25</v>
      </c>
      <c r="O586" t="str">
        <f ca="1">IF(Requests[[#This Row],[Age (days)]]&gt;Requests[[#This Row],[SLA Threshold]],"Yes","No")</f>
        <v>No</v>
      </c>
    </row>
    <row r="587" spans="1:15" ht="15.75" hidden="1" x14ac:dyDescent="0.25">
      <c r="A587" s="32" t="s">
        <v>2897</v>
      </c>
      <c r="B587" s="40">
        <v>45770</v>
      </c>
      <c r="C587" s="40"/>
      <c r="D587" s="28" t="s">
        <v>1567</v>
      </c>
      <c r="E587" s="32" t="s">
        <v>30</v>
      </c>
      <c r="F587">
        <f t="shared" ca="1" si="18"/>
        <v>248</v>
      </c>
      <c r="G587" s="36" t="s">
        <v>2898</v>
      </c>
      <c r="H587" s="37" t="s">
        <v>2899</v>
      </c>
      <c r="I587" s="32"/>
      <c r="J587" s="32"/>
      <c r="K587" s="32" t="s">
        <v>2900</v>
      </c>
      <c r="L587" s="33" t="s">
        <v>71</v>
      </c>
      <c r="M587" t="str">
        <f>VLOOKUP(Requests[[#This Row],[Ticket ID]],[2]Requests!$A$2:$D$649,4,FALSE)</f>
        <v>4 - Low</v>
      </c>
      <c r="N587">
        <f>VLOOKUP(Requests[[#This Row],[Priority]],'SLA Config'!$B$3:$C$6,2,FALSE)</f>
        <v>25</v>
      </c>
      <c r="O587" t="str">
        <f ca="1">IF(Requests[[#This Row],[Age (days)]]&gt;Requests[[#This Row],[SLA Threshold]],"Yes","No")</f>
        <v>Yes</v>
      </c>
    </row>
    <row r="588" spans="1:15" ht="15.75" hidden="1" x14ac:dyDescent="0.25">
      <c r="A588" s="32" t="s">
        <v>2901</v>
      </c>
      <c r="B588" s="40">
        <v>45771</v>
      </c>
      <c r="C588" s="31">
        <v>45784</v>
      </c>
      <c r="D588" s="28" t="s">
        <v>29</v>
      </c>
      <c r="E588" s="32" t="s">
        <v>1314</v>
      </c>
      <c r="F588">
        <f t="shared" ca="1" si="18"/>
        <v>10</v>
      </c>
      <c r="G588" s="36" t="s">
        <v>31</v>
      </c>
      <c r="H588" s="37" t="s">
        <v>2751</v>
      </c>
      <c r="I588" s="32"/>
      <c r="J588" s="32"/>
      <c r="K588" s="32" t="s">
        <v>1316</v>
      </c>
      <c r="L588" s="33" t="s">
        <v>36</v>
      </c>
      <c r="M588" t="str">
        <f>VLOOKUP(Requests[[#This Row],[Ticket ID]],[2]Requests!$A$2:$D$649,4,FALSE)</f>
        <v>4 - Low</v>
      </c>
      <c r="N588">
        <f>VLOOKUP(Requests[[#This Row],[Priority]],'SLA Config'!$B$3:$C$6,2,FALSE)</f>
        <v>25</v>
      </c>
      <c r="O588" t="str">
        <f ca="1">IF(Requests[[#This Row],[Age (days)]]&gt;Requests[[#This Row],[SLA Threshold]],"Yes","No")</f>
        <v>No</v>
      </c>
    </row>
    <row r="589" spans="1:15" ht="15.75" x14ac:dyDescent="0.25">
      <c r="A589" s="32" t="s">
        <v>2902</v>
      </c>
      <c r="B589" s="40">
        <v>45761</v>
      </c>
      <c r="C589" s="40">
        <v>45776</v>
      </c>
      <c r="D589" s="32" t="s">
        <v>29</v>
      </c>
      <c r="E589" s="32" t="s">
        <v>46</v>
      </c>
      <c r="F589">
        <f t="shared" ca="1" si="18"/>
        <v>12</v>
      </c>
      <c r="G589" s="36" t="s">
        <v>31</v>
      </c>
      <c r="H589" s="37" t="s">
        <v>2903</v>
      </c>
      <c r="I589" s="32"/>
      <c r="J589" s="32"/>
      <c r="K589" s="32" t="s">
        <v>35</v>
      </c>
      <c r="L589" s="33" t="s">
        <v>36</v>
      </c>
      <c r="M589" t="str">
        <f>VLOOKUP(Requests[[#This Row],[Ticket ID]],[2]Requests!$A$2:$D$649,4,FALSE)</f>
        <v>4 - Low</v>
      </c>
      <c r="N589">
        <f>VLOOKUP(Requests[[#This Row],[Priority]],'SLA Config'!$B$3:$C$6,2,FALSE)</f>
        <v>25</v>
      </c>
      <c r="O589" t="str">
        <f ca="1">IF(Requests[[#This Row],[Age (days)]]&gt;Requests[[#This Row],[SLA Threshold]],"Yes","No")</f>
        <v>No</v>
      </c>
    </row>
    <row r="590" spans="1:15" ht="15.75" hidden="1" x14ac:dyDescent="0.25">
      <c r="A590" s="32" t="s">
        <v>2904</v>
      </c>
      <c r="B590" s="40">
        <v>45772</v>
      </c>
      <c r="C590" s="31">
        <v>45784</v>
      </c>
      <c r="D590" s="28" t="s">
        <v>29</v>
      </c>
      <c r="E590" s="32" t="s">
        <v>1314</v>
      </c>
      <c r="F590">
        <f t="shared" ca="1" si="18"/>
        <v>9</v>
      </c>
      <c r="G590" s="36" t="s">
        <v>31</v>
      </c>
      <c r="H590" s="37" t="s">
        <v>2905</v>
      </c>
      <c r="I590" s="32"/>
      <c r="J590" s="32"/>
      <c r="K590" s="32" t="s">
        <v>1316</v>
      </c>
      <c r="L590" s="33" t="s">
        <v>36</v>
      </c>
      <c r="M590" t="str">
        <f>VLOOKUP(Requests[[#This Row],[Ticket ID]],[2]Requests!$A$2:$D$649,4,FALSE)</f>
        <v>4 - Low</v>
      </c>
      <c r="N590">
        <f>VLOOKUP(Requests[[#This Row],[Priority]],'SLA Config'!$B$3:$C$6,2,FALSE)</f>
        <v>25</v>
      </c>
      <c r="O590" t="str">
        <f ca="1">IF(Requests[[#This Row],[Age (days)]]&gt;Requests[[#This Row],[SLA Threshold]],"Yes","No")</f>
        <v>No</v>
      </c>
    </row>
    <row r="591" spans="1:15" ht="30" hidden="1" x14ac:dyDescent="0.25">
      <c r="A591" s="32" t="s">
        <v>2906</v>
      </c>
      <c r="B591" s="40">
        <v>45772</v>
      </c>
      <c r="C591" s="31">
        <v>45780</v>
      </c>
      <c r="D591" s="28" t="s">
        <v>29</v>
      </c>
      <c r="E591" s="32" t="s">
        <v>324</v>
      </c>
      <c r="F591">
        <f t="shared" ca="1" si="18"/>
        <v>6</v>
      </c>
      <c r="G591" s="36" t="s">
        <v>31</v>
      </c>
      <c r="H591" s="37" t="s">
        <v>2907</v>
      </c>
      <c r="I591" s="32"/>
      <c r="J591" s="32"/>
      <c r="K591" s="32" t="s">
        <v>1565</v>
      </c>
      <c r="L591" s="33" t="s">
        <v>36</v>
      </c>
      <c r="M591" t="str">
        <f>VLOOKUP(Requests[[#This Row],[Ticket ID]],[2]Requests!$A$2:$D$649,4,FALSE)</f>
        <v>4 - Low</v>
      </c>
      <c r="N591">
        <f>VLOOKUP(Requests[[#This Row],[Priority]],'SLA Config'!$B$3:$C$6,2,FALSE)</f>
        <v>25</v>
      </c>
      <c r="O591" t="str">
        <f ca="1">IF(Requests[[#This Row],[Age (days)]]&gt;Requests[[#This Row],[SLA Threshold]],"Yes","No")</f>
        <v>No</v>
      </c>
    </row>
    <row r="592" spans="1:15" ht="15.75" hidden="1" x14ac:dyDescent="0.25">
      <c r="A592" s="32" t="s">
        <v>2908</v>
      </c>
      <c r="B592" s="40">
        <v>45772</v>
      </c>
      <c r="C592" s="40">
        <v>45846.103738425925</v>
      </c>
      <c r="D592" s="28" t="s">
        <v>29</v>
      </c>
      <c r="E592" s="32" t="s">
        <v>30</v>
      </c>
      <c r="F592">
        <f t="shared" ca="1" si="18"/>
        <v>53</v>
      </c>
      <c r="G592" s="36" t="s">
        <v>31</v>
      </c>
      <c r="H592" s="37" t="s">
        <v>2909</v>
      </c>
      <c r="I592" s="32"/>
      <c r="J592" s="32"/>
      <c r="K592" s="32" t="s">
        <v>1316</v>
      </c>
      <c r="L592" s="33" t="s">
        <v>36</v>
      </c>
      <c r="M592" t="str">
        <f>VLOOKUP(Requests[[#This Row],[Ticket ID]],[2]Requests!$A$2:$D$649,4,FALSE)</f>
        <v>4 - Low</v>
      </c>
      <c r="N592">
        <f>VLOOKUP(Requests[[#This Row],[Priority]],'SLA Config'!$B$3:$C$6,2,FALSE)</f>
        <v>25</v>
      </c>
      <c r="O592" t="str">
        <f ca="1">IF(Requests[[#This Row],[Age (days)]]&gt;Requests[[#This Row],[SLA Threshold]],"Yes","No")</f>
        <v>Yes</v>
      </c>
    </row>
    <row r="593" spans="1:15" ht="30" hidden="1" x14ac:dyDescent="0.25">
      <c r="A593" s="32" t="s">
        <v>2910</v>
      </c>
      <c r="B593" s="40">
        <v>45773</v>
      </c>
      <c r="C593" s="31">
        <v>45784</v>
      </c>
      <c r="D593" s="28" t="s">
        <v>29</v>
      </c>
      <c r="E593" s="32" t="s">
        <v>38</v>
      </c>
      <c r="F593">
        <f t="shared" ca="1" si="18"/>
        <v>8</v>
      </c>
      <c r="G593" s="36" t="s">
        <v>2583</v>
      </c>
      <c r="H593" s="37" t="s">
        <v>1692</v>
      </c>
      <c r="I593" s="32"/>
      <c r="J593" s="32"/>
      <c r="K593" s="32" t="s">
        <v>1695</v>
      </c>
      <c r="L593" s="33" t="s">
        <v>71</v>
      </c>
      <c r="M593" t="str">
        <f>VLOOKUP(Requests[[#This Row],[Ticket ID]],[2]Requests!$A$2:$D$649,4,FALSE)</f>
        <v>4 - Low</v>
      </c>
      <c r="N593">
        <f>VLOOKUP(Requests[[#This Row],[Priority]],'SLA Config'!$B$3:$C$6,2,FALSE)</f>
        <v>25</v>
      </c>
      <c r="O593" t="str">
        <f ca="1">IF(Requests[[#This Row],[Age (days)]]&gt;Requests[[#This Row],[SLA Threshold]],"Yes","No")</f>
        <v>No</v>
      </c>
    </row>
    <row r="594" spans="1:15" ht="15.75" hidden="1" x14ac:dyDescent="0.25">
      <c r="A594" s="32" t="s">
        <v>2911</v>
      </c>
      <c r="B594" s="40">
        <v>45776</v>
      </c>
      <c r="C594" s="31">
        <v>45784</v>
      </c>
      <c r="D594" s="28" t="s">
        <v>29</v>
      </c>
      <c r="E594" s="32" t="s">
        <v>1314</v>
      </c>
      <c r="F594">
        <f t="shared" ca="1" si="18"/>
        <v>7</v>
      </c>
      <c r="G594" s="36" t="s">
        <v>31</v>
      </c>
      <c r="H594" s="37" t="s">
        <v>2876</v>
      </c>
      <c r="I594" s="32"/>
      <c r="J594" s="32"/>
      <c r="K594" s="32" t="s">
        <v>1316</v>
      </c>
      <c r="L594" s="33" t="s">
        <v>36</v>
      </c>
      <c r="M594" t="str">
        <f>VLOOKUP(Requests[[#This Row],[Ticket ID]],[2]Requests!$A$2:$D$649,4,FALSE)</f>
        <v>4 - Low</v>
      </c>
      <c r="N594">
        <f>VLOOKUP(Requests[[#This Row],[Priority]],'SLA Config'!$B$3:$C$6,2,FALSE)</f>
        <v>25</v>
      </c>
      <c r="O594" t="str">
        <f ca="1">IF(Requests[[#This Row],[Age (days)]]&gt;Requests[[#This Row],[SLA Threshold]],"Yes","No")</f>
        <v>No</v>
      </c>
    </row>
    <row r="595" spans="1:15" ht="15.75" hidden="1" x14ac:dyDescent="0.25">
      <c r="A595" s="32" t="s">
        <v>2912</v>
      </c>
      <c r="B595" s="40">
        <v>45775</v>
      </c>
      <c r="C595" s="31">
        <v>45794</v>
      </c>
      <c r="D595" s="28" t="s">
        <v>29</v>
      </c>
      <c r="E595" s="32" t="s">
        <v>1314</v>
      </c>
      <c r="F595">
        <f t="shared" ca="1" si="18"/>
        <v>15</v>
      </c>
      <c r="G595" s="36" t="s">
        <v>31</v>
      </c>
      <c r="H595" s="37" t="s">
        <v>2892</v>
      </c>
      <c r="I595" s="32"/>
      <c r="J595" s="32"/>
      <c r="K595" s="32" t="s">
        <v>2061</v>
      </c>
      <c r="L595" s="33" t="s">
        <v>71</v>
      </c>
      <c r="M595" t="str">
        <f>VLOOKUP(Requests[[#This Row],[Ticket ID]],[2]Requests!$A$2:$D$649,4,FALSE)</f>
        <v>4 - Low</v>
      </c>
      <c r="N595">
        <f>VLOOKUP(Requests[[#This Row],[Priority]],'SLA Config'!$B$3:$C$6,2,FALSE)</f>
        <v>25</v>
      </c>
      <c r="O595" t="str">
        <f ca="1">IF(Requests[[#This Row],[Age (days)]]&gt;Requests[[#This Row],[SLA Threshold]],"Yes","No")</f>
        <v>No</v>
      </c>
    </row>
    <row r="596" spans="1:15" ht="15.75" hidden="1" x14ac:dyDescent="0.25">
      <c r="A596" s="32" t="s">
        <v>2913</v>
      </c>
      <c r="B596" s="40">
        <v>45779</v>
      </c>
      <c r="C596" s="40">
        <v>45789</v>
      </c>
      <c r="D596" s="32" t="s">
        <v>29</v>
      </c>
      <c r="E596" s="32" t="s">
        <v>1314</v>
      </c>
      <c r="F596">
        <f t="shared" ref="F596:F637" ca="1" si="19">IF(ISBLANK(C596), NETWORKDAYS(B596,TODAY()), NETWORKDAYS(B596,C596))</f>
        <v>7</v>
      </c>
      <c r="G596" s="36" t="s">
        <v>31</v>
      </c>
      <c r="H596" s="37" t="s">
        <v>2914</v>
      </c>
      <c r="I596" s="32"/>
      <c r="J596" s="32"/>
      <c r="K596" s="32" t="s">
        <v>1316</v>
      </c>
      <c r="L596" s="33" t="s">
        <v>36</v>
      </c>
      <c r="M596" s="32" t="str">
        <f>VLOOKUP(Requests[[#This Row],[Ticket ID]],[2]Requests!$A$2:$D$649,4,FALSE)</f>
        <v>4 - Low</v>
      </c>
      <c r="N596">
        <f>VLOOKUP(Requests[[#This Row],[Priority]],'SLA Config'!$B$3:$C$6,2,FALSE)</f>
        <v>25</v>
      </c>
      <c r="O596" t="str">
        <f ca="1">IF(Requests[[#This Row],[Age (days)]]&gt;Requests[[#This Row],[SLA Threshold]],"Yes","No")</f>
        <v>No</v>
      </c>
    </row>
    <row r="597" spans="1:15" ht="30" hidden="1" x14ac:dyDescent="0.25">
      <c r="A597" s="32" t="s">
        <v>2915</v>
      </c>
      <c r="B597" s="40">
        <v>45780</v>
      </c>
      <c r="C597" s="40">
        <v>45794</v>
      </c>
      <c r="D597" s="32" t="s">
        <v>29</v>
      </c>
      <c r="E597" s="32" t="s">
        <v>38</v>
      </c>
      <c r="F597">
        <f t="shared" ca="1" si="19"/>
        <v>10</v>
      </c>
      <c r="G597" s="36" t="s">
        <v>2583</v>
      </c>
      <c r="H597" s="37" t="s">
        <v>1692</v>
      </c>
      <c r="I597" s="32"/>
      <c r="J597" s="32"/>
      <c r="K597" s="32" t="s">
        <v>1695</v>
      </c>
      <c r="L597" s="33" t="s">
        <v>71</v>
      </c>
      <c r="M597" s="32" t="str">
        <f>VLOOKUP(Requests[[#This Row],[Ticket ID]],[2]Requests!$A$2:$D$649,4,FALSE)</f>
        <v>4 - Low</v>
      </c>
      <c r="N597">
        <f>VLOOKUP(Requests[[#This Row],[Priority]],'SLA Config'!$B$3:$C$6,2,FALSE)</f>
        <v>25</v>
      </c>
      <c r="O597" t="str">
        <f ca="1">IF(Requests[[#This Row],[Age (days)]]&gt;Requests[[#This Row],[SLA Threshold]],"Yes","No")</f>
        <v>No</v>
      </c>
    </row>
    <row r="598" spans="1:15" ht="15.75" x14ac:dyDescent="0.25">
      <c r="A598" s="32" t="s">
        <v>2916</v>
      </c>
      <c r="B598" s="40">
        <v>45780</v>
      </c>
      <c r="C598" s="40">
        <v>45810.988136574073</v>
      </c>
      <c r="D598" s="28" t="s">
        <v>29</v>
      </c>
      <c r="E598" s="32" t="s">
        <v>46</v>
      </c>
      <c r="F598">
        <f t="shared" ca="1" si="19"/>
        <v>21</v>
      </c>
      <c r="G598" s="36" t="s">
        <v>31</v>
      </c>
      <c r="H598" s="37" t="s">
        <v>2892</v>
      </c>
      <c r="I598" s="32"/>
      <c r="J598" s="32"/>
      <c r="K598" s="32" t="s">
        <v>2061</v>
      </c>
      <c r="L598" s="33" t="s">
        <v>71</v>
      </c>
      <c r="M598" s="32" t="str">
        <f>VLOOKUP(Requests[[#This Row],[Ticket ID]],[2]Requests!$A$2:$D$649,4,FALSE)</f>
        <v>4 - Low</v>
      </c>
      <c r="N598">
        <f>VLOOKUP(Requests[[#This Row],[Priority]],'SLA Config'!$B$3:$C$6,2,FALSE)</f>
        <v>25</v>
      </c>
      <c r="O598" t="str">
        <f ca="1">IF(Requests[[#This Row],[Age (days)]]&gt;Requests[[#This Row],[SLA Threshold]],"Yes","No")</f>
        <v>No</v>
      </c>
    </row>
    <row r="599" spans="1:15" ht="15.75" hidden="1" x14ac:dyDescent="0.25">
      <c r="A599" s="32" t="s">
        <v>2917</v>
      </c>
      <c r="B599" s="40">
        <v>45782</v>
      </c>
      <c r="C599" s="40">
        <v>45789</v>
      </c>
      <c r="D599" s="32" t="s">
        <v>29</v>
      </c>
      <c r="E599" s="32" t="s">
        <v>1314</v>
      </c>
      <c r="F599">
        <f t="shared" ca="1" si="19"/>
        <v>6</v>
      </c>
      <c r="G599" s="36" t="s">
        <v>31</v>
      </c>
      <c r="H599" s="37" t="s">
        <v>2918</v>
      </c>
      <c r="I599" s="32"/>
      <c r="J599" s="32"/>
      <c r="K599" s="32" t="s">
        <v>1316</v>
      </c>
      <c r="L599" s="33" t="s">
        <v>36</v>
      </c>
      <c r="M599" s="32" t="str">
        <f>VLOOKUP(Requests[[#This Row],[Ticket ID]],[2]Requests!$A$2:$D$649,4,FALSE)</f>
        <v>4 - Low</v>
      </c>
      <c r="N599">
        <f>VLOOKUP(Requests[[#This Row],[Priority]],'SLA Config'!$B$3:$C$6,2,FALSE)</f>
        <v>25</v>
      </c>
      <c r="O599" t="str">
        <f ca="1">IF(Requests[[#This Row],[Age (days)]]&gt;Requests[[#This Row],[SLA Threshold]],"Yes","No")</f>
        <v>No</v>
      </c>
    </row>
    <row r="600" spans="1:15" ht="15.75" hidden="1" x14ac:dyDescent="0.25">
      <c r="A600" s="32" t="s">
        <v>2919</v>
      </c>
      <c r="B600" s="40">
        <v>45782</v>
      </c>
      <c r="C600" s="40">
        <v>45804</v>
      </c>
      <c r="D600" s="32" t="s">
        <v>29</v>
      </c>
      <c r="E600" s="32" t="s">
        <v>1314</v>
      </c>
      <c r="F600">
        <f t="shared" ca="1" si="19"/>
        <v>17</v>
      </c>
      <c r="G600" s="36" t="s">
        <v>31</v>
      </c>
      <c r="H600" s="37" t="s">
        <v>2920</v>
      </c>
      <c r="I600" s="32"/>
      <c r="J600" s="32"/>
      <c r="K600" s="32" t="s">
        <v>1316</v>
      </c>
      <c r="L600" s="33" t="s">
        <v>36</v>
      </c>
      <c r="M600" s="32" t="str">
        <f>VLOOKUP(Requests[[#This Row],[Ticket ID]],[2]Requests!$A$2:$D$649,4,FALSE)</f>
        <v>4 - Low</v>
      </c>
      <c r="N600">
        <f>VLOOKUP(Requests[[#This Row],[Priority]],'SLA Config'!$B$3:$C$6,2,FALSE)</f>
        <v>25</v>
      </c>
      <c r="O600" t="str">
        <f ca="1">IF(Requests[[#This Row],[Age (days)]]&gt;Requests[[#This Row],[SLA Threshold]],"Yes","No")</f>
        <v>No</v>
      </c>
    </row>
    <row r="601" spans="1:15" ht="15.75" x14ac:dyDescent="0.25">
      <c r="A601" s="32" t="s">
        <v>2921</v>
      </c>
      <c r="B601" s="40">
        <v>45783</v>
      </c>
      <c r="C601" s="40">
        <v>45817.171053240738</v>
      </c>
      <c r="D601" s="28" t="s">
        <v>29</v>
      </c>
      <c r="E601" s="32" t="s">
        <v>46</v>
      </c>
      <c r="F601">
        <f t="shared" ca="1" si="19"/>
        <v>25</v>
      </c>
      <c r="G601" s="36" t="s">
        <v>51</v>
      </c>
      <c r="H601" s="37" t="s">
        <v>2922</v>
      </c>
      <c r="I601" s="32"/>
      <c r="J601" s="32"/>
      <c r="K601" s="32" t="s">
        <v>201</v>
      </c>
      <c r="L601" s="33" t="s">
        <v>120</v>
      </c>
      <c r="M601" s="32" t="str">
        <f>VLOOKUP(Requests[[#This Row],[Ticket ID]],[2]Requests!$A$2:$D$649,4,FALSE)</f>
        <v>4 - Low</v>
      </c>
      <c r="N601">
        <f>VLOOKUP(Requests[[#This Row],[Priority]],'SLA Config'!$B$3:$C$6,2,FALSE)</f>
        <v>25</v>
      </c>
      <c r="O601" t="str">
        <f ca="1">IF(Requests[[#This Row],[Age (days)]]&gt;Requests[[#This Row],[SLA Threshold]],"Yes","No")</f>
        <v>No</v>
      </c>
    </row>
    <row r="602" spans="1:15" ht="15.75" hidden="1" x14ac:dyDescent="0.25">
      <c r="A602" s="32" t="s">
        <v>2923</v>
      </c>
      <c r="B602" s="40">
        <v>45783</v>
      </c>
      <c r="C602" s="40">
        <v>45794</v>
      </c>
      <c r="D602" s="32" t="s">
        <v>29</v>
      </c>
      <c r="E602" s="32" t="s">
        <v>1314</v>
      </c>
      <c r="F602">
        <f t="shared" ca="1" si="19"/>
        <v>9</v>
      </c>
      <c r="G602" s="36" t="s">
        <v>31</v>
      </c>
      <c r="H602" s="37" t="s">
        <v>2751</v>
      </c>
      <c r="I602" s="32"/>
      <c r="J602" s="32"/>
      <c r="K602" s="32" t="s">
        <v>1316</v>
      </c>
      <c r="L602" s="33" t="s">
        <v>36</v>
      </c>
      <c r="M602" s="32" t="str">
        <f>VLOOKUP(Requests[[#This Row],[Ticket ID]],[2]Requests!$A$2:$D$649,4,FALSE)</f>
        <v>4 - Low</v>
      </c>
      <c r="N602">
        <f>VLOOKUP(Requests[[#This Row],[Priority]],'SLA Config'!$B$3:$C$6,2,FALSE)</f>
        <v>25</v>
      </c>
      <c r="O602" t="str">
        <f ca="1">IF(Requests[[#This Row],[Age (days)]]&gt;Requests[[#This Row],[SLA Threshold]],"Yes","No")</f>
        <v>No</v>
      </c>
    </row>
    <row r="603" spans="1:15" ht="15.75" hidden="1" x14ac:dyDescent="0.25">
      <c r="A603" s="32" t="s">
        <v>2924</v>
      </c>
      <c r="B603" s="40">
        <v>45783</v>
      </c>
      <c r="C603" s="40">
        <v>45791</v>
      </c>
      <c r="D603" s="32" t="s">
        <v>29</v>
      </c>
      <c r="E603" s="32" t="s">
        <v>1314</v>
      </c>
      <c r="F603">
        <f t="shared" ca="1" si="19"/>
        <v>7</v>
      </c>
      <c r="G603" s="36" t="s">
        <v>31</v>
      </c>
      <c r="H603" s="37" t="s">
        <v>2892</v>
      </c>
      <c r="I603" s="32"/>
      <c r="J603" s="32"/>
      <c r="K603" s="32" t="s">
        <v>2061</v>
      </c>
      <c r="L603" s="33" t="s">
        <v>71</v>
      </c>
      <c r="M603" s="32" t="str">
        <f>VLOOKUP(Requests[[#This Row],[Ticket ID]],[2]Requests!$A$2:$D$649,4,FALSE)</f>
        <v>4 - Low</v>
      </c>
      <c r="N603">
        <f>VLOOKUP(Requests[[#This Row],[Priority]],'SLA Config'!$B$3:$C$6,2,FALSE)</f>
        <v>25</v>
      </c>
      <c r="O603" t="str">
        <f ca="1">IF(Requests[[#This Row],[Age (days)]]&gt;Requests[[#This Row],[SLA Threshold]],"Yes","No")</f>
        <v>No</v>
      </c>
    </row>
    <row r="604" spans="1:15" ht="15.75" x14ac:dyDescent="0.25">
      <c r="A604" s="32" t="s">
        <v>2925</v>
      </c>
      <c r="B604" s="40">
        <v>45783</v>
      </c>
      <c r="C604" s="40">
        <v>45810.98909722222</v>
      </c>
      <c r="D604" s="28" t="s">
        <v>29</v>
      </c>
      <c r="E604" s="32" t="s">
        <v>46</v>
      </c>
      <c r="F604">
        <f t="shared" ca="1" si="19"/>
        <v>20</v>
      </c>
      <c r="G604" s="36" t="s">
        <v>31</v>
      </c>
      <c r="H604" s="37" t="s">
        <v>2892</v>
      </c>
      <c r="I604" s="32"/>
      <c r="J604" s="32"/>
      <c r="K604" s="32" t="s">
        <v>2061</v>
      </c>
      <c r="L604" s="33" t="s">
        <v>71</v>
      </c>
      <c r="M604" s="32" t="str">
        <f>VLOOKUP(Requests[[#This Row],[Ticket ID]],[2]Requests!$A$2:$D$649,4,FALSE)</f>
        <v>4 - Low</v>
      </c>
      <c r="N604">
        <f>VLOOKUP(Requests[[#This Row],[Priority]],'SLA Config'!$B$3:$C$6,2,FALSE)</f>
        <v>25</v>
      </c>
      <c r="O604" t="str">
        <f ca="1">IF(Requests[[#This Row],[Age (days)]]&gt;Requests[[#This Row],[SLA Threshold]],"Yes","No")</f>
        <v>No</v>
      </c>
    </row>
    <row r="605" spans="1:15" ht="15.75" hidden="1" x14ac:dyDescent="0.25">
      <c r="A605" s="32" t="s">
        <v>2926</v>
      </c>
      <c r="B605" s="40">
        <v>45783</v>
      </c>
      <c r="C605" s="40">
        <v>45791</v>
      </c>
      <c r="D605" s="32" t="s">
        <v>29</v>
      </c>
      <c r="E605" s="32" t="s">
        <v>1314</v>
      </c>
      <c r="F605">
        <f t="shared" ca="1" si="19"/>
        <v>7</v>
      </c>
      <c r="G605" s="36" t="s">
        <v>31</v>
      </c>
      <c r="H605" s="37" t="s">
        <v>2892</v>
      </c>
      <c r="I605" s="32"/>
      <c r="J605" s="32"/>
      <c r="K605" s="32" t="s">
        <v>2061</v>
      </c>
      <c r="L605" s="33" t="s">
        <v>71</v>
      </c>
      <c r="M605" s="32" t="str">
        <f>VLOOKUP(Requests[[#This Row],[Ticket ID]],[2]Requests!$A$2:$D$649,4,FALSE)</f>
        <v>4 - Low</v>
      </c>
      <c r="N605">
        <f>VLOOKUP(Requests[[#This Row],[Priority]],'SLA Config'!$B$3:$C$6,2,FALSE)</f>
        <v>25</v>
      </c>
      <c r="O605" t="str">
        <f ca="1">IF(Requests[[#This Row],[Age (days)]]&gt;Requests[[#This Row],[SLA Threshold]],"Yes","No")</f>
        <v>No</v>
      </c>
    </row>
    <row r="606" spans="1:15" ht="15.75" hidden="1" x14ac:dyDescent="0.25">
      <c r="A606" s="32" t="s">
        <v>2927</v>
      </c>
      <c r="B606" s="40">
        <v>45783</v>
      </c>
      <c r="C606" s="40">
        <v>45791</v>
      </c>
      <c r="D606" s="32" t="s">
        <v>29</v>
      </c>
      <c r="E606" s="32" t="s">
        <v>324</v>
      </c>
      <c r="F606">
        <f t="shared" ca="1" si="19"/>
        <v>7</v>
      </c>
      <c r="G606" s="36" t="s">
        <v>31</v>
      </c>
      <c r="H606" s="37" t="s">
        <v>2892</v>
      </c>
      <c r="I606" s="32"/>
      <c r="J606" s="32"/>
      <c r="K606" s="32" t="s">
        <v>2061</v>
      </c>
      <c r="L606" s="33" t="s">
        <v>71</v>
      </c>
      <c r="M606" s="32" t="str">
        <f>VLOOKUP(Requests[[#This Row],[Ticket ID]],[2]Requests!$A$2:$D$649,4,FALSE)</f>
        <v>4 - Low</v>
      </c>
      <c r="N606">
        <f>VLOOKUP(Requests[[#This Row],[Priority]],'SLA Config'!$B$3:$C$6,2,FALSE)</f>
        <v>25</v>
      </c>
      <c r="O606" t="str">
        <f ca="1">IF(Requests[[#This Row],[Age (days)]]&gt;Requests[[#This Row],[SLA Threshold]],"Yes","No")</f>
        <v>No</v>
      </c>
    </row>
    <row r="607" spans="1:15" ht="15.75" hidden="1" x14ac:dyDescent="0.25">
      <c r="A607" s="32" t="s">
        <v>2928</v>
      </c>
      <c r="B607" s="40">
        <v>45783</v>
      </c>
      <c r="C607" s="40">
        <v>45791</v>
      </c>
      <c r="D607" s="32" t="s">
        <v>29</v>
      </c>
      <c r="E607" s="32" t="s">
        <v>324</v>
      </c>
      <c r="F607">
        <f t="shared" ca="1" si="19"/>
        <v>7</v>
      </c>
      <c r="G607" s="36" t="s">
        <v>31</v>
      </c>
      <c r="H607" s="37" t="s">
        <v>2892</v>
      </c>
      <c r="I607" s="32"/>
      <c r="J607" s="32"/>
      <c r="K607" s="32" t="s">
        <v>2061</v>
      </c>
      <c r="L607" s="33" t="s">
        <v>71</v>
      </c>
      <c r="M607" s="32" t="str">
        <f>VLOOKUP(Requests[[#This Row],[Ticket ID]],[2]Requests!$A$2:$D$649,4,FALSE)</f>
        <v>4 - Low</v>
      </c>
      <c r="N607">
        <f>VLOOKUP(Requests[[#This Row],[Priority]],'SLA Config'!$B$3:$C$6,2,FALSE)</f>
        <v>25</v>
      </c>
      <c r="O607" t="str">
        <f ca="1">IF(Requests[[#This Row],[Age (days)]]&gt;Requests[[#This Row],[SLA Threshold]],"Yes","No")</f>
        <v>No</v>
      </c>
    </row>
    <row r="608" spans="1:15" ht="15.75" hidden="1" x14ac:dyDescent="0.25">
      <c r="A608" s="32" t="s">
        <v>2929</v>
      </c>
      <c r="B608" s="40">
        <v>45783</v>
      </c>
      <c r="C608" s="40">
        <v>45791</v>
      </c>
      <c r="D608" s="32" t="s">
        <v>29</v>
      </c>
      <c r="E608" s="32" t="s">
        <v>1314</v>
      </c>
      <c r="F608">
        <f t="shared" ca="1" si="19"/>
        <v>7</v>
      </c>
      <c r="G608" s="36" t="s">
        <v>31</v>
      </c>
      <c r="H608" s="37" t="s">
        <v>2892</v>
      </c>
      <c r="I608" s="32"/>
      <c r="J608" s="32"/>
      <c r="K608" s="32" t="s">
        <v>2061</v>
      </c>
      <c r="L608" s="33" t="s">
        <v>71</v>
      </c>
      <c r="M608" s="32" t="str">
        <f>VLOOKUP(Requests[[#This Row],[Ticket ID]],[2]Requests!$A$2:$D$649,4,FALSE)</f>
        <v>4 - Low</v>
      </c>
      <c r="N608">
        <f>VLOOKUP(Requests[[#This Row],[Priority]],'SLA Config'!$B$3:$C$6,2,FALSE)</f>
        <v>25</v>
      </c>
      <c r="O608" t="str">
        <f ca="1">IF(Requests[[#This Row],[Age (days)]]&gt;Requests[[#This Row],[SLA Threshold]],"Yes","No")</f>
        <v>No</v>
      </c>
    </row>
    <row r="609" spans="1:15" ht="15.75" hidden="1" x14ac:dyDescent="0.25">
      <c r="A609" s="32" t="s">
        <v>2930</v>
      </c>
      <c r="B609" s="40">
        <v>45783</v>
      </c>
      <c r="C609" s="40">
        <v>45791</v>
      </c>
      <c r="D609" s="32" t="s">
        <v>29</v>
      </c>
      <c r="E609" s="32" t="s">
        <v>324</v>
      </c>
      <c r="F609">
        <f t="shared" ca="1" si="19"/>
        <v>7</v>
      </c>
      <c r="G609" s="36" t="s">
        <v>31</v>
      </c>
      <c r="H609" s="37" t="s">
        <v>2892</v>
      </c>
      <c r="I609" s="32"/>
      <c r="J609" s="32"/>
      <c r="K609" s="32" t="s">
        <v>2061</v>
      </c>
      <c r="L609" s="33" t="s">
        <v>71</v>
      </c>
      <c r="M609" s="32" t="str">
        <f>VLOOKUP(Requests[[#This Row],[Ticket ID]],[2]Requests!$A$2:$D$649,4,FALSE)</f>
        <v>4 - Low</v>
      </c>
      <c r="N609">
        <f>VLOOKUP(Requests[[#This Row],[Priority]],'SLA Config'!$B$3:$C$6,2,FALSE)</f>
        <v>25</v>
      </c>
      <c r="O609" t="str">
        <f ca="1">IF(Requests[[#This Row],[Age (days)]]&gt;Requests[[#This Row],[SLA Threshold]],"Yes","No")</f>
        <v>No</v>
      </c>
    </row>
    <row r="610" spans="1:15" ht="15.75" hidden="1" x14ac:dyDescent="0.25">
      <c r="A610" s="32" t="s">
        <v>2931</v>
      </c>
      <c r="B610" s="40">
        <v>45783</v>
      </c>
      <c r="C610" s="40">
        <v>45791</v>
      </c>
      <c r="D610" s="32" t="s">
        <v>29</v>
      </c>
      <c r="E610" s="32" t="s">
        <v>1314</v>
      </c>
      <c r="F610">
        <f t="shared" ca="1" si="19"/>
        <v>7</v>
      </c>
      <c r="G610" s="36" t="s">
        <v>31</v>
      </c>
      <c r="H610" s="37" t="s">
        <v>2892</v>
      </c>
      <c r="I610" s="32"/>
      <c r="J610" s="32"/>
      <c r="K610" s="32" t="s">
        <v>2061</v>
      </c>
      <c r="L610" s="33" t="s">
        <v>71</v>
      </c>
      <c r="M610" s="32" t="str">
        <f>VLOOKUP(Requests[[#This Row],[Ticket ID]],[2]Requests!$A$2:$D$649,4,FALSE)</f>
        <v>4 - Low</v>
      </c>
      <c r="N610">
        <f>VLOOKUP(Requests[[#This Row],[Priority]],'SLA Config'!$B$3:$C$6,2,FALSE)</f>
        <v>25</v>
      </c>
      <c r="O610" t="str">
        <f ca="1">IF(Requests[[#This Row],[Age (days)]]&gt;Requests[[#This Row],[SLA Threshold]],"Yes","No")</f>
        <v>No</v>
      </c>
    </row>
    <row r="611" spans="1:15" ht="15.75" hidden="1" x14ac:dyDescent="0.25">
      <c r="A611" s="32" t="s">
        <v>2932</v>
      </c>
      <c r="B611" s="40">
        <v>45783</v>
      </c>
      <c r="C611" s="40">
        <v>45791</v>
      </c>
      <c r="D611" s="32" t="s">
        <v>29</v>
      </c>
      <c r="E611" s="32" t="s">
        <v>1314</v>
      </c>
      <c r="F611">
        <f t="shared" ca="1" si="19"/>
        <v>7</v>
      </c>
      <c r="G611" s="36" t="s">
        <v>31</v>
      </c>
      <c r="H611" s="37" t="s">
        <v>2892</v>
      </c>
      <c r="I611" s="32"/>
      <c r="J611" s="32"/>
      <c r="K611" s="32" t="s">
        <v>2061</v>
      </c>
      <c r="L611" s="33" t="s">
        <v>71</v>
      </c>
      <c r="M611" s="32" t="str">
        <f>VLOOKUP(Requests[[#This Row],[Ticket ID]],[2]Requests!$A$2:$D$649,4,FALSE)</f>
        <v>4 - Low</v>
      </c>
      <c r="N611">
        <f>VLOOKUP(Requests[[#This Row],[Priority]],'SLA Config'!$B$3:$C$6,2,FALSE)</f>
        <v>25</v>
      </c>
      <c r="O611" t="str">
        <f ca="1">IF(Requests[[#This Row],[Age (days)]]&gt;Requests[[#This Row],[SLA Threshold]],"Yes","No")</f>
        <v>No</v>
      </c>
    </row>
    <row r="612" spans="1:15" ht="15.75" x14ac:dyDescent="0.25">
      <c r="A612" s="32" t="s">
        <v>2933</v>
      </c>
      <c r="B612" s="40">
        <v>45783</v>
      </c>
      <c r="C612" s="40">
        <v>45810.988159722219</v>
      </c>
      <c r="D612" s="28" t="s">
        <v>29</v>
      </c>
      <c r="E612" s="32" t="s">
        <v>46</v>
      </c>
      <c r="F612">
        <f t="shared" ca="1" si="19"/>
        <v>20</v>
      </c>
      <c r="G612" s="36" t="s">
        <v>31</v>
      </c>
      <c r="H612" s="37" t="s">
        <v>2892</v>
      </c>
      <c r="I612" s="32"/>
      <c r="J612" s="32"/>
      <c r="K612" s="32" t="s">
        <v>2061</v>
      </c>
      <c r="L612" s="33" t="s">
        <v>71</v>
      </c>
      <c r="M612" s="32" t="str">
        <f>VLOOKUP(Requests[[#This Row],[Ticket ID]],[2]Requests!$A$2:$D$649,4,FALSE)</f>
        <v>4 - Low</v>
      </c>
      <c r="N612">
        <f>VLOOKUP(Requests[[#This Row],[Priority]],'SLA Config'!$B$3:$C$6,2,FALSE)</f>
        <v>25</v>
      </c>
      <c r="O612" t="str">
        <f ca="1">IF(Requests[[#This Row],[Age (days)]]&gt;Requests[[#This Row],[SLA Threshold]],"Yes","No")</f>
        <v>No</v>
      </c>
    </row>
    <row r="613" spans="1:15" ht="15.75" x14ac:dyDescent="0.25">
      <c r="A613" s="32" t="s">
        <v>2934</v>
      </c>
      <c r="B613" s="40">
        <v>45783</v>
      </c>
      <c r="C613" s="40">
        <v>45810.989120370374</v>
      </c>
      <c r="D613" s="28" t="s">
        <v>29</v>
      </c>
      <c r="E613" s="32" t="s">
        <v>46</v>
      </c>
      <c r="F613">
        <f t="shared" ca="1" si="19"/>
        <v>20</v>
      </c>
      <c r="G613" s="36" t="s">
        <v>31</v>
      </c>
      <c r="H613" s="37" t="s">
        <v>2892</v>
      </c>
      <c r="I613" s="32"/>
      <c r="J613" s="32"/>
      <c r="K613" s="32" t="s">
        <v>2061</v>
      </c>
      <c r="L613" s="33" t="s">
        <v>71</v>
      </c>
      <c r="M613" s="32" t="str">
        <f>VLOOKUP(Requests[[#This Row],[Ticket ID]],[2]Requests!$A$2:$D$649,4,FALSE)</f>
        <v>4 - Low</v>
      </c>
      <c r="N613">
        <f>VLOOKUP(Requests[[#This Row],[Priority]],'SLA Config'!$B$3:$C$6,2,FALSE)</f>
        <v>25</v>
      </c>
      <c r="O613" t="str">
        <f ca="1">IF(Requests[[#This Row],[Age (days)]]&gt;Requests[[#This Row],[SLA Threshold]],"Yes","No")</f>
        <v>No</v>
      </c>
    </row>
    <row r="614" spans="1:15" ht="30" hidden="1" x14ac:dyDescent="0.25">
      <c r="A614" s="32" t="s">
        <v>2935</v>
      </c>
      <c r="B614" s="40">
        <v>45784</v>
      </c>
      <c r="C614" s="40">
        <v>45795</v>
      </c>
      <c r="D614" s="32" t="s">
        <v>29</v>
      </c>
      <c r="E614" s="32" t="s">
        <v>1314</v>
      </c>
      <c r="F614">
        <f t="shared" ca="1" si="19"/>
        <v>8</v>
      </c>
      <c r="G614" s="36" t="s">
        <v>31</v>
      </c>
      <c r="H614" s="37" t="s">
        <v>2936</v>
      </c>
      <c r="I614" s="32"/>
      <c r="J614" s="32"/>
      <c r="K614" s="32" t="s">
        <v>1316</v>
      </c>
      <c r="L614" s="33" t="s">
        <v>36</v>
      </c>
      <c r="M614" s="32" t="str">
        <f>VLOOKUP(Requests[[#This Row],[Ticket ID]],[2]Requests!$A$2:$D$649,4,FALSE)</f>
        <v>4 - Low</v>
      </c>
      <c r="N614">
        <f>VLOOKUP(Requests[[#This Row],[Priority]],'SLA Config'!$B$3:$C$6,2,FALSE)</f>
        <v>25</v>
      </c>
      <c r="O614" t="str">
        <f ca="1">IF(Requests[[#This Row],[Age (days)]]&gt;Requests[[#This Row],[SLA Threshold]],"Yes","No")</f>
        <v>No</v>
      </c>
    </row>
    <row r="615" spans="1:15" ht="15.75" hidden="1" x14ac:dyDescent="0.25">
      <c r="A615" s="32" t="s">
        <v>2937</v>
      </c>
      <c r="B615" s="40">
        <v>45784</v>
      </c>
      <c r="C615" s="40">
        <v>45797</v>
      </c>
      <c r="D615" s="32" t="s">
        <v>29</v>
      </c>
      <c r="E615" s="32" t="s">
        <v>1314</v>
      </c>
      <c r="F615">
        <f t="shared" ca="1" si="19"/>
        <v>10</v>
      </c>
      <c r="G615" s="36" t="s">
        <v>31</v>
      </c>
      <c r="H615" s="37" t="s">
        <v>2938</v>
      </c>
      <c r="I615" s="32"/>
      <c r="J615" s="32"/>
      <c r="K615" s="32" t="s">
        <v>1316</v>
      </c>
      <c r="L615" s="33" t="s">
        <v>36</v>
      </c>
      <c r="M615" s="32" t="str">
        <f>VLOOKUP(Requests[[#This Row],[Ticket ID]],[2]Requests!$A$2:$D$649,4,FALSE)</f>
        <v>4 - Low</v>
      </c>
      <c r="N615">
        <f>VLOOKUP(Requests[[#This Row],[Priority]],'SLA Config'!$B$3:$C$6,2,FALSE)</f>
        <v>25</v>
      </c>
      <c r="O615" t="str">
        <f ca="1">IF(Requests[[#This Row],[Age (days)]]&gt;Requests[[#This Row],[SLA Threshold]],"Yes","No")</f>
        <v>No</v>
      </c>
    </row>
    <row r="616" spans="1:15" ht="15.75" x14ac:dyDescent="0.25">
      <c r="A616" s="32" t="s">
        <v>2939</v>
      </c>
      <c r="B616" s="40">
        <v>45784</v>
      </c>
      <c r="C616" s="40"/>
      <c r="D616" s="28" t="s">
        <v>1567</v>
      </c>
      <c r="E616" s="32" t="s">
        <v>46</v>
      </c>
      <c r="F616">
        <f t="shared" ca="1" si="19"/>
        <v>238</v>
      </c>
      <c r="G616" s="36" t="s">
        <v>31</v>
      </c>
      <c r="H616" s="37" t="s">
        <v>2940</v>
      </c>
      <c r="I616" s="32"/>
      <c r="J616" s="32"/>
      <c r="K616" s="32" t="s">
        <v>201</v>
      </c>
      <c r="L616" s="33" t="s">
        <v>120</v>
      </c>
      <c r="M616" s="32" t="str">
        <f>VLOOKUP(Requests[[#This Row],[Ticket ID]],[2]Requests!$A$2:$D$649,4,FALSE)</f>
        <v>4 - Low</v>
      </c>
      <c r="N616">
        <f>VLOOKUP(Requests[[#This Row],[Priority]],'SLA Config'!$B$3:$C$6,2,FALSE)</f>
        <v>25</v>
      </c>
      <c r="O616" t="str">
        <f ca="1">IF(Requests[[#This Row],[Age (days)]]&gt;Requests[[#This Row],[SLA Threshold]],"Yes","No")</f>
        <v>Yes</v>
      </c>
    </row>
    <row r="617" spans="1:15" ht="15.75" hidden="1" x14ac:dyDescent="0.25">
      <c r="A617" s="32" t="s">
        <v>2941</v>
      </c>
      <c r="B617" s="40">
        <v>45784</v>
      </c>
      <c r="C617" s="40">
        <v>45795</v>
      </c>
      <c r="D617" s="32" t="s">
        <v>29</v>
      </c>
      <c r="E617" s="32" t="s">
        <v>1314</v>
      </c>
      <c r="F617">
        <f t="shared" ca="1" si="19"/>
        <v>8</v>
      </c>
      <c r="G617" s="36" t="s">
        <v>31</v>
      </c>
      <c r="H617" s="37" t="s">
        <v>2942</v>
      </c>
      <c r="I617" s="32"/>
      <c r="J617" s="32"/>
      <c r="K617" s="32" t="s">
        <v>1316</v>
      </c>
      <c r="L617" s="33" t="s">
        <v>36</v>
      </c>
      <c r="M617" s="32" t="str">
        <f>VLOOKUP(Requests[[#This Row],[Ticket ID]],[2]Requests!$A$2:$D$649,4,FALSE)</f>
        <v>4 - Low</v>
      </c>
      <c r="N617">
        <f>VLOOKUP(Requests[[#This Row],[Priority]],'SLA Config'!$B$3:$C$6,2,FALSE)</f>
        <v>25</v>
      </c>
      <c r="O617" t="str">
        <f ca="1">IF(Requests[[#This Row],[Age (days)]]&gt;Requests[[#This Row],[SLA Threshold]],"Yes","No")</f>
        <v>No</v>
      </c>
    </row>
    <row r="618" spans="1:15" ht="15.75" hidden="1" x14ac:dyDescent="0.25">
      <c r="A618" s="32" t="s">
        <v>2943</v>
      </c>
      <c r="B618" s="40">
        <v>45786</v>
      </c>
      <c r="C618" s="40">
        <v>45809</v>
      </c>
      <c r="D618" s="32" t="s">
        <v>29</v>
      </c>
      <c r="E618" s="32" t="s">
        <v>532</v>
      </c>
      <c r="F618">
        <f t="shared" ca="1" si="19"/>
        <v>16</v>
      </c>
      <c r="G618" s="36" t="s">
        <v>31</v>
      </c>
      <c r="H618" s="37" t="s">
        <v>2944</v>
      </c>
      <c r="I618" s="32"/>
      <c r="J618" s="32"/>
      <c r="K618" s="32" t="s">
        <v>215</v>
      </c>
      <c r="L618" s="33" t="s">
        <v>120</v>
      </c>
      <c r="M618" s="32" t="str">
        <f>VLOOKUP(Requests[[#This Row],[Ticket ID]],[2]Requests!$A$2:$D$649,4,FALSE)</f>
        <v>3 - Medium</v>
      </c>
      <c r="N618">
        <f>VLOOKUP(Requests[[#This Row],[Priority]],'SLA Config'!$B$3:$C$6,2,FALSE)</f>
        <v>15</v>
      </c>
      <c r="O618" t="str">
        <f ca="1">IF(Requests[[#This Row],[Age (days)]]&gt;Requests[[#This Row],[SLA Threshold]],"Yes","No")</f>
        <v>Yes</v>
      </c>
    </row>
    <row r="619" spans="1:15" ht="15.75" x14ac:dyDescent="0.25">
      <c r="A619" s="32" t="s">
        <v>2945</v>
      </c>
      <c r="B619" s="40">
        <v>45790</v>
      </c>
      <c r="C619" s="40">
        <v>45808</v>
      </c>
      <c r="D619" s="32" t="s">
        <v>29</v>
      </c>
      <c r="E619" s="32" t="s">
        <v>46</v>
      </c>
      <c r="F619">
        <f t="shared" ca="1" si="19"/>
        <v>14</v>
      </c>
      <c r="G619" s="36" t="s">
        <v>31</v>
      </c>
      <c r="H619" s="37" t="s">
        <v>2946</v>
      </c>
      <c r="I619" s="32"/>
      <c r="J619" s="32"/>
      <c r="K619" s="32" t="s">
        <v>35</v>
      </c>
      <c r="L619" s="33" t="s">
        <v>36</v>
      </c>
      <c r="M619" s="32" t="str">
        <f>VLOOKUP(Requests[[#This Row],[Ticket ID]],[2]Requests!$A$2:$D$649,4,FALSE)</f>
        <v>4 - Low</v>
      </c>
      <c r="N619">
        <f>VLOOKUP(Requests[[#This Row],[Priority]],'SLA Config'!$B$3:$C$6,2,FALSE)</f>
        <v>25</v>
      </c>
      <c r="O619" t="str">
        <f ca="1">IF(Requests[[#This Row],[Age (days)]]&gt;Requests[[#This Row],[SLA Threshold]],"Yes","No")</f>
        <v>No</v>
      </c>
    </row>
    <row r="620" spans="1:15" ht="15.75" hidden="1" x14ac:dyDescent="0.25">
      <c r="A620" s="32" t="s">
        <v>2947</v>
      </c>
      <c r="B620" s="40">
        <v>45790</v>
      </c>
      <c r="C620" s="40">
        <v>45797</v>
      </c>
      <c r="D620" s="32" t="s">
        <v>29</v>
      </c>
      <c r="E620" s="32" t="s">
        <v>1314</v>
      </c>
      <c r="F620">
        <f t="shared" ca="1" si="19"/>
        <v>6</v>
      </c>
      <c r="G620" s="36" t="s">
        <v>31</v>
      </c>
      <c r="H620" s="37" t="s">
        <v>2948</v>
      </c>
      <c r="I620" s="32"/>
      <c r="J620" s="32"/>
      <c r="K620" s="32" t="s">
        <v>1316</v>
      </c>
      <c r="L620" s="33" t="s">
        <v>36</v>
      </c>
      <c r="M620" s="32" t="str">
        <f>VLOOKUP(Requests[[#This Row],[Ticket ID]],[2]Requests!$A$2:$D$649,4,FALSE)</f>
        <v>4 - Low</v>
      </c>
      <c r="N620">
        <f>VLOOKUP(Requests[[#This Row],[Priority]],'SLA Config'!$B$3:$C$6,2,FALSE)</f>
        <v>25</v>
      </c>
      <c r="O620" t="str">
        <f ca="1">IF(Requests[[#This Row],[Age (days)]]&gt;Requests[[#This Row],[SLA Threshold]],"Yes","No")</f>
        <v>No</v>
      </c>
    </row>
    <row r="621" spans="1:15" ht="15.75" hidden="1" x14ac:dyDescent="0.25">
      <c r="A621" s="32" t="s">
        <v>2949</v>
      </c>
      <c r="B621" s="40">
        <v>45790</v>
      </c>
      <c r="C621" s="40">
        <v>45810</v>
      </c>
      <c r="D621" s="32" t="s">
        <v>29</v>
      </c>
      <c r="E621" s="32" t="s">
        <v>324</v>
      </c>
      <c r="F621">
        <f t="shared" ca="1" si="19"/>
        <v>15</v>
      </c>
      <c r="G621" s="36" t="s">
        <v>31</v>
      </c>
      <c r="H621" s="37" t="s">
        <v>2950</v>
      </c>
      <c r="I621" s="32"/>
      <c r="J621" s="32"/>
      <c r="K621" s="32" t="s">
        <v>215</v>
      </c>
      <c r="L621" s="33" t="s">
        <v>120</v>
      </c>
      <c r="M621" s="32" t="str">
        <f>VLOOKUP(Requests[[#This Row],[Ticket ID]],[2]Requests!$A$2:$D$649,4,FALSE)</f>
        <v>4 - Low</v>
      </c>
      <c r="N621">
        <f>VLOOKUP(Requests[[#This Row],[Priority]],'SLA Config'!$B$3:$C$6,2,FALSE)</f>
        <v>25</v>
      </c>
      <c r="O621" t="str">
        <f ca="1">IF(Requests[[#This Row],[Age (days)]]&gt;Requests[[#This Row],[SLA Threshold]],"Yes","No")</f>
        <v>No</v>
      </c>
    </row>
    <row r="622" spans="1:15" ht="15.75" x14ac:dyDescent="0.25">
      <c r="A622" s="32" t="s">
        <v>2951</v>
      </c>
      <c r="B622" s="40">
        <v>45791</v>
      </c>
      <c r="C622" s="40">
        <v>45808</v>
      </c>
      <c r="D622" s="32" t="s">
        <v>29</v>
      </c>
      <c r="E622" s="32" t="s">
        <v>46</v>
      </c>
      <c r="F622">
        <f t="shared" ca="1" si="19"/>
        <v>13</v>
      </c>
      <c r="G622" s="36" t="s">
        <v>51</v>
      </c>
      <c r="H622" s="37" t="s">
        <v>2952</v>
      </c>
      <c r="I622" s="32"/>
      <c r="J622" s="32"/>
      <c r="K622" s="32" t="s">
        <v>119</v>
      </c>
      <c r="L622" s="33" t="s">
        <v>120</v>
      </c>
      <c r="M622" s="32" t="str">
        <f>VLOOKUP(Requests[[#This Row],[Ticket ID]],[2]Requests!$A$2:$D$649,4,FALSE)</f>
        <v>4 - Low</v>
      </c>
      <c r="N622">
        <f>VLOOKUP(Requests[[#This Row],[Priority]],'SLA Config'!$B$3:$C$6,2,FALSE)</f>
        <v>25</v>
      </c>
      <c r="O622" t="str">
        <f ca="1">IF(Requests[[#This Row],[Age (days)]]&gt;Requests[[#This Row],[SLA Threshold]],"Yes","No")</f>
        <v>No</v>
      </c>
    </row>
    <row r="623" spans="1:15" ht="15.75" hidden="1" x14ac:dyDescent="0.25">
      <c r="A623" s="32" t="s">
        <v>2953</v>
      </c>
      <c r="B623" s="40">
        <v>45792</v>
      </c>
      <c r="C623" s="40">
        <v>45803</v>
      </c>
      <c r="D623" s="32" t="s">
        <v>29</v>
      </c>
      <c r="E623" s="32" t="s">
        <v>1314</v>
      </c>
      <c r="F623">
        <f t="shared" ca="1" si="19"/>
        <v>8</v>
      </c>
      <c r="G623" s="36" t="s">
        <v>31</v>
      </c>
      <c r="H623" s="37" t="s">
        <v>2954</v>
      </c>
      <c r="I623" s="32"/>
      <c r="J623" s="32"/>
      <c r="K623" s="32" t="s">
        <v>1316</v>
      </c>
      <c r="L623" s="33" t="s">
        <v>36</v>
      </c>
      <c r="M623" s="32" t="str">
        <f>VLOOKUP(Requests[[#This Row],[Ticket ID]],[2]Requests!$A$2:$D$649,4,FALSE)</f>
        <v>4 - Low</v>
      </c>
      <c r="N623">
        <f>VLOOKUP(Requests[[#This Row],[Priority]],'SLA Config'!$B$3:$C$6,2,FALSE)</f>
        <v>25</v>
      </c>
      <c r="O623" t="str">
        <f ca="1">IF(Requests[[#This Row],[Age (days)]]&gt;Requests[[#This Row],[SLA Threshold]],"Yes","No")</f>
        <v>No</v>
      </c>
    </row>
    <row r="624" spans="1:15" ht="15.75" hidden="1" x14ac:dyDescent="0.25">
      <c r="A624" s="32" t="s">
        <v>2955</v>
      </c>
      <c r="B624" s="40">
        <v>45792</v>
      </c>
      <c r="C624" s="40">
        <v>45803</v>
      </c>
      <c r="D624" s="32" t="s">
        <v>29</v>
      </c>
      <c r="E624" s="32" t="s">
        <v>1314</v>
      </c>
      <c r="F624">
        <f t="shared" ca="1" si="19"/>
        <v>8</v>
      </c>
      <c r="G624" s="36" t="s">
        <v>31</v>
      </c>
      <c r="H624" s="37" t="s">
        <v>2956</v>
      </c>
      <c r="I624" s="32"/>
      <c r="J624" s="32"/>
      <c r="K624" s="32" t="s">
        <v>1316</v>
      </c>
      <c r="L624" s="33" t="s">
        <v>36</v>
      </c>
      <c r="M624" s="32" t="str">
        <f>VLOOKUP(Requests[[#This Row],[Ticket ID]],[2]Requests!$A$2:$D$649,4,FALSE)</f>
        <v>4 - Low</v>
      </c>
      <c r="N624">
        <f>VLOOKUP(Requests[[#This Row],[Priority]],'SLA Config'!$B$3:$C$6,2,FALSE)</f>
        <v>25</v>
      </c>
      <c r="O624" t="str">
        <f ca="1">IF(Requests[[#This Row],[Age (days)]]&gt;Requests[[#This Row],[SLA Threshold]],"Yes","No")</f>
        <v>No</v>
      </c>
    </row>
    <row r="625" spans="1:15" ht="15.75" hidden="1" x14ac:dyDescent="0.25">
      <c r="A625" s="32" t="s">
        <v>2957</v>
      </c>
      <c r="B625" s="40">
        <v>45793</v>
      </c>
      <c r="C625" s="40">
        <v>45808</v>
      </c>
      <c r="D625" s="32" t="s">
        <v>29</v>
      </c>
      <c r="E625" s="32" t="s">
        <v>1314</v>
      </c>
      <c r="F625">
        <f t="shared" ca="1" si="19"/>
        <v>11</v>
      </c>
      <c r="G625" s="36" t="s">
        <v>31</v>
      </c>
      <c r="H625" s="37" t="s">
        <v>2958</v>
      </c>
      <c r="I625" s="32"/>
      <c r="J625" s="32"/>
      <c r="K625" s="32" t="s">
        <v>1316</v>
      </c>
      <c r="L625" s="33" t="s">
        <v>36</v>
      </c>
      <c r="M625" s="32" t="str">
        <f>VLOOKUP(Requests[[#This Row],[Ticket ID]],[2]Requests!$A$2:$D$649,4,FALSE)</f>
        <v>4 - Low</v>
      </c>
      <c r="N625">
        <f>VLOOKUP(Requests[[#This Row],[Priority]],'SLA Config'!$B$3:$C$6,2,FALSE)</f>
        <v>25</v>
      </c>
      <c r="O625" t="str">
        <f ca="1">IF(Requests[[#This Row],[Age (days)]]&gt;Requests[[#This Row],[SLA Threshold]],"Yes","No")</f>
        <v>No</v>
      </c>
    </row>
    <row r="626" spans="1:15" ht="30" hidden="1" x14ac:dyDescent="0.25">
      <c r="A626" s="32" t="s">
        <v>2959</v>
      </c>
      <c r="B626" s="40">
        <v>45794</v>
      </c>
      <c r="C626" s="40">
        <v>45823.073784722219</v>
      </c>
      <c r="D626" s="28" t="s">
        <v>29</v>
      </c>
      <c r="E626" s="32" t="s">
        <v>38</v>
      </c>
      <c r="F626">
        <f t="shared" ca="1" si="19"/>
        <v>20</v>
      </c>
      <c r="G626" s="36" t="s">
        <v>2583</v>
      </c>
      <c r="H626" s="37" t="s">
        <v>1692</v>
      </c>
      <c r="I626" s="32"/>
      <c r="J626" s="32"/>
      <c r="K626" s="32" t="s">
        <v>1695</v>
      </c>
      <c r="L626" s="33" t="s">
        <v>71</v>
      </c>
      <c r="M626" s="32" t="str">
        <f>VLOOKUP(Requests[[#This Row],[Ticket ID]],[2]Requests!$A$2:$D$649,4,FALSE)</f>
        <v>4 - Low</v>
      </c>
      <c r="N626">
        <f>VLOOKUP(Requests[[#This Row],[Priority]],'SLA Config'!$B$3:$C$6,2,FALSE)</f>
        <v>25</v>
      </c>
      <c r="O626" t="str">
        <f ca="1">IF(Requests[[#This Row],[Age (days)]]&gt;Requests[[#This Row],[SLA Threshold]],"Yes","No")</f>
        <v>No</v>
      </c>
    </row>
    <row r="627" spans="1:15" ht="15.75" x14ac:dyDescent="0.25">
      <c r="A627" s="32" t="s">
        <v>2960</v>
      </c>
      <c r="B627" s="40">
        <v>45797</v>
      </c>
      <c r="C627" s="40">
        <v>45808</v>
      </c>
      <c r="D627" s="32" t="s">
        <v>29</v>
      </c>
      <c r="E627" s="32" t="s">
        <v>46</v>
      </c>
      <c r="F627">
        <f t="shared" ca="1" si="19"/>
        <v>9</v>
      </c>
      <c r="G627" s="36" t="s">
        <v>51</v>
      </c>
      <c r="H627" s="37" t="s">
        <v>1735</v>
      </c>
      <c r="I627" s="32"/>
      <c r="J627" s="32"/>
      <c r="K627" s="32" t="s">
        <v>119</v>
      </c>
      <c r="L627" s="33" t="s">
        <v>120</v>
      </c>
      <c r="M627" s="32" t="str">
        <f>VLOOKUP(Requests[[#This Row],[Ticket ID]],[2]Requests!$A$2:$D$649,4,FALSE)</f>
        <v>4 - Low</v>
      </c>
      <c r="N627">
        <f>VLOOKUP(Requests[[#This Row],[Priority]],'SLA Config'!$B$3:$C$6,2,FALSE)</f>
        <v>25</v>
      </c>
      <c r="O627" t="str">
        <f ca="1">IF(Requests[[#This Row],[Age (days)]]&gt;Requests[[#This Row],[SLA Threshold]],"Yes","No")</f>
        <v>No</v>
      </c>
    </row>
    <row r="628" spans="1:15" ht="15.75" x14ac:dyDescent="0.25">
      <c r="A628" s="32" t="s">
        <v>2961</v>
      </c>
      <c r="B628" s="40">
        <v>45797</v>
      </c>
      <c r="C628" s="40">
        <v>45839.09747685185</v>
      </c>
      <c r="D628" s="28" t="s">
        <v>29</v>
      </c>
      <c r="E628" s="32" t="s">
        <v>46</v>
      </c>
      <c r="F628">
        <f t="shared" ca="1" si="19"/>
        <v>31</v>
      </c>
      <c r="G628" s="36" t="s">
        <v>31</v>
      </c>
      <c r="H628" s="37" t="s">
        <v>2962</v>
      </c>
      <c r="I628" s="32"/>
      <c r="J628" s="32"/>
      <c r="K628" s="32" t="s">
        <v>2868</v>
      </c>
      <c r="L628" s="33" t="s">
        <v>120</v>
      </c>
      <c r="M628" s="32" t="str">
        <f>VLOOKUP(Requests[[#This Row],[Ticket ID]],[2]Requests!$A$2:$D$649,4,FALSE)</f>
        <v>4 - Low</v>
      </c>
      <c r="N628">
        <f>VLOOKUP(Requests[[#This Row],[Priority]],'SLA Config'!$B$3:$C$6,2,FALSE)</f>
        <v>25</v>
      </c>
      <c r="O628" t="str">
        <f ca="1">IF(Requests[[#This Row],[Age (days)]]&gt;Requests[[#This Row],[SLA Threshold]],"Yes","No")</f>
        <v>Yes</v>
      </c>
    </row>
    <row r="629" spans="1:15" ht="15.75" hidden="1" x14ac:dyDescent="0.25">
      <c r="A629" s="32" t="s">
        <v>2963</v>
      </c>
      <c r="B629" s="40">
        <v>45798</v>
      </c>
      <c r="C629" s="40">
        <v>45808</v>
      </c>
      <c r="D629" s="32" t="s">
        <v>29</v>
      </c>
      <c r="E629" s="32" t="s">
        <v>1314</v>
      </c>
      <c r="F629">
        <f t="shared" ca="1" si="19"/>
        <v>8</v>
      </c>
      <c r="G629" s="36" t="s">
        <v>31</v>
      </c>
      <c r="H629" s="37" t="s">
        <v>2964</v>
      </c>
      <c r="I629" s="32"/>
      <c r="J629" s="32"/>
      <c r="K629" s="32" t="s">
        <v>1316</v>
      </c>
      <c r="L629" s="33" t="s">
        <v>36</v>
      </c>
      <c r="M629" s="32" t="str">
        <f>VLOOKUP(Requests[[#This Row],[Ticket ID]],[2]Requests!$A$2:$D$649,4,FALSE)</f>
        <v>4 - Low</v>
      </c>
      <c r="N629">
        <f>VLOOKUP(Requests[[#This Row],[Priority]],'SLA Config'!$B$3:$C$6,2,FALSE)</f>
        <v>25</v>
      </c>
      <c r="O629" t="str">
        <f ca="1">IF(Requests[[#This Row],[Age (days)]]&gt;Requests[[#This Row],[SLA Threshold]],"Yes","No")</f>
        <v>No</v>
      </c>
    </row>
    <row r="630" spans="1:15" ht="15.75" hidden="1" x14ac:dyDescent="0.25">
      <c r="A630" s="32" t="s">
        <v>2965</v>
      </c>
      <c r="B630" s="40">
        <v>45799</v>
      </c>
      <c r="C630" s="40">
        <v>45808</v>
      </c>
      <c r="D630" s="32" t="s">
        <v>29</v>
      </c>
      <c r="E630" s="32" t="s">
        <v>1314</v>
      </c>
      <c r="F630">
        <f t="shared" ca="1" si="19"/>
        <v>7</v>
      </c>
      <c r="G630" s="36" t="s">
        <v>31</v>
      </c>
      <c r="H630" s="37" t="s">
        <v>2966</v>
      </c>
      <c r="I630" s="32"/>
      <c r="J630" s="32"/>
      <c r="K630" s="32" t="s">
        <v>1316</v>
      </c>
      <c r="L630" s="33" t="s">
        <v>36</v>
      </c>
      <c r="M630" s="32" t="str">
        <f>VLOOKUP(Requests[[#This Row],[Ticket ID]],[2]Requests!$A$2:$D$649,4,FALSE)</f>
        <v>4 - Low</v>
      </c>
      <c r="N630">
        <f>VLOOKUP(Requests[[#This Row],[Priority]],'SLA Config'!$B$3:$C$6,2,FALSE)</f>
        <v>25</v>
      </c>
      <c r="O630" t="str">
        <f ca="1">IF(Requests[[#This Row],[Age (days)]]&gt;Requests[[#This Row],[SLA Threshold]],"Yes","No")</f>
        <v>No</v>
      </c>
    </row>
    <row r="631" spans="1:15" ht="15.75" hidden="1" x14ac:dyDescent="0.25">
      <c r="A631" s="32" t="s">
        <v>2967</v>
      </c>
      <c r="B631" s="40">
        <v>45800</v>
      </c>
      <c r="C631" s="40">
        <v>45818.084687499999</v>
      </c>
      <c r="D631" s="28" t="s">
        <v>29</v>
      </c>
      <c r="E631" s="32" t="s">
        <v>30</v>
      </c>
      <c r="F631">
        <f t="shared" ca="1" si="19"/>
        <v>13</v>
      </c>
      <c r="G631" s="36" t="s">
        <v>2968</v>
      </c>
      <c r="H631" s="37" t="s">
        <v>2969</v>
      </c>
      <c r="I631" s="32"/>
      <c r="J631" s="32"/>
      <c r="K631" s="32" t="s">
        <v>2970</v>
      </c>
      <c r="L631" s="33" t="s">
        <v>120</v>
      </c>
      <c r="M631" s="32" t="str">
        <f>VLOOKUP(Requests[[#This Row],[Ticket ID]],[2]Requests!$A$2:$D$649,4,FALSE)</f>
        <v>4 - Low</v>
      </c>
      <c r="N631">
        <f>VLOOKUP(Requests[[#This Row],[Priority]],'SLA Config'!$B$3:$C$6,2,FALSE)</f>
        <v>25</v>
      </c>
      <c r="O631" t="str">
        <f ca="1">IF(Requests[[#This Row],[Age (days)]]&gt;Requests[[#This Row],[SLA Threshold]],"Yes","No")</f>
        <v>No</v>
      </c>
    </row>
    <row r="632" spans="1:15" ht="15.75" hidden="1" x14ac:dyDescent="0.25">
      <c r="A632" s="32" t="s">
        <v>2971</v>
      </c>
      <c r="B632" s="40">
        <v>45803</v>
      </c>
      <c r="C632" s="40">
        <v>45818.225486111114</v>
      </c>
      <c r="D632" s="28" t="s">
        <v>29</v>
      </c>
      <c r="E632" s="32" t="s">
        <v>1314</v>
      </c>
      <c r="F632">
        <f t="shared" ca="1" si="19"/>
        <v>12</v>
      </c>
      <c r="G632" s="36" t="s">
        <v>31</v>
      </c>
      <c r="H632" s="37" t="s">
        <v>2966</v>
      </c>
      <c r="I632" s="32"/>
      <c r="J632" s="32"/>
      <c r="K632" s="32" t="s">
        <v>1316</v>
      </c>
      <c r="L632" s="33" t="s">
        <v>36</v>
      </c>
      <c r="M632" s="32" t="str">
        <f>VLOOKUP(Requests[[#This Row],[Ticket ID]],[2]Requests!$A$2:$D$649,4,FALSE)</f>
        <v>4 - Low</v>
      </c>
      <c r="N632">
        <f>VLOOKUP(Requests[[#This Row],[Priority]],'SLA Config'!$B$3:$C$6,2,FALSE)</f>
        <v>25</v>
      </c>
      <c r="O632" t="str">
        <f ca="1">IF(Requests[[#This Row],[Age (days)]]&gt;Requests[[#This Row],[SLA Threshold]],"Yes","No")</f>
        <v>No</v>
      </c>
    </row>
    <row r="633" spans="1:15" ht="15.75" hidden="1" x14ac:dyDescent="0.25">
      <c r="A633" s="32" t="s">
        <v>2972</v>
      </c>
      <c r="B633" s="40">
        <v>45803</v>
      </c>
      <c r="C633" s="40">
        <v>45822.037233796298</v>
      </c>
      <c r="D633" s="28" t="s">
        <v>29</v>
      </c>
      <c r="E633" s="32" t="s">
        <v>532</v>
      </c>
      <c r="F633">
        <f t="shared" ca="1" si="19"/>
        <v>15</v>
      </c>
      <c r="G633" s="36" t="s">
        <v>31</v>
      </c>
      <c r="H633" s="37" t="s">
        <v>2973</v>
      </c>
      <c r="I633" s="32"/>
      <c r="J633" s="32"/>
      <c r="K633" s="32" t="s">
        <v>215</v>
      </c>
      <c r="L633" s="33" t="s">
        <v>120</v>
      </c>
      <c r="M633" s="32" t="str">
        <f>VLOOKUP(Requests[[#This Row],[Ticket ID]],[2]Requests!$A$2:$D$649,4,FALSE)</f>
        <v>3 - Medium</v>
      </c>
      <c r="N633">
        <f>VLOOKUP(Requests[[#This Row],[Priority]],'SLA Config'!$B$3:$C$6,2,FALSE)</f>
        <v>15</v>
      </c>
      <c r="O633" t="str">
        <f ca="1">IF(Requests[[#This Row],[Age (days)]]&gt;Requests[[#This Row],[SLA Threshold]],"Yes","No")</f>
        <v>No</v>
      </c>
    </row>
    <row r="634" spans="1:15" ht="15.75" x14ac:dyDescent="0.25">
      <c r="A634" s="32" t="s">
        <v>2974</v>
      </c>
      <c r="B634" s="40">
        <v>45803</v>
      </c>
      <c r="C634" s="40">
        <v>45817.97184027778</v>
      </c>
      <c r="D634" s="28" t="s">
        <v>29</v>
      </c>
      <c r="E634" s="32" t="s">
        <v>46</v>
      </c>
      <c r="F634">
        <f t="shared" ca="1" si="19"/>
        <v>11</v>
      </c>
      <c r="G634" s="36" t="s">
        <v>31</v>
      </c>
      <c r="H634" s="37" t="s">
        <v>2975</v>
      </c>
      <c r="I634" s="32"/>
      <c r="J634" s="32"/>
      <c r="K634" s="32" t="s">
        <v>236</v>
      </c>
      <c r="L634" s="33" t="s">
        <v>36</v>
      </c>
      <c r="M634" s="32" t="str">
        <f>VLOOKUP(Requests[[#This Row],[Ticket ID]],[2]Requests!$A$2:$D$649,4,FALSE)</f>
        <v>3 - Medium</v>
      </c>
      <c r="N634">
        <f>VLOOKUP(Requests[[#This Row],[Priority]],'SLA Config'!$B$3:$C$6,2,FALSE)</f>
        <v>15</v>
      </c>
      <c r="O634" t="str">
        <f ca="1">IF(Requests[[#This Row],[Age (days)]]&gt;Requests[[#This Row],[SLA Threshold]],"Yes","No")</f>
        <v>No</v>
      </c>
    </row>
    <row r="635" spans="1:15" ht="15.75" hidden="1" x14ac:dyDescent="0.25">
      <c r="A635" s="32" t="s">
        <v>2976</v>
      </c>
      <c r="B635" s="40">
        <v>45804</v>
      </c>
      <c r="C635" s="40">
        <v>45816.336678240739</v>
      </c>
      <c r="D635" s="28" t="s">
        <v>29</v>
      </c>
      <c r="E635" s="32" t="s">
        <v>1314</v>
      </c>
      <c r="F635">
        <f t="shared" ca="1" si="19"/>
        <v>9</v>
      </c>
      <c r="G635" s="36" t="s">
        <v>31</v>
      </c>
      <c r="H635" s="37" t="s">
        <v>2977</v>
      </c>
      <c r="I635" s="32"/>
      <c r="J635" s="32"/>
      <c r="K635" s="32" t="s">
        <v>1316</v>
      </c>
      <c r="L635" s="33" t="s">
        <v>36</v>
      </c>
      <c r="M635" s="32" t="str">
        <f>VLOOKUP(Requests[[#This Row],[Ticket ID]],[2]Requests!$A$2:$D$649,4,FALSE)</f>
        <v>4 - Low</v>
      </c>
      <c r="N635">
        <f>VLOOKUP(Requests[[#This Row],[Priority]],'SLA Config'!$B$3:$C$6,2,FALSE)</f>
        <v>25</v>
      </c>
      <c r="O635" t="str">
        <f ca="1">IF(Requests[[#This Row],[Age (days)]]&gt;Requests[[#This Row],[SLA Threshold]],"Yes","No")</f>
        <v>No</v>
      </c>
    </row>
    <row r="636" spans="1:15" ht="15.75" x14ac:dyDescent="0.25">
      <c r="A636" s="32" t="s">
        <v>2978</v>
      </c>
      <c r="B636" s="40">
        <v>45804</v>
      </c>
      <c r="C636" s="40">
        <v>45815.073634259257</v>
      </c>
      <c r="D636" s="28" t="s">
        <v>29</v>
      </c>
      <c r="E636" s="32" t="s">
        <v>46</v>
      </c>
      <c r="F636">
        <f t="shared" ca="1" si="19"/>
        <v>9</v>
      </c>
      <c r="G636" s="36" t="s">
        <v>486</v>
      </c>
      <c r="H636" s="37" t="s">
        <v>2979</v>
      </c>
      <c r="I636" s="32"/>
      <c r="J636" s="32"/>
      <c r="K636" s="32" t="s">
        <v>398</v>
      </c>
      <c r="L636" s="33" t="s">
        <v>71</v>
      </c>
      <c r="M636" s="32" t="str">
        <f>VLOOKUP(Requests[[#This Row],[Ticket ID]],[2]Requests!$A$2:$D$649,4,FALSE)</f>
        <v>4 - Low</v>
      </c>
      <c r="N636">
        <f>VLOOKUP(Requests[[#This Row],[Priority]],'SLA Config'!$B$3:$C$6,2,FALSE)</f>
        <v>25</v>
      </c>
      <c r="O636" t="str">
        <f ca="1">IF(Requests[[#This Row],[Age (days)]]&gt;Requests[[#This Row],[SLA Threshold]],"Yes","No")</f>
        <v>No</v>
      </c>
    </row>
    <row r="637" spans="1:15" ht="15.75" hidden="1" x14ac:dyDescent="0.25">
      <c r="A637" s="32" t="s">
        <v>2980</v>
      </c>
      <c r="B637" s="40">
        <v>45807</v>
      </c>
      <c r="C637" s="40">
        <v>45817.447430555556</v>
      </c>
      <c r="D637" s="28" t="s">
        <v>29</v>
      </c>
      <c r="E637" s="32" t="s">
        <v>1314</v>
      </c>
      <c r="F637">
        <f t="shared" ca="1" si="19"/>
        <v>7</v>
      </c>
      <c r="G637" s="36" t="s">
        <v>31</v>
      </c>
      <c r="H637" s="37" t="s">
        <v>2981</v>
      </c>
      <c r="I637" s="32"/>
      <c r="J637" s="32"/>
      <c r="K637" s="32" t="s">
        <v>1316</v>
      </c>
      <c r="L637" s="33" t="s">
        <v>36</v>
      </c>
      <c r="M637" s="32" t="str">
        <f>VLOOKUP(Requests[[#This Row],[Ticket ID]],[2]Requests!$A$2:$D$649,4,FALSE)</f>
        <v>4 - Low</v>
      </c>
      <c r="N637">
        <f>VLOOKUP(Requests[[#This Row],[Priority]],'SLA Config'!$B$3:$C$6,2,FALSE)</f>
        <v>25</v>
      </c>
      <c r="O637" t="str">
        <f ca="1">IF(Requests[[#This Row],[Age (days)]]&gt;Requests[[#This Row],[SLA Threshold]],"Yes","No")</f>
        <v>No</v>
      </c>
    </row>
    <row r="638" spans="1:15" x14ac:dyDescent="0.25">
      <c r="A638" t="s">
        <v>2982</v>
      </c>
      <c r="B638" s="8">
        <v>45811.05190972222</v>
      </c>
      <c r="C638" s="8">
        <v>45839.101898148147</v>
      </c>
      <c r="D638" t="s">
        <v>29</v>
      </c>
      <c r="E638" t="s">
        <v>46</v>
      </c>
      <c r="F638">
        <f t="shared" ref="F638:F664" ca="1" si="20">IF(ISBLANK(C638), NETWORKDAYS(B638,TODAY()), NETWORKDAYS(B638,C638))</f>
        <v>21</v>
      </c>
      <c r="G638" s="16" t="s">
        <v>31</v>
      </c>
      <c r="H638" s="11" t="s">
        <v>2983</v>
      </c>
      <c r="K638" t="s">
        <v>2868</v>
      </c>
      <c r="L638" t="s">
        <v>120</v>
      </c>
      <c r="M638" s="32" t="s">
        <v>13</v>
      </c>
      <c r="N638" s="32">
        <f>VLOOKUP(Requests[[#This Row],[Priority]],'SLA Config'!$B$3:$C$6,2,FALSE)</f>
        <v>25</v>
      </c>
      <c r="O638" t="str">
        <f ca="1">IF(Requests[[#This Row],[Age (days)]]&gt;Requests[[#This Row],[SLA Threshold]],"Yes","No")</f>
        <v>No</v>
      </c>
    </row>
    <row r="639" spans="1:15" hidden="1" x14ac:dyDescent="0.25">
      <c r="A639" t="s">
        <v>2984</v>
      </c>
      <c r="B639" s="8">
        <v>45814.063645833332</v>
      </c>
      <c r="C639" s="8">
        <v>45824.063020833331</v>
      </c>
      <c r="D639" t="s">
        <v>29</v>
      </c>
      <c r="E639" t="s">
        <v>1314</v>
      </c>
      <c r="F639">
        <f t="shared" ca="1" si="20"/>
        <v>7</v>
      </c>
      <c r="G639" s="16" t="s">
        <v>31</v>
      </c>
      <c r="H639" s="11" t="s">
        <v>2985</v>
      </c>
      <c r="K639" t="s">
        <v>1316</v>
      </c>
      <c r="L639" t="s">
        <v>36</v>
      </c>
      <c r="M639" s="32" t="s">
        <v>13</v>
      </c>
      <c r="N639" s="32">
        <f>VLOOKUP(Requests[[#This Row],[Priority]],'SLA Config'!$B$3:$C$6,2,FALSE)</f>
        <v>25</v>
      </c>
      <c r="O639" t="str">
        <f ca="1">IF(Requests[[#This Row],[Age (days)]]&gt;Requests[[#This Row],[SLA Threshold]],"Yes","No")</f>
        <v>No</v>
      </c>
    </row>
    <row r="640" spans="1:15" hidden="1" x14ac:dyDescent="0.25">
      <c r="A640" t="s">
        <v>2986</v>
      </c>
      <c r="B640" s="8">
        <v>45814.207951388889</v>
      </c>
      <c r="C640" s="8">
        <v>45822.114976851852</v>
      </c>
      <c r="D640" t="s">
        <v>29</v>
      </c>
      <c r="E640" t="s">
        <v>1314</v>
      </c>
      <c r="F640">
        <f t="shared" ca="1" si="20"/>
        <v>6</v>
      </c>
      <c r="G640" s="16" t="s">
        <v>31</v>
      </c>
      <c r="H640" s="11" t="s">
        <v>2751</v>
      </c>
      <c r="K640" t="s">
        <v>1316</v>
      </c>
      <c r="L640" t="s">
        <v>36</v>
      </c>
      <c r="M640" s="32" t="s">
        <v>13</v>
      </c>
      <c r="N640" s="32">
        <f>VLOOKUP(Requests[[#This Row],[Priority]],'SLA Config'!$B$3:$C$6,2,FALSE)</f>
        <v>25</v>
      </c>
      <c r="O640" t="str">
        <f ca="1">IF(Requests[[#This Row],[Age (days)]]&gt;Requests[[#This Row],[SLA Threshold]],"Yes","No")</f>
        <v>No</v>
      </c>
    </row>
    <row r="641" spans="1:15" hidden="1" x14ac:dyDescent="0.25">
      <c r="A641" t="s">
        <v>2987</v>
      </c>
      <c r="B641" s="8">
        <v>45814.57949074074</v>
      </c>
      <c r="C641" s="8">
        <v>45837.22016203704</v>
      </c>
      <c r="D641" t="s">
        <v>29</v>
      </c>
      <c r="E641" t="s">
        <v>1314</v>
      </c>
      <c r="F641">
        <f t="shared" ca="1" si="20"/>
        <v>16</v>
      </c>
      <c r="G641" s="16" t="s">
        <v>31</v>
      </c>
      <c r="H641" s="11" t="s">
        <v>2988</v>
      </c>
      <c r="K641" t="s">
        <v>2989</v>
      </c>
      <c r="L641" t="s">
        <v>36</v>
      </c>
      <c r="M641" s="32" t="s">
        <v>13</v>
      </c>
      <c r="N641" s="32">
        <f>VLOOKUP(Requests[[#This Row],[Priority]],'SLA Config'!$B$3:$C$6,2,FALSE)</f>
        <v>25</v>
      </c>
      <c r="O641" t="str">
        <f ca="1">IF(Requests[[#This Row],[Age (days)]]&gt;Requests[[#This Row],[SLA Threshold]],"Yes","No")</f>
        <v>No</v>
      </c>
    </row>
    <row r="642" spans="1:15" ht="30" hidden="1" x14ac:dyDescent="0.25">
      <c r="A642" t="s">
        <v>2990</v>
      </c>
      <c r="B642" s="8">
        <v>45818.07576388889</v>
      </c>
      <c r="C642" s="8">
        <v>45825.051377314812</v>
      </c>
      <c r="D642" t="s">
        <v>29</v>
      </c>
      <c r="E642" t="s">
        <v>1314</v>
      </c>
      <c r="F642">
        <f t="shared" ca="1" si="20"/>
        <v>6</v>
      </c>
      <c r="G642" s="16" t="s">
        <v>31</v>
      </c>
      <c r="H642" s="11" t="s">
        <v>2991</v>
      </c>
      <c r="K642" t="s">
        <v>1316</v>
      </c>
      <c r="L642" t="s">
        <v>36</v>
      </c>
      <c r="M642" s="32" t="s">
        <v>13</v>
      </c>
      <c r="N642" s="32">
        <f>VLOOKUP(Requests[[#This Row],[Priority]],'SLA Config'!$B$3:$C$6,2,FALSE)</f>
        <v>25</v>
      </c>
      <c r="O642" t="str">
        <f ca="1">IF(Requests[[#This Row],[Age (days)]]&gt;Requests[[#This Row],[SLA Threshold]],"Yes","No")</f>
        <v>No</v>
      </c>
    </row>
    <row r="643" spans="1:15" hidden="1" x14ac:dyDescent="0.25">
      <c r="A643" t="s">
        <v>2992</v>
      </c>
      <c r="B643" s="8">
        <v>45819.056458333333</v>
      </c>
      <c r="C643" s="8">
        <v>45830.203530092593</v>
      </c>
      <c r="D643" t="s">
        <v>29</v>
      </c>
      <c r="E643" t="s">
        <v>1314</v>
      </c>
      <c r="F643">
        <f t="shared" ca="1" si="20"/>
        <v>8</v>
      </c>
      <c r="G643" s="16" t="s">
        <v>31</v>
      </c>
      <c r="H643" s="11" t="s">
        <v>2993</v>
      </c>
      <c r="K643" t="s">
        <v>1316</v>
      </c>
      <c r="L643" t="s">
        <v>36</v>
      </c>
      <c r="M643" s="32" t="s">
        <v>13</v>
      </c>
      <c r="N643" s="32">
        <f>VLOOKUP(Requests[[#This Row],[Priority]],'SLA Config'!$B$3:$C$6,2,FALSE)</f>
        <v>25</v>
      </c>
      <c r="O643" t="str">
        <f ca="1">IF(Requests[[#This Row],[Age (days)]]&gt;Requests[[#This Row],[SLA Threshold]],"Yes","No")</f>
        <v>No</v>
      </c>
    </row>
    <row r="644" spans="1:15" x14ac:dyDescent="0.25">
      <c r="A644" t="s">
        <v>2994</v>
      </c>
      <c r="B644" s="8">
        <v>45819.587152777778</v>
      </c>
      <c r="C644" s="8">
        <v>45833.347303240742</v>
      </c>
      <c r="D644" t="s">
        <v>29</v>
      </c>
      <c r="E644" t="s">
        <v>46</v>
      </c>
      <c r="F644">
        <f t="shared" ca="1" si="20"/>
        <v>11</v>
      </c>
      <c r="G644" s="16" t="s">
        <v>51</v>
      </c>
      <c r="H644" s="11" t="s">
        <v>1735</v>
      </c>
      <c r="K644" t="s">
        <v>119</v>
      </c>
      <c r="L644" t="s">
        <v>120</v>
      </c>
      <c r="M644" s="32" t="s">
        <v>13</v>
      </c>
      <c r="N644" s="32">
        <f>VLOOKUP(Requests[[#This Row],[Priority]],'SLA Config'!$B$3:$C$6,2,FALSE)</f>
        <v>25</v>
      </c>
      <c r="O644" t="str">
        <f ca="1">IF(Requests[[#This Row],[Age (days)]]&gt;Requests[[#This Row],[SLA Threshold]],"Yes","No")</f>
        <v>No</v>
      </c>
    </row>
    <row r="645" spans="1:15" hidden="1" x14ac:dyDescent="0.25">
      <c r="A645" t="s">
        <v>2995</v>
      </c>
      <c r="B645" s="8">
        <v>45820.232476851852</v>
      </c>
      <c r="C645" s="8">
        <v>45831.424675925926</v>
      </c>
      <c r="D645" t="s">
        <v>29</v>
      </c>
      <c r="E645" t="s">
        <v>1314</v>
      </c>
      <c r="F645">
        <f t="shared" ca="1" si="20"/>
        <v>8</v>
      </c>
      <c r="G645" s="16" t="s">
        <v>31</v>
      </c>
      <c r="H645" s="11" t="s">
        <v>2996</v>
      </c>
      <c r="K645" t="s">
        <v>1316</v>
      </c>
      <c r="L645" t="s">
        <v>36</v>
      </c>
      <c r="M645" s="32" t="s">
        <v>13</v>
      </c>
      <c r="N645" s="32">
        <f>VLOOKUP(Requests[[#This Row],[Priority]],'SLA Config'!$B$3:$C$6,2,FALSE)</f>
        <v>25</v>
      </c>
      <c r="O645" t="str">
        <f ca="1">IF(Requests[[#This Row],[Age (days)]]&gt;Requests[[#This Row],[SLA Threshold]],"Yes","No")</f>
        <v>No</v>
      </c>
    </row>
    <row r="646" spans="1:15" hidden="1" x14ac:dyDescent="0.25">
      <c r="A646" t="s">
        <v>2997</v>
      </c>
      <c r="B646" s="8">
        <v>45824.116666666669</v>
      </c>
      <c r="C646" s="8">
        <v>45830.415451388886</v>
      </c>
      <c r="D646" t="s">
        <v>29</v>
      </c>
      <c r="E646" t="s">
        <v>1314</v>
      </c>
      <c r="F646">
        <f t="shared" ca="1" si="20"/>
        <v>5</v>
      </c>
      <c r="G646" s="16" t="s">
        <v>31</v>
      </c>
      <c r="H646" s="11" t="s">
        <v>2998</v>
      </c>
      <c r="K646" t="s">
        <v>1316</v>
      </c>
      <c r="L646" t="s">
        <v>36</v>
      </c>
      <c r="M646" s="32" t="s">
        <v>13</v>
      </c>
      <c r="N646" s="32">
        <f>VLOOKUP(Requests[[#This Row],[Priority]],'SLA Config'!$B$3:$C$6,2,FALSE)</f>
        <v>25</v>
      </c>
      <c r="O646" t="str">
        <f ca="1">IF(Requests[[#This Row],[Age (days)]]&gt;Requests[[#This Row],[SLA Threshold]],"Yes","No")</f>
        <v>No</v>
      </c>
    </row>
    <row r="647" spans="1:15" x14ac:dyDescent="0.25">
      <c r="A647" t="s">
        <v>2999</v>
      </c>
      <c r="B647" s="8">
        <v>45824.120347222219</v>
      </c>
      <c r="C647" s="8"/>
      <c r="D647" t="s">
        <v>1653</v>
      </c>
      <c r="E647" t="s">
        <v>46</v>
      </c>
      <c r="F647">
        <f t="shared" ca="1" si="20"/>
        <v>210</v>
      </c>
      <c r="G647" s="16" t="s">
        <v>31</v>
      </c>
      <c r="H647" s="11" t="s">
        <v>3000</v>
      </c>
      <c r="K647" t="s">
        <v>1316</v>
      </c>
      <c r="L647" t="s">
        <v>36</v>
      </c>
      <c r="M647" s="32" t="s">
        <v>13</v>
      </c>
      <c r="N647" s="32">
        <f>VLOOKUP(Requests[[#This Row],[Priority]],'SLA Config'!$B$3:$C$6,2,FALSE)</f>
        <v>25</v>
      </c>
      <c r="O647" t="str">
        <f ca="1">IF(Requests[[#This Row],[Age (days)]]&gt;Requests[[#This Row],[SLA Threshold]],"Yes","No")</f>
        <v>Yes</v>
      </c>
    </row>
    <row r="648" spans="1:15" hidden="1" x14ac:dyDescent="0.25">
      <c r="A648" t="s">
        <v>3001</v>
      </c>
      <c r="B648" s="8">
        <v>45824.299085648148</v>
      </c>
      <c r="C648" s="8"/>
      <c r="D648" t="s">
        <v>1653</v>
      </c>
      <c r="E648" t="s">
        <v>1314</v>
      </c>
      <c r="F648">
        <f t="shared" ca="1" si="20"/>
        <v>210</v>
      </c>
      <c r="G648" s="16" t="s">
        <v>31</v>
      </c>
      <c r="H648" s="11" t="s">
        <v>3002</v>
      </c>
      <c r="K648" t="s">
        <v>1316</v>
      </c>
      <c r="L648" t="s">
        <v>36</v>
      </c>
      <c r="M648" s="32" t="s">
        <v>13</v>
      </c>
      <c r="N648" s="32">
        <f>VLOOKUP(Requests[[#This Row],[Priority]],'SLA Config'!$B$3:$C$6,2,FALSE)</f>
        <v>25</v>
      </c>
      <c r="O648" t="str">
        <f ca="1">IF(Requests[[#This Row],[Age (days)]]&gt;Requests[[#This Row],[SLA Threshold]],"Yes","No")</f>
        <v>Yes</v>
      </c>
    </row>
    <row r="649" spans="1:15" ht="30" hidden="1" x14ac:dyDescent="0.25">
      <c r="A649" t="s">
        <v>3003</v>
      </c>
      <c r="B649" s="8">
        <v>45826.160162037035</v>
      </c>
      <c r="C649" s="8">
        <v>45839.065613425926</v>
      </c>
      <c r="D649" t="s">
        <v>29</v>
      </c>
      <c r="E649" t="s">
        <v>1314</v>
      </c>
      <c r="F649">
        <f t="shared" ca="1" si="20"/>
        <v>10</v>
      </c>
      <c r="G649" s="16" t="s">
        <v>31</v>
      </c>
      <c r="H649" s="11" t="s">
        <v>3004</v>
      </c>
      <c r="K649" t="s">
        <v>1316</v>
      </c>
      <c r="L649" t="s">
        <v>36</v>
      </c>
      <c r="M649" s="32" t="s">
        <v>13</v>
      </c>
      <c r="N649" s="32">
        <f>VLOOKUP(Requests[[#This Row],[Priority]],'SLA Config'!$B$3:$C$6,2,FALSE)</f>
        <v>25</v>
      </c>
      <c r="O649" t="str">
        <f ca="1">IF(Requests[[#This Row],[Age (days)]]&gt;Requests[[#This Row],[SLA Threshold]],"Yes","No")</f>
        <v>No</v>
      </c>
    </row>
    <row r="650" spans="1:15" ht="30" hidden="1" x14ac:dyDescent="0.25">
      <c r="A650" t="s">
        <v>3005</v>
      </c>
      <c r="B650" s="8">
        <v>45826.332905092589</v>
      </c>
      <c r="C650" s="8">
        <v>45844.212430555555</v>
      </c>
      <c r="D650" t="s">
        <v>29</v>
      </c>
      <c r="E650" t="s">
        <v>1314</v>
      </c>
      <c r="F650">
        <f t="shared" ca="1" si="20"/>
        <v>13</v>
      </c>
      <c r="G650" s="16" t="s">
        <v>31</v>
      </c>
      <c r="H650" s="11" t="s">
        <v>3006</v>
      </c>
      <c r="K650" t="s">
        <v>1316</v>
      </c>
      <c r="L650" t="s">
        <v>36</v>
      </c>
      <c r="M650" s="32" t="s">
        <v>13</v>
      </c>
      <c r="N650" s="32">
        <f>VLOOKUP(Requests[[#This Row],[Priority]],'SLA Config'!$B$3:$C$6,2,FALSE)</f>
        <v>25</v>
      </c>
      <c r="O650" t="str">
        <f ca="1">IF(Requests[[#This Row],[Age (days)]]&gt;Requests[[#This Row],[SLA Threshold]],"Yes","No")</f>
        <v>No</v>
      </c>
    </row>
    <row r="651" spans="1:15" x14ac:dyDescent="0.25">
      <c r="A651" t="s">
        <v>3007</v>
      </c>
      <c r="B651" s="8">
        <v>45827.393541666665</v>
      </c>
      <c r="C651" s="8"/>
      <c r="D651" t="s">
        <v>1567</v>
      </c>
      <c r="E651" t="s">
        <v>46</v>
      </c>
      <c r="F651">
        <f t="shared" ca="1" si="20"/>
        <v>207</v>
      </c>
      <c r="G651" s="16" t="s">
        <v>51</v>
      </c>
      <c r="H651" s="11" t="s">
        <v>3008</v>
      </c>
      <c r="K651" t="s">
        <v>41</v>
      </c>
      <c r="L651" t="s">
        <v>36</v>
      </c>
      <c r="M651" s="32" t="s">
        <v>13</v>
      </c>
      <c r="N651" s="32">
        <f>VLOOKUP(Requests[[#This Row],[Priority]],'SLA Config'!$B$3:$C$6,2,FALSE)</f>
        <v>25</v>
      </c>
      <c r="O651" t="str">
        <f ca="1">IF(Requests[[#This Row],[Age (days)]]&gt;Requests[[#This Row],[SLA Threshold]],"Yes","No")</f>
        <v>Yes</v>
      </c>
    </row>
    <row r="652" spans="1:15" hidden="1" x14ac:dyDescent="0.25">
      <c r="A652" t="s">
        <v>3009</v>
      </c>
      <c r="B652" s="8">
        <v>45828.367650462962</v>
      </c>
      <c r="C652" s="8"/>
      <c r="D652" t="s">
        <v>1653</v>
      </c>
      <c r="E652" t="s">
        <v>324</v>
      </c>
      <c r="F652">
        <f t="shared" ca="1" si="20"/>
        <v>206</v>
      </c>
      <c r="G652" s="16" t="s">
        <v>51</v>
      </c>
      <c r="H652" s="11" t="s">
        <v>3010</v>
      </c>
      <c r="K652" t="s">
        <v>41</v>
      </c>
      <c r="L652" t="s">
        <v>36</v>
      </c>
      <c r="M652" s="32" t="s">
        <v>13</v>
      </c>
      <c r="N652" s="32">
        <f>VLOOKUP(Requests[[#This Row],[Priority]],'SLA Config'!$B$3:$C$6,2,FALSE)</f>
        <v>25</v>
      </c>
      <c r="O652" t="str">
        <f ca="1">IF(Requests[[#This Row],[Age (days)]]&gt;Requests[[#This Row],[SLA Threshold]],"Yes","No")</f>
        <v>Yes</v>
      </c>
    </row>
    <row r="653" spans="1:15" hidden="1" x14ac:dyDescent="0.25">
      <c r="A653" t="s">
        <v>3011</v>
      </c>
      <c r="B653" s="8">
        <v>45831.044166666667</v>
      </c>
      <c r="C653" s="8">
        <v>45843.158229166664</v>
      </c>
      <c r="D653" t="s">
        <v>29</v>
      </c>
      <c r="E653" t="s">
        <v>324</v>
      </c>
      <c r="F653">
        <f t="shared" ca="1" si="20"/>
        <v>10</v>
      </c>
      <c r="G653" s="16" t="s">
        <v>51</v>
      </c>
      <c r="H653" s="11" t="s">
        <v>3012</v>
      </c>
      <c r="K653" t="s">
        <v>41</v>
      </c>
      <c r="L653" t="s">
        <v>36</v>
      </c>
      <c r="M653" s="32" t="s">
        <v>13</v>
      </c>
      <c r="N653" s="32">
        <f>VLOOKUP(Requests[[#This Row],[Priority]],'SLA Config'!$B$3:$C$6,2,FALSE)</f>
        <v>25</v>
      </c>
      <c r="O653" t="str">
        <f ca="1">IF(Requests[[#This Row],[Age (days)]]&gt;Requests[[#This Row],[SLA Threshold]],"Yes","No")</f>
        <v>No</v>
      </c>
    </row>
    <row r="654" spans="1:15" hidden="1" x14ac:dyDescent="0.25">
      <c r="A654" t="s">
        <v>3013</v>
      </c>
      <c r="B654" s="8">
        <v>45834.050659722219</v>
      </c>
      <c r="C654" s="8">
        <v>45846.078564814816</v>
      </c>
      <c r="D654" t="s">
        <v>29</v>
      </c>
      <c r="E654" t="s">
        <v>1314</v>
      </c>
      <c r="F654">
        <f t="shared" ca="1" si="20"/>
        <v>9</v>
      </c>
      <c r="G654" s="16" t="s">
        <v>31</v>
      </c>
      <c r="H654" s="11" t="s">
        <v>3014</v>
      </c>
      <c r="K654" t="s">
        <v>1316</v>
      </c>
      <c r="L654" t="s">
        <v>36</v>
      </c>
      <c r="M654" s="32" t="s">
        <v>13</v>
      </c>
      <c r="N654" s="32">
        <f>VLOOKUP(Requests[[#This Row],[Priority]],'SLA Config'!$B$3:$C$6,2,FALSE)</f>
        <v>25</v>
      </c>
      <c r="O654" t="str">
        <f ca="1">IF(Requests[[#This Row],[Age (days)]]&gt;Requests[[#This Row],[SLA Threshold]],"Yes","No")</f>
        <v>No</v>
      </c>
    </row>
    <row r="655" spans="1:15" x14ac:dyDescent="0.25">
      <c r="A655" t="s">
        <v>3015</v>
      </c>
      <c r="B655" s="8">
        <v>45834.691967592589</v>
      </c>
      <c r="C655" s="8"/>
      <c r="D655" t="s">
        <v>2858</v>
      </c>
      <c r="E655" t="s">
        <v>46</v>
      </c>
      <c r="F655">
        <f t="shared" ca="1" si="20"/>
        <v>202</v>
      </c>
      <c r="G655" s="16" t="s">
        <v>51</v>
      </c>
      <c r="H655" s="11" t="s">
        <v>1725</v>
      </c>
      <c r="K655" t="s">
        <v>119</v>
      </c>
      <c r="L655" t="s">
        <v>120</v>
      </c>
      <c r="M655" s="32" t="s">
        <v>13</v>
      </c>
      <c r="N655" s="32">
        <f>VLOOKUP(Requests[[#This Row],[Priority]],'SLA Config'!$B$3:$C$6,2,FALSE)</f>
        <v>25</v>
      </c>
      <c r="O655" t="str">
        <f ca="1">IF(Requests[[#This Row],[Age (days)]]&gt;Requests[[#This Row],[SLA Threshold]],"Yes","No")</f>
        <v>Yes</v>
      </c>
    </row>
    <row r="656" spans="1:15" hidden="1" x14ac:dyDescent="0.25">
      <c r="A656" t="s">
        <v>3016</v>
      </c>
      <c r="B656" s="8">
        <v>45838.056840277779</v>
      </c>
      <c r="C656" s="8">
        <v>45843.066099537034</v>
      </c>
      <c r="D656" t="s">
        <v>29</v>
      </c>
      <c r="E656" t="s">
        <v>324</v>
      </c>
      <c r="F656">
        <f t="shared" ca="1" si="20"/>
        <v>5</v>
      </c>
      <c r="G656" s="16" t="s">
        <v>51</v>
      </c>
      <c r="H656" s="11" t="s">
        <v>3012</v>
      </c>
      <c r="K656" t="s">
        <v>41</v>
      </c>
      <c r="L656" t="s">
        <v>36</v>
      </c>
      <c r="M656" s="32" t="s">
        <v>13</v>
      </c>
      <c r="N656" s="32">
        <f>VLOOKUP(Requests[[#This Row],[Priority]],'SLA Config'!$B$3:$C$6,2,FALSE)</f>
        <v>25</v>
      </c>
      <c r="O656" t="str">
        <f ca="1">IF(Requests[[#This Row],[Age (days)]]&gt;Requests[[#This Row],[SLA Threshold]],"Yes","No")</f>
        <v>No</v>
      </c>
    </row>
    <row r="657" spans="1:15" hidden="1" x14ac:dyDescent="0.25">
      <c r="A657" t="s">
        <v>3017</v>
      </c>
      <c r="B657" s="8">
        <v>45838.136932870373</v>
      </c>
      <c r="C657" s="8">
        <v>45846.115995370368</v>
      </c>
      <c r="D657" t="s">
        <v>29</v>
      </c>
      <c r="E657" t="s">
        <v>324</v>
      </c>
      <c r="F657">
        <f t="shared" ca="1" si="20"/>
        <v>7</v>
      </c>
      <c r="G657" s="16" t="s">
        <v>51</v>
      </c>
      <c r="H657" s="11" t="s">
        <v>3018</v>
      </c>
      <c r="K657" t="s">
        <v>41</v>
      </c>
      <c r="L657" t="s">
        <v>36</v>
      </c>
      <c r="M657" s="32" t="s">
        <v>13</v>
      </c>
      <c r="N657" s="32">
        <f>VLOOKUP(Requests[[#This Row],[Priority]],'SLA Config'!$B$3:$C$6,2,FALSE)</f>
        <v>25</v>
      </c>
      <c r="O657" t="str">
        <f ca="1">IF(Requests[[#This Row],[Age (days)]]&gt;Requests[[#This Row],[SLA Threshold]],"Yes","No")</f>
        <v>No</v>
      </c>
    </row>
    <row r="658" spans="1:15" hidden="1" x14ac:dyDescent="0.25">
      <c r="A658" t="s">
        <v>3019</v>
      </c>
      <c r="B658" s="8">
        <v>45838.187442129631</v>
      </c>
      <c r="C658" s="8"/>
      <c r="D658" t="s">
        <v>1553</v>
      </c>
      <c r="E658" t="s">
        <v>1314</v>
      </c>
      <c r="F658">
        <f t="shared" ca="1" si="20"/>
        <v>200</v>
      </c>
      <c r="G658" s="16" t="s">
        <v>31</v>
      </c>
      <c r="H658" s="11" t="s">
        <v>3020</v>
      </c>
      <c r="K658" t="s">
        <v>1316</v>
      </c>
      <c r="L658" t="s">
        <v>36</v>
      </c>
      <c r="M658" s="32" t="s">
        <v>13</v>
      </c>
      <c r="N658" s="32">
        <f>VLOOKUP(Requests[[#This Row],[Priority]],'SLA Config'!$B$3:$C$6,2,FALSE)</f>
        <v>25</v>
      </c>
      <c r="O658" t="str">
        <f ca="1">IF(Requests[[#This Row],[Age (days)]]&gt;Requests[[#This Row],[SLA Threshold]],"Yes","No")</f>
        <v>Yes</v>
      </c>
    </row>
    <row r="659" spans="1:15" hidden="1" x14ac:dyDescent="0.25">
      <c r="A659" t="s">
        <v>3021</v>
      </c>
      <c r="B659" s="8">
        <v>45840.079247685186</v>
      </c>
      <c r="C659" s="8"/>
      <c r="D659" t="s">
        <v>1653</v>
      </c>
      <c r="E659" t="s">
        <v>1314</v>
      </c>
      <c r="F659">
        <f t="shared" ca="1" si="20"/>
        <v>198</v>
      </c>
      <c r="G659" s="16" t="s">
        <v>31</v>
      </c>
      <c r="H659" s="11" t="s">
        <v>3022</v>
      </c>
      <c r="K659" t="s">
        <v>1316</v>
      </c>
      <c r="L659" t="s">
        <v>36</v>
      </c>
      <c r="M659" s="32" t="s">
        <v>13</v>
      </c>
      <c r="N659" s="32">
        <f>VLOOKUP(Requests[[#This Row],[Priority]],'SLA Config'!$B$3:$C$6,2,FALSE)</f>
        <v>25</v>
      </c>
      <c r="O659" t="str">
        <f ca="1">IF(Requests[[#This Row],[Age (days)]]&gt;Requests[[#This Row],[SLA Threshold]],"Yes","No")</f>
        <v>Yes</v>
      </c>
    </row>
    <row r="660" spans="1:15" hidden="1" x14ac:dyDescent="0.25">
      <c r="A660" t="s">
        <v>3023</v>
      </c>
      <c r="B660" s="8">
        <v>45840.696284722224</v>
      </c>
      <c r="C660" s="8"/>
      <c r="D660" t="s">
        <v>3024</v>
      </c>
      <c r="E660" t="s">
        <v>1658</v>
      </c>
      <c r="F660">
        <f t="shared" ca="1" si="20"/>
        <v>198</v>
      </c>
      <c r="G660" s="16" t="s">
        <v>31</v>
      </c>
      <c r="H660" s="11" t="s">
        <v>3025</v>
      </c>
      <c r="K660" t="s">
        <v>2868</v>
      </c>
      <c r="L660" t="s">
        <v>120</v>
      </c>
      <c r="M660" s="32" t="s">
        <v>13</v>
      </c>
      <c r="N660" s="32">
        <f>VLOOKUP(Requests[[#This Row],[Priority]],'SLA Config'!$B$3:$C$6,2,FALSE)</f>
        <v>25</v>
      </c>
      <c r="O660" t="str">
        <f ca="1">IF(Requests[[#This Row],[Age (days)]]&gt;Requests[[#This Row],[SLA Threshold]],"Yes","No")</f>
        <v>Yes</v>
      </c>
    </row>
    <row r="661" spans="1:15" hidden="1" x14ac:dyDescent="0.25">
      <c r="A661" t="s">
        <v>3026</v>
      </c>
      <c r="B661" s="8">
        <v>45841.286759259259</v>
      </c>
      <c r="C661" s="8"/>
      <c r="D661" t="s">
        <v>3027</v>
      </c>
      <c r="E661" t="s">
        <v>1314</v>
      </c>
      <c r="F661">
        <f t="shared" ca="1" si="20"/>
        <v>197</v>
      </c>
      <c r="G661" s="16" t="s">
        <v>31</v>
      </c>
      <c r="H661" s="11" t="s">
        <v>3028</v>
      </c>
      <c r="K661" t="s">
        <v>1316</v>
      </c>
      <c r="L661" t="s">
        <v>36</v>
      </c>
      <c r="M661" s="32" t="s">
        <v>13</v>
      </c>
      <c r="N661" s="32">
        <f>VLOOKUP(Requests[[#This Row],[Priority]],'SLA Config'!$B$3:$C$6,2,FALSE)</f>
        <v>25</v>
      </c>
      <c r="O661" t="str">
        <f ca="1">IF(Requests[[#This Row],[Age (days)]]&gt;Requests[[#This Row],[SLA Threshold]],"Yes","No")</f>
        <v>Yes</v>
      </c>
    </row>
    <row r="662" spans="1:15" hidden="1" x14ac:dyDescent="0.25">
      <c r="A662" t="s">
        <v>3029</v>
      </c>
      <c r="B662" s="8">
        <v>45842.435474537036</v>
      </c>
      <c r="C662" s="8"/>
      <c r="D662" t="s">
        <v>1653</v>
      </c>
      <c r="E662" t="s">
        <v>1314</v>
      </c>
      <c r="F662">
        <f t="shared" ca="1" si="20"/>
        <v>196</v>
      </c>
      <c r="G662" s="16" t="s">
        <v>31</v>
      </c>
      <c r="H662" s="11" t="s">
        <v>3028</v>
      </c>
      <c r="K662" t="s">
        <v>1316</v>
      </c>
      <c r="L662" t="s">
        <v>36</v>
      </c>
      <c r="M662" s="32" t="s">
        <v>13</v>
      </c>
      <c r="N662" s="32">
        <f>VLOOKUP(Requests[[#This Row],[Priority]],'SLA Config'!$B$3:$C$6,2,FALSE)</f>
        <v>25</v>
      </c>
      <c r="O662" t="str">
        <f ca="1">IF(Requests[[#This Row],[Age (days)]]&gt;Requests[[#This Row],[SLA Threshold]],"Yes","No")</f>
        <v>Yes</v>
      </c>
    </row>
    <row r="663" spans="1:15" ht="30" hidden="1" x14ac:dyDescent="0.25">
      <c r="A663" t="s">
        <v>3030</v>
      </c>
      <c r="B663" s="8">
        <v>45822.941724537035</v>
      </c>
      <c r="C663" s="8">
        <v>45838.308483796296</v>
      </c>
      <c r="D663" t="s">
        <v>29</v>
      </c>
      <c r="E663" t="s">
        <v>38</v>
      </c>
      <c r="F663">
        <f t="shared" ca="1" si="20"/>
        <v>11</v>
      </c>
      <c r="G663" s="16" t="s">
        <v>2583</v>
      </c>
      <c r="H663" s="11" t="s">
        <v>1692</v>
      </c>
      <c r="K663" t="s">
        <v>1695</v>
      </c>
      <c r="L663" t="s">
        <v>71</v>
      </c>
      <c r="M663" s="32" t="s">
        <v>13</v>
      </c>
      <c r="N663" s="32">
        <f>VLOOKUP(Requests[[#This Row],[Priority]],'SLA Config'!$B$3:$C$6,2,FALSE)</f>
        <v>25</v>
      </c>
      <c r="O663" t="str">
        <f ca="1">IF(Requests[[#This Row],[Age (days)]]&gt;Requests[[#This Row],[SLA Threshold]],"Yes","No")</f>
        <v>No</v>
      </c>
    </row>
    <row r="664" spans="1:15" ht="30" hidden="1" x14ac:dyDescent="0.25">
      <c r="A664" t="s">
        <v>3031</v>
      </c>
      <c r="B664" s="8">
        <v>45836.955648148149</v>
      </c>
      <c r="C664" s="8"/>
      <c r="D664" t="s">
        <v>1553</v>
      </c>
      <c r="E664" t="s">
        <v>38</v>
      </c>
      <c r="F664">
        <f t="shared" ca="1" si="20"/>
        <v>200</v>
      </c>
      <c r="G664" s="16" t="s">
        <v>2583</v>
      </c>
      <c r="H664" s="11" t="s">
        <v>1692</v>
      </c>
      <c r="K664" t="s">
        <v>1695</v>
      </c>
      <c r="L664" t="s">
        <v>71</v>
      </c>
      <c r="M664" s="32" t="s">
        <v>13</v>
      </c>
      <c r="N664" s="32">
        <f>VLOOKUP(Requests[[#This Row],[Priority]],'SLA Config'!$B$3:$C$6,2,FALSE)</f>
        <v>25</v>
      </c>
      <c r="O664" t="str">
        <f ca="1">IF(Requests[[#This Row],[Age (days)]]&gt;Requests[[#This Row],[SLA Threshold]],"Yes","No")</f>
        <v>Yes</v>
      </c>
    </row>
    <row r="665" spans="1:15" ht="15.75" x14ac:dyDescent="0.3">
      <c r="A665" s="32"/>
      <c r="B665" s="39"/>
      <c r="C665" s="39"/>
      <c r="D665" s="32"/>
      <c r="E665" s="32"/>
      <c r="G665" s="32"/>
      <c r="H665" s="32"/>
      <c r="I665" s="32"/>
      <c r="J665" s="32"/>
      <c r="K665" s="32"/>
      <c r="L665" s="33"/>
    </row>
    <row r="666" spans="1:15" ht="15.75" x14ac:dyDescent="0.3">
      <c r="A666" s="32"/>
      <c r="B666" s="39"/>
      <c r="C666" s="39"/>
      <c r="D666" s="32"/>
      <c r="E666" s="32"/>
      <c r="G666" s="32"/>
      <c r="H666" s="32"/>
      <c r="I666" s="32"/>
      <c r="J666" s="32"/>
      <c r="K666" s="32"/>
      <c r="L666" s="33"/>
    </row>
    <row r="667" spans="1:15" ht="15.75" x14ac:dyDescent="0.3">
      <c r="A667" s="32"/>
      <c r="B667" s="39"/>
      <c r="C667" s="39"/>
      <c r="D667" s="32"/>
      <c r="E667" s="32"/>
      <c r="G667" s="32"/>
      <c r="H667" s="32"/>
      <c r="I667" s="32"/>
      <c r="J667" s="32"/>
      <c r="K667" s="32"/>
      <c r="L667" s="33"/>
    </row>
    <row r="668" spans="1:15" ht="15.75" x14ac:dyDescent="0.3">
      <c r="A668" s="32"/>
      <c r="B668" s="39"/>
      <c r="C668" s="39"/>
      <c r="D668" s="32"/>
      <c r="E668" s="32"/>
      <c r="G668" s="32"/>
      <c r="H668" s="32"/>
      <c r="I668" s="32"/>
      <c r="J668" s="32"/>
      <c r="K668" s="32"/>
      <c r="L668" s="33"/>
    </row>
    <row r="669" spans="1:15" ht="15.75" x14ac:dyDescent="0.3">
      <c r="A669" s="32"/>
      <c r="B669" s="39"/>
      <c r="C669" s="39"/>
      <c r="D669" s="32"/>
      <c r="E669" s="32"/>
      <c r="G669" s="32"/>
      <c r="H669" s="32"/>
      <c r="I669" s="32"/>
      <c r="J669" s="32"/>
      <c r="K669" s="32"/>
      <c r="L669" s="33"/>
    </row>
    <row r="670" spans="1:15" ht="15.75" x14ac:dyDescent="0.3">
      <c r="A670" s="32"/>
      <c r="B670" s="39"/>
      <c r="C670" s="39"/>
      <c r="D670" s="32"/>
      <c r="E670" s="32"/>
      <c r="G670" s="32"/>
      <c r="H670" s="32"/>
      <c r="I670" s="32"/>
      <c r="J670" s="32"/>
      <c r="K670" s="32"/>
      <c r="L670" s="33"/>
    </row>
    <row r="671" spans="1:15" ht="15.75" x14ac:dyDescent="0.3">
      <c r="A671" s="32"/>
      <c r="B671" s="39"/>
      <c r="C671" s="39"/>
      <c r="D671" s="32"/>
      <c r="E671" s="32"/>
      <c r="G671" s="32"/>
      <c r="H671" s="32"/>
      <c r="I671" s="32"/>
      <c r="J671" s="32"/>
      <c r="K671" s="32"/>
      <c r="L671" s="33"/>
    </row>
    <row r="672" spans="1:15" ht="15.75" x14ac:dyDescent="0.3">
      <c r="A672" s="32"/>
      <c r="B672" s="39"/>
      <c r="C672" s="39"/>
      <c r="D672" s="32"/>
      <c r="E672" s="32"/>
      <c r="G672" s="32"/>
      <c r="H672" s="32"/>
      <c r="I672" s="32"/>
      <c r="J672" s="32"/>
      <c r="K672" s="32"/>
      <c r="L672" s="33"/>
    </row>
    <row r="673" spans="1:12" ht="15.75" x14ac:dyDescent="0.3">
      <c r="A673" s="32"/>
      <c r="B673" s="39"/>
      <c r="C673" s="39"/>
      <c r="D673" s="32"/>
      <c r="E673" s="32"/>
      <c r="G673" s="32"/>
      <c r="H673" s="32"/>
      <c r="I673" s="32"/>
      <c r="J673" s="32"/>
      <c r="K673" s="32"/>
      <c r="L673" s="33"/>
    </row>
    <row r="674" spans="1:12" ht="15.75" x14ac:dyDescent="0.3">
      <c r="A674" s="32"/>
      <c r="B674" s="39"/>
      <c r="C674" s="39"/>
      <c r="D674" s="32"/>
      <c r="E674" s="32"/>
      <c r="G674" s="32"/>
      <c r="H674" s="32"/>
      <c r="I674" s="32"/>
      <c r="J674" s="32"/>
      <c r="K674" s="32"/>
      <c r="L674" s="33"/>
    </row>
    <row r="675" spans="1:12" ht="15.75" x14ac:dyDescent="0.3">
      <c r="A675" s="32"/>
      <c r="B675" s="39"/>
      <c r="C675" s="39"/>
      <c r="D675" s="32"/>
      <c r="E675" s="32"/>
      <c r="G675" s="32"/>
      <c r="H675" s="32"/>
      <c r="I675" s="32"/>
      <c r="J675" s="32"/>
      <c r="K675" s="32"/>
      <c r="L675" s="33"/>
    </row>
    <row r="676" spans="1:12" ht="15.75" x14ac:dyDescent="0.3">
      <c r="A676" s="32"/>
      <c r="B676" s="39"/>
      <c r="C676" s="39"/>
      <c r="D676" s="32"/>
      <c r="E676" s="32"/>
      <c r="G676" s="32"/>
      <c r="H676" s="32"/>
      <c r="I676" s="32"/>
      <c r="J676" s="32"/>
      <c r="K676" s="32"/>
      <c r="L676" s="33"/>
    </row>
    <row r="677" spans="1:12" ht="15.75" x14ac:dyDescent="0.3">
      <c r="A677" s="32"/>
      <c r="B677" s="39"/>
      <c r="C677" s="39"/>
      <c r="D677" s="32"/>
      <c r="E677" s="32"/>
      <c r="G677" s="32"/>
      <c r="H677" s="32"/>
      <c r="I677" s="32"/>
      <c r="J677" s="32"/>
      <c r="K677" s="32"/>
      <c r="L677" s="33"/>
    </row>
    <row r="678" spans="1:12" ht="15.75" x14ac:dyDescent="0.3">
      <c r="A678" s="32"/>
      <c r="B678" s="39"/>
      <c r="C678" s="39"/>
      <c r="D678" s="32"/>
      <c r="E678" s="32"/>
      <c r="G678" s="32"/>
      <c r="H678" s="32"/>
      <c r="I678" s="32"/>
      <c r="J678" s="32"/>
      <c r="K678" s="32"/>
      <c r="L678" s="33"/>
    </row>
    <row r="679" spans="1:12" ht="15.75" x14ac:dyDescent="0.3">
      <c r="A679" s="32"/>
      <c r="B679" s="39"/>
      <c r="C679" s="39"/>
      <c r="D679" s="32"/>
      <c r="E679" s="32"/>
      <c r="G679" s="32"/>
      <c r="H679" s="32"/>
      <c r="I679" s="32"/>
      <c r="J679" s="32"/>
      <c r="K679" s="32"/>
      <c r="L679" s="33"/>
    </row>
    <row r="680" spans="1:12" ht="15.75" x14ac:dyDescent="0.3">
      <c r="A680" s="32"/>
      <c r="B680" s="39"/>
      <c r="C680" s="39"/>
      <c r="D680" s="32"/>
      <c r="E680" s="32"/>
      <c r="G680" s="32"/>
      <c r="H680" s="32"/>
      <c r="I680" s="32"/>
      <c r="J680" s="32"/>
      <c r="K680" s="32"/>
      <c r="L680" s="33"/>
    </row>
    <row r="681" spans="1:12" ht="15.75" x14ac:dyDescent="0.3">
      <c r="A681" s="32"/>
      <c r="B681" s="39"/>
      <c r="C681" s="39"/>
      <c r="D681" s="32"/>
      <c r="E681" s="32"/>
      <c r="G681" s="32"/>
      <c r="H681" s="32"/>
      <c r="I681" s="32"/>
      <c r="J681" s="32"/>
      <c r="K681" s="32"/>
      <c r="L681" s="33"/>
    </row>
    <row r="682" spans="1:12" ht="15.75" x14ac:dyDescent="0.3">
      <c r="A682" s="32"/>
      <c r="B682" s="39"/>
      <c r="C682" s="39"/>
      <c r="D682" s="32"/>
      <c r="E682" s="32"/>
      <c r="G682" s="32"/>
      <c r="H682" s="32"/>
      <c r="I682" s="32"/>
      <c r="J682" s="32"/>
      <c r="K682" s="32"/>
      <c r="L682" s="33"/>
    </row>
    <row r="683" spans="1:12" ht="15.75" x14ac:dyDescent="0.3">
      <c r="A683" s="32"/>
      <c r="B683" s="39"/>
      <c r="C683" s="39"/>
      <c r="D683" s="32"/>
      <c r="E683" s="32"/>
      <c r="G683" s="32"/>
      <c r="H683" s="32"/>
      <c r="I683" s="32"/>
      <c r="J683" s="32"/>
      <c r="K683" s="32"/>
      <c r="L683" s="33"/>
    </row>
    <row r="684" spans="1:12" ht="15.75" x14ac:dyDescent="0.3">
      <c r="A684" s="32"/>
      <c r="B684" s="39"/>
      <c r="C684" s="39"/>
      <c r="D684" s="32"/>
      <c r="E684" s="32"/>
      <c r="G684" s="32"/>
      <c r="H684" s="32"/>
      <c r="I684" s="32"/>
      <c r="J684" s="32"/>
      <c r="K684" s="32"/>
      <c r="L684" s="33"/>
    </row>
    <row r="685" spans="1:12" ht="15.75" x14ac:dyDescent="0.3">
      <c r="A685" s="32"/>
      <c r="B685" s="39"/>
      <c r="C685" s="39"/>
      <c r="D685" s="32"/>
      <c r="E685" s="32"/>
      <c r="G685" s="32"/>
      <c r="H685" s="32"/>
      <c r="I685" s="32"/>
      <c r="J685" s="32"/>
      <c r="K685" s="32"/>
      <c r="L685" s="33"/>
    </row>
    <row r="686" spans="1:12" ht="15.75" x14ac:dyDescent="0.3">
      <c r="A686" s="32"/>
      <c r="B686" s="39"/>
      <c r="C686" s="39"/>
      <c r="D686" s="32"/>
      <c r="E686" s="32"/>
      <c r="G686" s="32"/>
      <c r="H686" s="32"/>
      <c r="I686" s="32"/>
      <c r="J686" s="32"/>
      <c r="K686" s="32"/>
      <c r="L686" s="33"/>
    </row>
    <row r="687" spans="1:12" ht="15.75" x14ac:dyDescent="0.3">
      <c r="A687" s="32"/>
      <c r="B687" s="39"/>
      <c r="C687" s="39"/>
      <c r="D687" s="32"/>
      <c r="E687" s="32"/>
      <c r="G687" s="32"/>
      <c r="H687" s="32"/>
      <c r="I687" s="32"/>
      <c r="J687" s="32"/>
      <c r="K687" s="32"/>
      <c r="L687" s="33"/>
    </row>
    <row r="688" spans="1:12" ht="15.75" x14ac:dyDescent="0.3">
      <c r="A688" s="32"/>
      <c r="B688" s="39"/>
      <c r="C688" s="39"/>
      <c r="D688" s="32"/>
      <c r="E688" s="32"/>
      <c r="G688" s="32"/>
      <c r="H688" s="32"/>
      <c r="I688" s="32"/>
      <c r="J688" s="32"/>
      <c r="K688" s="32"/>
      <c r="L688" s="33"/>
    </row>
    <row r="689" spans="1:12" ht="15.75" x14ac:dyDescent="0.3">
      <c r="A689" s="32"/>
      <c r="B689" s="39"/>
      <c r="C689" s="39"/>
      <c r="D689" s="32"/>
      <c r="E689" s="32"/>
      <c r="G689" s="32"/>
      <c r="H689" s="32"/>
      <c r="I689" s="32"/>
      <c r="J689" s="32"/>
      <c r="K689" s="32"/>
      <c r="L689" s="33"/>
    </row>
    <row r="690" spans="1:12" ht="15.75" x14ac:dyDescent="0.3">
      <c r="A690" s="32"/>
      <c r="B690" s="39"/>
      <c r="C690" s="39"/>
      <c r="D690" s="32"/>
      <c r="E690" s="32"/>
      <c r="G690" s="32"/>
      <c r="H690" s="32"/>
      <c r="I690" s="32"/>
      <c r="J690" s="32"/>
      <c r="K690" s="32"/>
      <c r="L690" s="33"/>
    </row>
    <row r="691" spans="1:12" ht="15.75" x14ac:dyDescent="0.3">
      <c r="A691" s="32"/>
      <c r="B691" s="39"/>
      <c r="C691" s="39"/>
      <c r="D691" s="32"/>
      <c r="E691" s="32"/>
      <c r="G691" s="32"/>
      <c r="H691" s="32"/>
      <c r="I691" s="32"/>
      <c r="J691" s="32"/>
      <c r="K691" s="32"/>
      <c r="L691" s="33"/>
    </row>
    <row r="692" spans="1:12" ht="15.75" x14ac:dyDescent="0.3">
      <c r="A692" s="32"/>
      <c r="B692" s="39"/>
      <c r="C692" s="39"/>
      <c r="D692" s="32"/>
      <c r="E692" s="32"/>
      <c r="G692" s="32"/>
      <c r="H692" s="32"/>
      <c r="I692" s="32"/>
      <c r="J692" s="32"/>
      <c r="K692" s="32"/>
      <c r="L692" s="33"/>
    </row>
    <row r="693" spans="1:12" ht="15.75" x14ac:dyDescent="0.3">
      <c r="A693" s="32"/>
      <c r="B693" s="39"/>
      <c r="C693" s="39"/>
      <c r="D693" s="32"/>
      <c r="E693" s="32"/>
      <c r="G693" s="32"/>
      <c r="H693" s="32"/>
      <c r="I693" s="32"/>
      <c r="J693" s="32"/>
      <c r="K693" s="32"/>
      <c r="L693" s="33"/>
    </row>
    <row r="694" spans="1:12" ht="15.75" x14ac:dyDescent="0.3">
      <c r="A694" s="32"/>
      <c r="B694" s="39"/>
      <c r="C694" s="39"/>
      <c r="D694" s="32"/>
      <c r="E694" s="32"/>
      <c r="G694" s="32"/>
      <c r="H694" s="32"/>
      <c r="I694" s="32"/>
      <c r="J694" s="32"/>
      <c r="K694" s="32"/>
      <c r="L694" s="33"/>
    </row>
    <row r="695" spans="1:12" ht="15.75" x14ac:dyDescent="0.3">
      <c r="A695" s="32"/>
      <c r="B695" s="39"/>
      <c r="C695" s="39"/>
      <c r="D695" s="32"/>
      <c r="E695" s="32"/>
      <c r="G695" s="32"/>
      <c r="H695" s="32"/>
      <c r="I695" s="32"/>
      <c r="J695" s="32"/>
      <c r="K695" s="32"/>
      <c r="L695" s="33"/>
    </row>
    <row r="696" spans="1:12" ht="15.75" x14ac:dyDescent="0.3">
      <c r="A696" s="32"/>
      <c r="B696" s="39"/>
      <c r="C696" s="39"/>
      <c r="D696" s="32"/>
      <c r="E696" s="32"/>
      <c r="G696" s="32"/>
      <c r="H696" s="32"/>
      <c r="I696" s="32"/>
      <c r="J696" s="32"/>
      <c r="K696" s="32"/>
      <c r="L696" s="33"/>
    </row>
    <row r="697" spans="1:12" ht="15.75" x14ac:dyDescent="0.3">
      <c r="A697" s="32"/>
      <c r="B697" s="39"/>
      <c r="C697" s="39"/>
      <c r="D697" s="32"/>
      <c r="E697" s="32"/>
      <c r="G697" s="32"/>
      <c r="H697" s="32"/>
      <c r="I697" s="32"/>
      <c r="J697" s="32"/>
      <c r="K697" s="32"/>
      <c r="L697" s="33"/>
    </row>
    <row r="698" spans="1:12" ht="15.75" x14ac:dyDescent="0.3">
      <c r="A698" s="32"/>
      <c r="B698" s="39"/>
      <c r="C698" s="39"/>
      <c r="D698" s="32"/>
      <c r="E698" s="32"/>
      <c r="G698" s="32"/>
      <c r="H698" s="32"/>
      <c r="I698" s="32"/>
      <c r="J698" s="32"/>
      <c r="K698" s="32"/>
      <c r="L698" s="33"/>
    </row>
    <row r="699" spans="1:12" ht="15.75" x14ac:dyDescent="0.3">
      <c r="A699" s="32"/>
      <c r="B699" s="39"/>
      <c r="C699" s="39"/>
      <c r="D699" s="32"/>
      <c r="E699" s="32"/>
      <c r="G699" s="32"/>
      <c r="H699" s="32"/>
      <c r="I699" s="32"/>
      <c r="J699" s="32"/>
      <c r="K699" s="32"/>
      <c r="L699" s="33"/>
    </row>
    <row r="700" spans="1:12" ht="15.75" x14ac:dyDescent="0.3">
      <c r="A700" s="32"/>
      <c r="B700" s="39"/>
      <c r="C700" s="39"/>
      <c r="D700" s="32"/>
      <c r="E700" s="32"/>
      <c r="G700" s="32"/>
      <c r="H700" s="32"/>
      <c r="I700" s="32"/>
      <c r="J700" s="32"/>
      <c r="K700" s="32"/>
      <c r="L700" s="33"/>
    </row>
    <row r="701" spans="1:12" ht="15.75" x14ac:dyDescent="0.3">
      <c r="A701" s="32"/>
      <c r="B701" s="39"/>
      <c r="C701" s="39"/>
      <c r="D701" s="32"/>
      <c r="E701" s="32"/>
      <c r="G701" s="32"/>
      <c r="H701" s="32"/>
      <c r="I701" s="32"/>
      <c r="J701" s="32"/>
      <c r="K701" s="32"/>
      <c r="L701" s="33"/>
    </row>
    <row r="702" spans="1:12" ht="15.75" x14ac:dyDescent="0.3">
      <c r="A702" s="32"/>
      <c r="B702" s="39"/>
      <c r="C702" s="39"/>
      <c r="D702" s="32"/>
      <c r="E702" s="32"/>
      <c r="G702" s="32"/>
      <c r="H702" s="32"/>
      <c r="I702" s="32"/>
      <c r="J702" s="32"/>
      <c r="K702" s="32"/>
      <c r="L702" s="33"/>
    </row>
    <row r="703" spans="1:12" ht="15.75" x14ac:dyDescent="0.3">
      <c r="A703" s="32"/>
      <c r="B703" s="39"/>
      <c r="C703" s="39"/>
      <c r="D703" s="32"/>
      <c r="E703" s="32"/>
      <c r="G703" s="32"/>
      <c r="H703" s="32"/>
      <c r="I703" s="32"/>
      <c r="J703" s="32"/>
      <c r="K703" s="32"/>
      <c r="L703" s="33"/>
    </row>
    <row r="704" spans="1:12" ht="15.75" x14ac:dyDescent="0.3">
      <c r="A704" s="32"/>
      <c r="B704" s="39"/>
      <c r="C704" s="39"/>
      <c r="D704" s="32"/>
      <c r="E704" s="32"/>
      <c r="G704" s="32"/>
      <c r="H704" s="32"/>
      <c r="I704" s="32"/>
      <c r="J704" s="32"/>
      <c r="K704" s="32"/>
      <c r="L704" s="33"/>
    </row>
    <row r="705" spans="1:12" ht="15.75" x14ac:dyDescent="0.3">
      <c r="A705" s="32"/>
      <c r="B705" s="39"/>
      <c r="C705" s="39"/>
      <c r="D705" s="32"/>
      <c r="E705" s="32"/>
      <c r="G705" s="32"/>
      <c r="H705" s="32"/>
      <c r="I705" s="32"/>
      <c r="J705" s="32"/>
      <c r="K705" s="32"/>
      <c r="L705" s="33"/>
    </row>
    <row r="706" spans="1:12" ht="15.75" x14ac:dyDescent="0.3">
      <c r="A706" s="32"/>
      <c r="B706" s="39"/>
      <c r="C706" s="39"/>
      <c r="D706" s="32"/>
      <c r="E706" s="32"/>
      <c r="G706" s="32"/>
      <c r="H706" s="32"/>
      <c r="I706" s="32"/>
      <c r="J706" s="32"/>
      <c r="K706" s="32"/>
      <c r="L706" s="33"/>
    </row>
    <row r="707" spans="1:12" ht="15.75" x14ac:dyDescent="0.3">
      <c r="A707" s="32"/>
      <c r="B707" s="39"/>
      <c r="C707" s="39"/>
      <c r="D707" s="32"/>
      <c r="E707" s="32"/>
      <c r="G707" s="32"/>
      <c r="H707" s="32"/>
      <c r="I707" s="32"/>
      <c r="J707" s="32"/>
      <c r="K707" s="32"/>
      <c r="L707" s="33"/>
    </row>
    <row r="708" spans="1:12" ht="15.75" x14ac:dyDescent="0.3">
      <c r="A708" s="32"/>
      <c r="B708" s="39"/>
      <c r="C708" s="39"/>
      <c r="D708" s="32"/>
      <c r="E708" s="32"/>
      <c r="G708" s="32"/>
      <c r="H708" s="32"/>
      <c r="I708" s="32"/>
      <c r="J708" s="32"/>
      <c r="K708" s="32"/>
      <c r="L708" s="33"/>
    </row>
    <row r="709" spans="1:12" ht="15.75" x14ac:dyDescent="0.3">
      <c r="A709" s="32"/>
      <c r="B709" s="39"/>
      <c r="C709" s="39"/>
      <c r="D709" s="32"/>
      <c r="E709" s="32"/>
      <c r="G709" s="32"/>
      <c r="H709" s="32"/>
      <c r="I709" s="32"/>
      <c r="J709" s="32"/>
      <c r="K709" s="32"/>
      <c r="L709" s="33"/>
    </row>
    <row r="710" spans="1:12" ht="15.75" x14ac:dyDescent="0.3">
      <c r="A710" s="32"/>
      <c r="B710" s="39"/>
      <c r="C710" s="39"/>
      <c r="D710" s="32"/>
      <c r="E710" s="32"/>
      <c r="G710" s="32"/>
      <c r="H710" s="32"/>
      <c r="I710" s="32"/>
      <c r="J710" s="32"/>
      <c r="K710" s="32"/>
      <c r="L710" s="33"/>
    </row>
    <row r="711" spans="1:12" ht="15.75" x14ac:dyDescent="0.3">
      <c r="A711" s="32"/>
      <c r="B711" s="39"/>
      <c r="C711" s="39"/>
      <c r="D711" s="32"/>
      <c r="E711" s="32"/>
      <c r="G711" s="32"/>
      <c r="H711" s="32"/>
      <c r="I711" s="32"/>
      <c r="J711" s="32"/>
      <c r="K711" s="32"/>
      <c r="L711" s="33"/>
    </row>
    <row r="712" spans="1:12" ht="15.75" x14ac:dyDescent="0.3">
      <c r="A712" s="32"/>
      <c r="B712" s="39"/>
      <c r="C712" s="39"/>
      <c r="D712" s="32"/>
      <c r="E712" s="32"/>
      <c r="G712" s="32"/>
      <c r="H712" s="32"/>
      <c r="I712" s="32"/>
      <c r="J712" s="32"/>
      <c r="K712" s="32"/>
      <c r="L712" s="33"/>
    </row>
    <row r="713" spans="1:12" ht="15.75" x14ac:dyDescent="0.3">
      <c r="A713" s="32"/>
      <c r="B713" s="39"/>
      <c r="C713" s="39"/>
      <c r="D713" s="32"/>
      <c r="E713" s="32"/>
      <c r="G713" s="32"/>
      <c r="H713" s="32"/>
      <c r="I713" s="32"/>
      <c r="J713" s="32"/>
      <c r="K713" s="32"/>
      <c r="L713" s="33"/>
    </row>
    <row r="714" spans="1:12" ht="15.75" x14ac:dyDescent="0.3">
      <c r="A714" s="32"/>
      <c r="B714" s="39"/>
      <c r="C714" s="39"/>
      <c r="D714" s="32"/>
      <c r="E714" s="32"/>
      <c r="G714" s="32"/>
      <c r="H714" s="32"/>
      <c r="I714" s="32"/>
      <c r="J714" s="32"/>
      <c r="K714" s="32"/>
      <c r="L714" s="33"/>
    </row>
    <row r="715" spans="1:12" ht="15.75" x14ac:dyDescent="0.3">
      <c r="A715" s="32"/>
      <c r="B715" s="39"/>
      <c r="C715" s="39"/>
      <c r="D715" s="32"/>
      <c r="E715" s="32"/>
      <c r="G715" s="32"/>
      <c r="H715" s="32"/>
      <c r="I715" s="32"/>
      <c r="J715" s="32"/>
      <c r="K715" s="32"/>
      <c r="L715" s="33"/>
    </row>
    <row r="716" spans="1:12" ht="15.75" x14ac:dyDescent="0.3">
      <c r="A716" s="32"/>
      <c r="B716" s="39"/>
      <c r="C716" s="39"/>
      <c r="D716" s="32"/>
      <c r="E716" s="32"/>
      <c r="G716" s="32"/>
      <c r="H716" s="32"/>
      <c r="I716" s="32"/>
      <c r="J716" s="32"/>
      <c r="K716" s="32"/>
      <c r="L716" s="33"/>
    </row>
    <row r="717" spans="1:12" ht="15.75" x14ac:dyDescent="0.3">
      <c r="A717" s="32"/>
      <c r="B717" s="39"/>
      <c r="C717" s="39"/>
      <c r="D717" s="32"/>
      <c r="E717" s="32"/>
      <c r="G717" s="32"/>
      <c r="H717" s="32"/>
      <c r="I717" s="32"/>
      <c r="J717" s="32"/>
      <c r="K717" s="32"/>
      <c r="L717" s="33"/>
    </row>
    <row r="718" spans="1:12" ht="15.75" x14ac:dyDescent="0.3">
      <c r="A718" s="32"/>
      <c r="B718" s="39"/>
      <c r="C718" s="39"/>
      <c r="D718" s="32"/>
      <c r="E718" s="32"/>
      <c r="G718" s="32"/>
      <c r="H718" s="32"/>
      <c r="I718" s="32"/>
      <c r="J718" s="32"/>
      <c r="K718" s="32"/>
      <c r="L718" s="33"/>
    </row>
    <row r="719" spans="1:12" ht="15.75" x14ac:dyDescent="0.3">
      <c r="A719" s="32"/>
      <c r="B719" s="39"/>
      <c r="C719" s="39"/>
      <c r="D719" s="32"/>
      <c r="E719" s="32"/>
      <c r="G719" s="32"/>
      <c r="H719" s="32"/>
      <c r="I719" s="32"/>
      <c r="J719" s="32"/>
      <c r="K719" s="32"/>
      <c r="L719" s="33"/>
    </row>
    <row r="720" spans="1:12" ht="15.75" x14ac:dyDescent="0.3">
      <c r="A720" s="32"/>
      <c r="B720" s="39"/>
      <c r="C720" s="39"/>
      <c r="D720" s="32"/>
      <c r="E720" s="32"/>
      <c r="G720" s="32"/>
      <c r="H720" s="32"/>
      <c r="I720" s="32"/>
      <c r="J720" s="32"/>
      <c r="K720" s="32"/>
      <c r="L720" s="33"/>
    </row>
    <row r="721" spans="1:12" ht="15.75" x14ac:dyDescent="0.3">
      <c r="A721" s="32"/>
      <c r="B721" s="39"/>
      <c r="C721" s="39"/>
      <c r="D721" s="32"/>
      <c r="E721" s="32"/>
      <c r="G721" s="32"/>
      <c r="H721" s="32"/>
      <c r="I721" s="32"/>
      <c r="J721" s="32"/>
      <c r="K721" s="32"/>
      <c r="L721" s="33"/>
    </row>
    <row r="722" spans="1:12" ht="15.75" x14ac:dyDescent="0.3">
      <c r="A722" s="32"/>
      <c r="B722" s="39"/>
      <c r="C722" s="39"/>
      <c r="D722" s="32"/>
      <c r="E722" s="32"/>
      <c r="G722" s="32"/>
      <c r="H722" s="32"/>
      <c r="I722" s="32"/>
      <c r="J722" s="32"/>
      <c r="K722" s="32"/>
      <c r="L722" s="33"/>
    </row>
    <row r="723" spans="1:12" ht="15.75" x14ac:dyDescent="0.3">
      <c r="A723" s="32"/>
      <c r="B723" s="39"/>
      <c r="C723" s="39"/>
      <c r="D723" s="32"/>
      <c r="E723" s="32"/>
      <c r="G723" s="32"/>
      <c r="H723" s="32"/>
      <c r="I723" s="32"/>
      <c r="J723" s="32"/>
      <c r="K723" s="32"/>
      <c r="L723" s="33"/>
    </row>
    <row r="724" spans="1:12" ht="15.75" x14ac:dyDescent="0.3">
      <c r="A724" s="32"/>
      <c r="B724" s="39"/>
      <c r="C724" s="39"/>
      <c r="D724" s="32"/>
      <c r="E724" s="32"/>
      <c r="G724" s="32"/>
      <c r="H724" s="32"/>
      <c r="I724" s="32"/>
      <c r="J724" s="32"/>
      <c r="K724" s="32"/>
      <c r="L724" s="33"/>
    </row>
    <row r="725" spans="1:12" ht="15.75" x14ac:dyDescent="0.3">
      <c r="A725" s="32"/>
      <c r="B725" s="39"/>
      <c r="C725" s="39"/>
      <c r="D725" s="32"/>
      <c r="E725" s="32"/>
      <c r="G725" s="32"/>
      <c r="H725" s="32"/>
      <c r="I725" s="32"/>
      <c r="J725" s="32"/>
      <c r="K725" s="32"/>
      <c r="L725" s="33"/>
    </row>
    <row r="726" spans="1:12" ht="15.75" x14ac:dyDescent="0.3">
      <c r="A726" s="32"/>
      <c r="B726" s="39"/>
      <c r="C726" s="39"/>
      <c r="D726" s="32"/>
      <c r="E726" s="32"/>
      <c r="G726" s="32"/>
      <c r="H726" s="32"/>
      <c r="I726" s="32"/>
      <c r="J726" s="32"/>
      <c r="K726" s="32"/>
      <c r="L726" s="33"/>
    </row>
    <row r="727" spans="1:12" ht="15.75" x14ac:dyDescent="0.3">
      <c r="A727" s="32"/>
      <c r="B727" s="39"/>
      <c r="C727" s="39"/>
      <c r="D727" s="32"/>
      <c r="E727" s="32"/>
      <c r="G727" s="32"/>
      <c r="H727" s="32"/>
      <c r="I727" s="32"/>
      <c r="J727" s="32"/>
      <c r="K727" s="32"/>
      <c r="L727" s="33"/>
    </row>
    <row r="728" spans="1:12" ht="15.75" x14ac:dyDescent="0.3">
      <c r="A728" s="32"/>
      <c r="B728" s="39"/>
      <c r="C728" s="39"/>
      <c r="D728" s="32"/>
      <c r="E728" s="32"/>
      <c r="G728" s="32"/>
      <c r="H728" s="32"/>
      <c r="I728" s="32"/>
      <c r="J728" s="32"/>
      <c r="K728" s="32"/>
      <c r="L728" s="33"/>
    </row>
    <row r="729" spans="1:12" ht="15.75" x14ac:dyDescent="0.3">
      <c r="A729" s="32"/>
      <c r="B729" s="39"/>
      <c r="C729" s="39"/>
      <c r="D729" s="32"/>
      <c r="E729" s="32"/>
      <c r="G729" s="32"/>
      <c r="H729" s="32"/>
      <c r="I729" s="32"/>
      <c r="J729" s="32"/>
      <c r="K729" s="32"/>
      <c r="L729" s="33"/>
    </row>
    <row r="730" spans="1:12" ht="15.75" x14ac:dyDescent="0.3">
      <c r="A730" s="32"/>
      <c r="B730" s="39"/>
      <c r="C730" s="39"/>
      <c r="D730" s="32"/>
      <c r="E730" s="32"/>
      <c r="G730" s="32"/>
      <c r="H730" s="32"/>
      <c r="I730" s="32"/>
      <c r="J730" s="32"/>
      <c r="K730" s="32"/>
      <c r="L730" s="33"/>
    </row>
    <row r="731" spans="1:12" ht="15.75" x14ac:dyDescent="0.3">
      <c r="A731" s="32"/>
      <c r="B731" s="39"/>
      <c r="C731" s="39"/>
      <c r="D731" s="32"/>
      <c r="E731" s="32"/>
      <c r="G731" s="32"/>
      <c r="H731" s="32"/>
      <c r="I731" s="32"/>
      <c r="J731" s="32"/>
      <c r="K731" s="32"/>
      <c r="L731" s="33"/>
    </row>
    <row r="732" spans="1:12" ht="15.75" x14ac:dyDescent="0.3">
      <c r="A732" s="32"/>
      <c r="B732" s="39"/>
      <c r="C732" s="39"/>
      <c r="D732" s="32"/>
      <c r="E732" s="32"/>
      <c r="G732" s="32"/>
      <c r="H732" s="32"/>
      <c r="I732" s="32"/>
      <c r="J732" s="32"/>
      <c r="K732" s="32"/>
      <c r="L732" s="33"/>
    </row>
    <row r="733" spans="1:12" ht="15.75" x14ac:dyDescent="0.3">
      <c r="A733" s="32"/>
      <c r="B733" s="39"/>
      <c r="C733" s="39"/>
      <c r="D733" s="32"/>
      <c r="E733" s="32"/>
      <c r="G733" s="32"/>
      <c r="H733" s="32"/>
      <c r="I733" s="32"/>
      <c r="J733" s="32"/>
      <c r="K733" s="32"/>
      <c r="L733" s="33"/>
    </row>
    <row r="734" spans="1:12" ht="15.75" x14ac:dyDescent="0.3">
      <c r="A734" s="32"/>
      <c r="B734" s="39"/>
      <c r="C734" s="39"/>
      <c r="D734" s="32"/>
      <c r="E734" s="32"/>
      <c r="G734" s="32"/>
      <c r="H734" s="32"/>
      <c r="I734" s="32"/>
      <c r="J734" s="32"/>
      <c r="K734" s="32"/>
      <c r="L734" s="33"/>
    </row>
    <row r="735" spans="1:12" ht="15.75" x14ac:dyDescent="0.3">
      <c r="A735" s="32"/>
      <c r="B735" s="39"/>
      <c r="C735" s="39"/>
      <c r="D735" s="32"/>
      <c r="E735" s="32"/>
      <c r="G735" s="32"/>
      <c r="H735" s="32"/>
      <c r="I735" s="32"/>
      <c r="J735" s="32"/>
      <c r="K735" s="32"/>
      <c r="L735" s="33"/>
    </row>
    <row r="736" spans="1:12" ht="15.75" x14ac:dyDescent="0.3">
      <c r="A736" s="32"/>
      <c r="B736" s="39"/>
      <c r="C736" s="39"/>
      <c r="D736" s="32"/>
      <c r="E736" s="32"/>
      <c r="G736" s="32"/>
      <c r="H736" s="32"/>
      <c r="I736" s="32"/>
      <c r="J736" s="32"/>
      <c r="K736" s="32"/>
      <c r="L736" s="33"/>
    </row>
    <row r="737" spans="1:12" ht="15.75" x14ac:dyDescent="0.3">
      <c r="A737" s="32"/>
      <c r="B737" s="39"/>
      <c r="C737" s="39"/>
      <c r="D737" s="32"/>
      <c r="E737" s="32"/>
      <c r="G737" s="32"/>
      <c r="H737" s="32"/>
      <c r="I737" s="32"/>
      <c r="J737" s="32"/>
      <c r="K737" s="32"/>
      <c r="L737" s="33"/>
    </row>
    <row r="738" spans="1:12" ht="15.75" x14ac:dyDescent="0.3">
      <c r="A738" s="32"/>
      <c r="B738" s="39"/>
      <c r="C738" s="39"/>
      <c r="D738" s="32"/>
      <c r="E738" s="32"/>
      <c r="G738" s="32"/>
      <c r="H738" s="32"/>
      <c r="I738" s="32"/>
      <c r="J738" s="32"/>
      <c r="K738" s="32"/>
      <c r="L738" s="33"/>
    </row>
    <row r="739" spans="1:12" ht="15.75" x14ac:dyDescent="0.3">
      <c r="A739" s="32"/>
      <c r="B739" s="39"/>
      <c r="C739" s="39"/>
      <c r="D739" s="32"/>
      <c r="E739" s="32"/>
      <c r="G739" s="32"/>
      <c r="H739" s="32"/>
      <c r="I739" s="32"/>
      <c r="J739" s="32"/>
      <c r="K739" s="32"/>
      <c r="L739" s="33"/>
    </row>
    <row r="740" spans="1:12" ht="15.75" x14ac:dyDescent="0.3">
      <c r="A740" s="32"/>
      <c r="B740" s="39"/>
      <c r="C740" s="39"/>
      <c r="D740" s="32"/>
      <c r="E740" s="32"/>
      <c r="G740" s="32"/>
      <c r="H740" s="32"/>
      <c r="I740" s="32"/>
      <c r="J740" s="32"/>
      <c r="K740" s="32"/>
      <c r="L740" s="33"/>
    </row>
    <row r="741" spans="1:12" ht="15.75" x14ac:dyDescent="0.3">
      <c r="A741" s="32"/>
      <c r="B741" s="39"/>
      <c r="C741" s="39"/>
      <c r="D741" s="32"/>
      <c r="E741" s="32"/>
      <c r="G741" s="32"/>
      <c r="H741" s="32"/>
      <c r="I741" s="32"/>
      <c r="J741" s="32"/>
      <c r="K741" s="32"/>
      <c r="L741" s="33"/>
    </row>
    <row r="742" spans="1:12" ht="15.75" x14ac:dyDescent="0.3">
      <c r="A742" s="32"/>
      <c r="B742" s="39"/>
      <c r="C742" s="39"/>
      <c r="D742" s="32"/>
      <c r="E742" s="32"/>
      <c r="G742" s="32"/>
      <c r="H742" s="32"/>
      <c r="I742" s="32"/>
      <c r="J742" s="32"/>
      <c r="K742" s="32"/>
      <c r="L742" s="33"/>
    </row>
    <row r="743" spans="1:12" ht="15.75" x14ac:dyDescent="0.3">
      <c r="A743" s="32"/>
      <c r="B743" s="39"/>
      <c r="C743" s="39"/>
      <c r="D743" s="32"/>
      <c r="E743" s="32"/>
      <c r="G743" s="32"/>
      <c r="H743" s="32"/>
      <c r="I743" s="32"/>
      <c r="J743" s="32"/>
      <c r="K743" s="32"/>
      <c r="L743" s="33"/>
    </row>
    <row r="744" spans="1:12" ht="15.75" x14ac:dyDescent="0.3">
      <c r="A744" s="32"/>
      <c r="B744" s="39"/>
      <c r="C744" s="39"/>
      <c r="D744" s="32"/>
      <c r="E744" s="32"/>
      <c r="G744" s="32"/>
      <c r="H744" s="32"/>
      <c r="I744" s="32"/>
      <c r="J744" s="32"/>
      <c r="K744" s="32"/>
      <c r="L744" s="33"/>
    </row>
    <row r="745" spans="1:12" ht="15.75" x14ac:dyDescent="0.3">
      <c r="A745" s="32"/>
      <c r="B745" s="39"/>
      <c r="C745" s="39"/>
      <c r="D745" s="32"/>
      <c r="E745" s="32"/>
      <c r="G745" s="32"/>
      <c r="H745" s="32"/>
      <c r="I745" s="32"/>
      <c r="J745" s="32"/>
      <c r="K745" s="32"/>
      <c r="L745" s="33"/>
    </row>
    <row r="746" spans="1:12" ht="15.75" x14ac:dyDescent="0.3">
      <c r="A746" s="32"/>
      <c r="B746" s="39"/>
      <c r="C746" s="39"/>
      <c r="D746" s="32"/>
      <c r="E746" s="32"/>
      <c r="G746" s="32"/>
      <c r="H746" s="32"/>
      <c r="I746" s="32"/>
      <c r="J746" s="32"/>
      <c r="K746" s="32"/>
      <c r="L746" s="33"/>
    </row>
    <row r="747" spans="1:12" ht="15.75" x14ac:dyDescent="0.3">
      <c r="A747" s="32"/>
      <c r="B747" s="39"/>
      <c r="C747" s="39"/>
      <c r="D747" s="32"/>
      <c r="E747" s="32"/>
      <c r="G747" s="32"/>
      <c r="H747" s="32"/>
      <c r="I747" s="32"/>
      <c r="J747" s="32"/>
      <c r="K747" s="32"/>
      <c r="L747" s="33"/>
    </row>
    <row r="748" spans="1:12" ht="15.75" x14ac:dyDescent="0.3">
      <c r="A748" s="32"/>
      <c r="B748" s="39"/>
      <c r="C748" s="39"/>
      <c r="D748" s="32"/>
      <c r="E748" s="32"/>
      <c r="G748" s="32"/>
      <c r="H748" s="32"/>
      <c r="I748" s="32"/>
      <c r="J748" s="32"/>
      <c r="K748" s="32"/>
      <c r="L748" s="33"/>
    </row>
    <row r="749" spans="1:12" ht="15.75" x14ac:dyDescent="0.3">
      <c r="A749" s="32"/>
      <c r="B749" s="39"/>
      <c r="C749" s="39"/>
      <c r="D749" s="32"/>
      <c r="E749" s="32"/>
      <c r="G749" s="32"/>
      <c r="H749" s="32"/>
      <c r="I749" s="32"/>
      <c r="J749" s="32"/>
      <c r="K749" s="32"/>
      <c r="L749" s="33"/>
    </row>
    <row r="750" spans="1:12" ht="15.75" x14ac:dyDescent="0.3">
      <c r="A750" s="32"/>
      <c r="B750" s="39"/>
      <c r="C750" s="39"/>
      <c r="D750" s="32"/>
      <c r="E750" s="32"/>
      <c r="G750" s="32"/>
      <c r="H750" s="32"/>
      <c r="I750" s="32"/>
      <c r="J750" s="32"/>
      <c r="K750" s="32"/>
      <c r="L750" s="33"/>
    </row>
    <row r="751" spans="1:12" ht="15.75" x14ac:dyDescent="0.3">
      <c r="A751" s="32"/>
      <c r="B751" s="39"/>
      <c r="C751" s="39"/>
      <c r="D751" s="32"/>
      <c r="E751" s="32"/>
      <c r="G751" s="32"/>
      <c r="H751" s="32"/>
      <c r="I751" s="32"/>
      <c r="J751" s="32"/>
      <c r="K751" s="32"/>
      <c r="L751" s="33"/>
    </row>
    <row r="752" spans="1:12" ht="15.75" x14ac:dyDescent="0.3">
      <c r="A752" s="32"/>
      <c r="B752" s="39"/>
      <c r="C752" s="39"/>
      <c r="D752" s="32"/>
      <c r="E752" s="32"/>
      <c r="G752" s="32"/>
      <c r="H752" s="32"/>
      <c r="I752" s="32"/>
      <c r="J752" s="32"/>
      <c r="K752" s="32"/>
      <c r="L752" s="33"/>
    </row>
    <row r="753" spans="1:12" ht="15.75" x14ac:dyDescent="0.3">
      <c r="A753" s="32"/>
      <c r="B753" s="39"/>
      <c r="C753" s="39"/>
      <c r="D753" s="32"/>
      <c r="E753" s="32"/>
      <c r="G753" s="32"/>
      <c r="H753" s="32"/>
      <c r="I753" s="32"/>
      <c r="J753" s="32"/>
      <c r="K753" s="32"/>
      <c r="L753" s="33"/>
    </row>
    <row r="754" spans="1:12" ht="15.75" x14ac:dyDescent="0.3">
      <c r="A754" s="32"/>
      <c r="B754" s="39"/>
      <c r="C754" s="39"/>
      <c r="D754" s="32"/>
      <c r="E754" s="32"/>
      <c r="G754" s="32"/>
      <c r="H754" s="32"/>
      <c r="I754" s="32"/>
      <c r="J754" s="32"/>
      <c r="K754" s="32"/>
      <c r="L754" s="33"/>
    </row>
    <row r="755" spans="1:12" ht="15.75" x14ac:dyDescent="0.3">
      <c r="A755" s="32"/>
      <c r="B755" s="39"/>
      <c r="C755" s="39"/>
      <c r="D755" s="32"/>
      <c r="E755" s="32"/>
      <c r="G755" s="32"/>
      <c r="H755" s="32"/>
      <c r="I755" s="32"/>
      <c r="J755" s="32"/>
      <c r="K755" s="32"/>
      <c r="L755" s="33"/>
    </row>
    <row r="756" spans="1:12" ht="15.75" x14ac:dyDescent="0.3">
      <c r="A756" s="32"/>
      <c r="B756" s="39"/>
      <c r="C756" s="39"/>
      <c r="D756" s="32"/>
      <c r="E756" s="32"/>
      <c r="G756" s="32"/>
      <c r="H756" s="32"/>
      <c r="I756" s="32"/>
      <c r="J756" s="32"/>
      <c r="K756" s="32"/>
      <c r="L756" s="33"/>
    </row>
    <row r="757" spans="1:12" ht="15.75" x14ac:dyDescent="0.3">
      <c r="A757" s="32"/>
      <c r="B757" s="39"/>
      <c r="C757" s="39"/>
      <c r="D757" s="32"/>
      <c r="E757" s="32"/>
      <c r="G757" s="32"/>
      <c r="H757" s="32"/>
      <c r="I757" s="32"/>
      <c r="J757" s="32"/>
      <c r="K757" s="32"/>
      <c r="L757" s="33"/>
    </row>
    <row r="758" spans="1:12" ht="15.75" x14ac:dyDescent="0.3">
      <c r="A758" s="32"/>
      <c r="B758" s="39"/>
      <c r="C758" s="39"/>
      <c r="D758" s="32"/>
      <c r="E758" s="32"/>
      <c r="G758" s="32"/>
      <c r="H758" s="32"/>
      <c r="I758" s="32"/>
      <c r="J758" s="32"/>
      <c r="K758" s="32"/>
      <c r="L758" s="33"/>
    </row>
    <row r="759" spans="1:12" ht="15.75" x14ac:dyDescent="0.3">
      <c r="A759" s="32"/>
      <c r="B759" s="39"/>
      <c r="C759" s="39"/>
      <c r="D759" s="32"/>
      <c r="E759" s="32"/>
      <c r="G759" s="32"/>
      <c r="H759" s="32"/>
      <c r="I759" s="32"/>
      <c r="J759" s="32"/>
      <c r="K759" s="32"/>
      <c r="L759" s="33"/>
    </row>
    <row r="760" spans="1:12" ht="15.75" x14ac:dyDescent="0.3">
      <c r="A760" s="32"/>
      <c r="B760" s="39"/>
      <c r="C760" s="39"/>
      <c r="D760" s="32"/>
      <c r="E760" s="32"/>
      <c r="G760" s="32"/>
      <c r="H760" s="32"/>
      <c r="I760" s="32"/>
      <c r="J760" s="32"/>
      <c r="K760" s="32"/>
      <c r="L760" s="33"/>
    </row>
    <row r="761" spans="1:12" ht="15.75" x14ac:dyDescent="0.3">
      <c r="A761" s="32"/>
      <c r="B761" s="39"/>
      <c r="C761" s="39"/>
      <c r="D761" s="32"/>
      <c r="E761" s="32"/>
      <c r="G761" s="32"/>
      <c r="H761" s="32"/>
      <c r="I761" s="32"/>
      <c r="J761" s="32"/>
      <c r="K761" s="32"/>
      <c r="L761" s="33"/>
    </row>
    <row r="762" spans="1:12" ht="15.75" x14ac:dyDescent="0.3">
      <c r="A762" s="32"/>
      <c r="B762" s="39"/>
      <c r="C762" s="39"/>
      <c r="D762" s="32"/>
      <c r="E762" s="32"/>
      <c r="G762" s="32"/>
      <c r="H762" s="32"/>
      <c r="I762" s="32"/>
      <c r="J762" s="32"/>
      <c r="K762" s="32"/>
      <c r="L762" s="33"/>
    </row>
    <row r="763" spans="1:12" ht="15.75" x14ac:dyDescent="0.3">
      <c r="A763" s="32"/>
      <c r="B763" s="39"/>
      <c r="C763" s="39"/>
      <c r="D763" s="32"/>
      <c r="E763" s="32"/>
      <c r="G763" s="32"/>
      <c r="H763" s="32"/>
      <c r="I763" s="32"/>
      <c r="J763" s="32"/>
      <c r="K763" s="32"/>
      <c r="L763" s="33"/>
    </row>
    <row r="764" spans="1:12" ht="15.75" x14ac:dyDescent="0.3">
      <c r="A764" s="32"/>
      <c r="B764" s="39"/>
      <c r="C764" s="39"/>
      <c r="D764" s="32"/>
      <c r="E764" s="32"/>
      <c r="G764" s="32"/>
      <c r="H764" s="32"/>
      <c r="I764" s="32"/>
      <c r="J764" s="32"/>
      <c r="K764" s="32"/>
      <c r="L764" s="33"/>
    </row>
    <row r="765" spans="1:12" ht="15.75" x14ac:dyDescent="0.3">
      <c r="A765" s="32"/>
      <c r="B765" s="39"/>
      <c r="C765" s="39"/>
      <c r="D765" s="32"/>
      <c r="E765" s="32"/>
      <c r="G765" s="32"/>
      <c r="H765" s="32"/>
      <c r="I765" s="32"/>
      <c r="J765" s="32"/>
      <c r="K765" s="32"/>
      <c r="L765" s="33"/>
    </row>
    <row r="766" spans="1:12" ht="15.75" x14ac:dyDescent="0.3">
      <c r="A766" s="32"/>
      <c r="B766" s="39"/>
      <c r="C766" s="39"/>
      <c r="D766" s="32"/>
      <c r="E766" s="32"/>
      <c r="G766" s="32"/>
      <c r="H766" s="32"/>
      <c r="I766" s="32"/>
      <c r="J766" s="32"/>
      <c r="K766" s="32"/>
      <c r="L766" s="33"/>
    </row>
    <row r="767" spans="1:12" ht="15.75" x14ac:dyDescent="0.3">
      <c r="A767" s="32"/>
      <c r="B767" s="39"/>
      <c r="C767" s="39"/>
      <c r="D767" s="32"/>
      <c r="E767" s="32"/>
      <c r="G767" s="32"/>
      <c r="H767" s="32"/>
      <c r="I767" s="32"/>
      <c r="J767" s="32"/>
      <c r="K767" s="32"/>
      <c r="L767" s="33"/>
    </row>
    <row r="768" spans="1:12" ht="15.75" x14ac:dyDescent="0.3">
      <c r="A768" s="32"/>
      <c r="B768" s="39"/>
      <c r="C768" s="39"/>
      <c r="D768" s="32"/>
      <c r="E768" s="32"/>
      <c r="G768" s="32"/>
      <c r="H768" s="32"/>
      <c r="I768" s="32"/>
      <c r="J768" s="32"/>
      <c r="K768" s="32"/>
      <c r="L768" s="33"/>
    </row>
    <row r="769" spans="1:12" ht="15.75" x14ac:dyDescent="0.3">
      <c r="A769" s="32"/>
      <c r="B769" s="39"/>
      <c r="C769" s="39"/>
      <c r="D769" s="32"/>
      <c r="E769" s="32"/>
      <c r="G769" s="32"/>
      <c r="H769" s="32"/>
      <c r="I769" s="32"/>
      <c r="J769" s="32"/>
      <c r="K769" s="32"/>
      <c r="L769" s="33"/>
    </row>
    <row r="770" spans="1:12" ht="15.75" x14ac:dyDescent="0.3">
      <c r="A770" s="32"/>
      <c r="B770" s="39"/>
      <c r="C770" s="39"/>
      <c r="D770" s="32"/>
      <c r="E770" s="32"/>
      <c r="G770" s="32"/>
      <c r="H770" s="32"/>
      <c r="I770" s="32"/>
      <c r="J770" s="32"/>
      <c r="K770" s="32"/>
      <c r="L770" s="33"/>
    </row>
    <row r="771" spans="1:12" ht="15.75" x14ac:dyDescent="0.3">
      <c r="A771" s="32"/>
      <c r="B771" s="39"/>
      <c r="C771" s="39"/>
      <c r="D771" s="32"/>
      <c r="E771" s="32"/>
      <c r="G771" s="32"/>
      <c r="H771" s="32"/>
      <c r="I771" s="32"/>
      <c r="J771" s="32"/>
      <c r="K771" s="32"/>
      <c r="L771" s="33"/>
    </row>
    <row r="772" spans="1:12" ht="15.75" x14ac:dyDescent="0.3">
      <c r="A772" s="32"/>
      <c r="B772" s="39"/>
      <c r="C772" s="39"/>
      <c r="D772" s="32"/>
      <c r="E772" s="32"/>
      <c r="G772" s="32"/>
      <c r="H772" s="32"/>
      <c r="I772" s="32"/>
      <c r="J772" s="32"/>
      <c r="K772" s="32"/>
      <c r="L772" s="33"/>
    </row>
    <row r="773" spans="1:12" ht="15.75" x14ac:dyDescent="0.3">
      <c r="A773" s="32"/>
      <c r="B773" s="39"/>
      <c r="C773" s="39"/>
      <c r="D773" s="32"/>
      <c r="E773" s="32"/>
      <c r="G773" s="32"/>
      <c r="H773" s="32"/>
      <c r="I773" s="32"/>
      <c r="J773" s="32"/>
      <c r="K773" s="32"/>
      <c r="L773" s="33"/>
    </row>
    <row r="774" spans="1:12" ht="15.75" x14ac:dyDescent="0.3">
      <c r="A774" s="32"/>
      <c r="B774" s="39"/>
      <c r="C774" s="39"/>
      <c r="D774" s="32"/>
      <c r="E774" s="32"/>
      <c r="G774" s="32"/>
      <c r="H774" s="32"/>
      <c r="I774" s="32"/>
      <c r="J774" s="32"/>
      <c r="K774" s="32"/>
      <c r="L774" s="33"/>
    </row>
    <row r="775" spans="1:12" ht="15.75" x14ac:dyDescent="0.3">
      <c r="A775" s="32"/>
      <c r="B775" s="39"/>
      <c r="C775" s="39"/>
      <c r="D775" s="32"/>
      <c r="E775" s="32"/>
      <c r="G775" s="32"/>
      <c r="H775" s="32"/>
      <c r="I775" s="32"/>
      <c r="J775" s="32"/>
      <c r="K775" s="32"/>
      <c r="L775" s="33"/>
    </row>
    <row r="776" spans="1:12" ht="15.75" x14ac:dyDescent="0.3">
      <c r="A776" s="32"/>
      <c r="B776" s="39"/>
      <c r="C776" s="39"/>
      <c r="D776" s="32"/>
      <c r="E776" s="32"/>
      <c r="G776" s="32"/>
      <c r="H776" s="32"/>
      <c r="I776" s="32"/>
      <c r="J776" s="32"/>
      <c r="K776" s="32"/>
      <c r="L776" s="33"/>
    </row>
    <row r="777" spans="1:12" ht="15.75" x14ac:dyDescent="0.3">
      <c r="A777" s="32"/>
      <c r="B777" s="39"/>
      <c r="C777" s="39"/>
      <c r="D777" s="32"/>
      <c r="E777" s="32"/>
      <c r="G777" s="32"/>
      <c r="H777" s="32"/>
      <c r="I777" s="32"/>
      <c r="J777" s="32"/>
      <c r="K777" s="32"/>
      <c r="L777" s="33"/>
    </row>
    <row r="778" spans="1:12" ht="15.75" x14ac:dyDescent="0.3">
      <c r="A778" s="32"/>
      <c r="B778" s="39"/>
      <c r="C778" s="39"/>
      <c r="D778" s="32"/>
      <c r="E778" s="32"/>
      <c r="G778" s="32"/>
      <c r="H778" s="32"/>
      <c r="I778" s="32"/>
      <c r="J778" s="32"/>
      <c r="K778" s="32"/>
      <c r="L778" s="33"/>
    </row>
    <row r="779" spans="1:12" ht="15.75" x14ac:dyDescent="0.3">
      <c r="A779" s="32"/>
      <c r="B779" s="39"/>
      <c r="C779" s="39"/>
      <c r="D779" s="32"/>
      <c r="E779" s="32"/>
      <c r="G779" s="32"/>
      <c r="H779" s="32"/>
      <c r="I779" s="32"/>
      <c r="J779" s="32"/>
      <c r="K779" s="32"/>
      <c r="L779" s="33"/>
    </row>
    <row r="780" spans="1:12" ht="15.75" x14ac:dyDescent="0.3">
      <c r="A780" s="32"/>
      <c r="B780" s="39"/>
      <c r="C780" s="39"/>
      <c r="D780" s="32"/>
      <c r="E780" s="32"/>
      <c r="G780" s="32"/>
      <c r="H780" s="32"/>
      <c r="I780" s="32"/>
      <c r="J780" s="32"/>
      <c r="K780" s="32"/>
      <c r="L780" s="33"/>
    </row>
    <row r="781" spans="1:12" ht="15.75" x14ac:dyDescent="0.3">
      <c r="A781" s="32"/>
      <c r="B781" s="39"/>
      <c r="C781" s="39"/>
      <c r="D781" s="32"/>
      <c r="E781" s="32"/>
      <c r="G781" s="32"/>
      <c r="H781" s="32"/>
      <c r="I781" s="32"/>
      <c r="J781" s="32"/>
      <c r="K781" s="32"/>
      <c r="L781" s="33"/>
    </row>
    <row r="782" spans="1:12" ht="15.75" x14ac:dyDescent="0.3">
      <c r="A782" s="32"/>
      <c r="B782" s="39"/>
      <c r="C782" s="39"/>
      <c r="D782" s="32"/>
      <c r="E782" s="32"/>
      <c r="G782" s="32"/>
      <c r="H782" s="32"/>
      <c r="I782" s="32"/>
      <c r="J782" s="32"/>
      <c r="K782" s="32"/>
      <c r="L782" s="33"/>
    </row>
    <row r="783" spans="1:12" ht="15.75" x14ac:dyDescent="0.3">
      <c r="A783" s="32"/>
      <c r="B783" s="39"/>
      <c r="C783" s="39"/>
      <c r="D783" s="32"/>
      <c r="E783" s="32"/>
      <c r="G783" s="32"/>
      <c r="H783" s="32"/>
      <c r="I783" s="32"/>
      <c r="J783" s="32"/>
      <c r="K783" s="32"/>
      <c r="L783" s="33"/>
    </row>
    <row r="784" spans="1:12" ht="15.75" x14ac:dyDescent="0.3">
      <c r="A784" s="32"/>
      <c r="B784" s="39"/>
      <c r="C784" s="39"/>
      <c r="D784" s="32"/>
      <c r="E784" s="32"/>
      <c r="G784" s="32"/>
      <c r="H784" s="32"/>
      <c r="I784" s="32"/>
      <c r="J784" s="32"/>
      <c r="K784" s="32"/>
      <c r="L784" s="33"/>
    </row>
    <row r="785" spans="1:12" ht="15.75" x14ac:dyDescent="0.3">
      <c r="A785" s="32"/>
      <c r="B785" s="39"/>
      <c r="C785" s="39"/>
      <c r="D785" s="32"/>
      <c r="E785" s="32"/>
      <c r="G785" s="32"/>
      <c r="H785" s="32"/>
      <c r="I785" s="32"/>
      <c r="J785" s="32"/>
      <c r="K785" s="32"/>
      <c r="L785" s="33"/>
    </row>
    <row r="786" spans="1:12" ht="15.75" x14ac:dyDescent="0.3">
      <c r="A786" s="32"/>
      <c r="B786" s="39"/>
      <c r="C786" s="39"/>
      <c r="D786" s="32"/>
      <c r="E786" s="32"/>
      <c r="G786" s="32"/>
      <c r="H786" s="32"/>
      <c r="I786" s="32"/>
      <c r="J786" s="32"/>
      <c r="K786" s="32"/>
      <c r="L786" s="33"/>
    </row>
    <row r="787" spans="1:12" ht="15.75" x14ac:dyDescent="0.3">
      <c r="A787" s="32"/>
      <c r="B787" s="39"/>
      <c r="C787" s="39"/>
      <c r="D787" s="32"/>
      <c r="E787" s="32"/>
      <c r="G787" s="32"/>
      <c r="H787" s="32"/>
      <c r="I787" s="32"/>
      <c r="J787" s="32"/>
      <c r="K787" s="32"/>
      <c r="L787" s="33"/>
    </row>
    <row r="788" spans="1:12" ht="15.75" x14ac:dyDescent="0.3">
      <c r="A788" s="32"/>
      <c r="B788" s="39"/>
      <c r="C788" s="39"/>
      <c r="D788" s="32"/>
      <c r="E788" s="32"/>
      <c r="G788" s="32"/>
      <c r="H788" s="32"/>
      <c r="I788" s="32"/>
      <c r="J788" s="32"/>
      <c r="K788" s="32"/>
      <c r="L788" s="33"/>
    </row>
    <row r="789" spans="1:12" ht="15.75" x14ac:dyDescent="0.3">
      <c r="A789" s="32"/>
      <c r="B789" s="39"/>
      <c r="C789" s="39"/>
      <c r="D789" s="32"/>
      <c r="E789" s="32"/>
      <c r="G789" s="32"/>
      <c r="H789" s="32"/>
      <c r="I789" s="32"/>
      <c r="J789" s="32"/>
      <c r="K789" s="32"/>
      <c r="L789" s="33"/>
    </row>
    <row r="790" spans="1:12" ht="15.75" x14ac:dyDescent="0.3">
      <c r="A790" s="32"/>
      <c r="B790" s="39"/>
      <c r="C790" s="39"/>
      <c r="D790" s="32"/>
      <c r="E790" s="32"/>
      <c r="G790" s="32"/>
      <c r="H790" s="32"/>
      <c r="I790" s="32"/>
      <c r="J790" s="32"/>
      <c r="K790" s="32"/>
      <c r="L790" s="33"/>
    </row>
    <row r="791" spans="1:12" ht="15.75" x14ac:dyDescent="0.3">
      <c r="A791" s="32"/>
      <c r="B791" s="39"/>
      <c r="C791" s="39"/>
      <c r="D791" s="32"/>
      <c r="E791" s="32"/>
      <c r="G791" s="32"/>
      <c r="H791" s="32"/>
      <c r="I791" s="32"/>
      <c r="J791" s="32"/>
      <c r="K791" s="32"/>
      <c r="L791" s="33"/>
    </row>
    <row r="792" spans="1:12" ht="15.75" x14ac:dyDescent="0.3">
      <c r="A792" s="32"/>
      <c r="B792" s="39"/>
      <c r="C792" s="39"/>
      <c r="D792" s="32"/>
      <c r="E792" s="32"/>
      <c r="G792" s="32"/>
      <c r="H792" s="32"/>
      <c r="I792" s="32"/>
      <c r="J792" s="32"/>
      <c r="K792" s="32"/>
      <c r="L792" s="33"/>
    </row>
    <row r="793" spans="1:12" ht="15.75" x14ac:dyDescent="0.3">
      <c r="A793" s="32"/>
      <c r="B793" s="39"/>
      <c r="C793" s="39"/>
      <c r="D793" s="32"/>
      <c r="E793" s="32"/>
      <c r="G793" s="32"/>
      <c r="H793" s="32"/>
      <c r="I793" s="32"/>
      <c r="J793" s="32"/>
      <c r="K793" s="32"/>
      <c r="L793" s="33"/>
    </row>
    <row r="794" spans="1:12" ht="15.75" x14ac:dyDescent="0.3">
      <c r="A794" s="32"/>
      <c r="B794" s="39"/>
      <c r="C794" s="39"/>
      <c r="D794" s="32"/>
      <c r="E794" s="32"/>
      <c r="G794" s="32"/>
      <c r="H794" s="32"/>
      <c r="I794" s="32"/>
      <c r="J794" s="32"/>
      <c r="K794" s="32"/>
      <c r="L794" s="33"/>
    </row>
    <row r="795" spans="1:12" ht="15.75" x14ac:dyDescent="0.3">
      <c r="A795" s="32"/>
      <c r="B795" s="39"/>
      <c r="C795" s="39"/>
      <c r="D795" s="32"/>
      <c r="E795" s="32"/>
      <c r="G795" s="32"/>
      <c r="H795" s="32"/>
      <c r="I795" s="32"/>
      <c r="J795" s="32"/>
      <c r="K795" s="32"/>
      <c r="L795" s="33"/>
    </row>
    <row r="796" spans="1:12" ht="15.75" x14ac:dyDescent="0.3">
      <c r="A796" s="32"/>
      <c r="B796" s="39"/>
      <c r="C796" s="39"/>
      <c r="D796" s="32"/>
      <c r="E796" s="32"/>
      <c r="G796" s="32"/>
      <c r="H796" s="32"/>
      <c r="I796" s="32"/>
      <c r="J796" s="32"/>
      <c r="K796" s="32"/>
      <c r="L796" s="33"/>
    </row>
    <row r="797" spans="1:12" ht="15.75" x14ac:dyDescent="0.3">
      <c r="A797" s="32"/>
      <c r="B797" s="39"/>
      <c r="C797" s="39"/>
      <c r="D797" s="32"/>
      <c r="E797" s="32"/>
      <c r="G797" s="32"/>
      <c r="H797" s="32"/>
      <c r="I797" s="32"/>
      <c r="J797" s="32"/>
      <c r="K797" s="32"/>
      <c r="L797" s="33"/>
    </row>
    <row r="798" spans="1:12" ht="15.75" x14ac:dyDescent="0.3">
      <c r="A798" s="32"/>
      <c r="B798" s="39"/>
      <c r="C798" s="39"/>
      <c r="D798" s="32"/>
      <c r="E798" s="32"/>
      <c r="G798" s="32"/>
      <c r="H798" s="32"/>
      <c r="I798" s="32"/>
      <c r="J798" s="32"/>
      <c r="K798" s="32"/>
      <c r="L798" s="33"/>
    </row>
    <row r="799" spans="1:12" ht="15.75" x14ac:dyDescent="0.3">
      <c r="A799" s="32"/>
      <c r="B799" s="39"/>
      <c r="C799" s="39"/>
      <c r="D799" s="32"/>
      <c r="E799" s="32"/>
      <c r="G799" s="32"/>
      <c r="H799" s="32"/>
      <c r="I799" s="32"/>
      <c r="J799" s="32"/>
      <c r="K799" s="32"/>
      <c r="L799" s="33"/>
    </row>
    <row r="800" spans="1:12" ht="15.75" x14ac:dyDescent="0.3">
      <c r="A800" s="32"/>
      <c r="B800" s="39"/>
      <c r="C800" s="39"/>
      <c r="D800" s="32"/>
      <c r="E800" s="32"/>
      <c r="G800" s="32"/>
      <c r="H800" s="32"/>
      <c r="I800" s="32"/>
      <c r="J800" s="32"/>
      <c r="K800" s="32"/>
      <c r="L800" s="33"/>
    </row>
    <row r="801" spans="1:12" ht="15.75" x14ac:dyDescent="0.3">
      <c r="A801" s="32"/>
      <c r="B801" s="39"/>
      <c r="C801" s="39"/>
      <c r="D801" s="32"/>
      <c r="E801" s="32"/>
      <c r="G801" s="32"/>
      <c r="H801" s="32"/>
      <c r="I801" s="32"/>
      <c r="J801" s="32"/>
      <c r="K801" s="32"/>
      <c r="L801" s="33"/>
    </row>
    <row r="802" spans="1:12" ht="15.75" x14ac:dyDescent="0.3">
      <c r="A802" s="32"/>
      <c r="B802" s="39"/>
      <c r="C802" s="39"/>
      <c r="D802" s="32"/>
      <c r="E802" s="32"/>
      <c r="G802" s="32"/>
      <c r="H802" s="32"/>
      <c r="I802" s="32"/>
      <c r="J802" s="32"/>
      <c r="K802" s="32"/>
      <c r="L802" s="33"/>
    </row>
    <row r="803" spans="1:12" ht="15.75" x14ac:dyDescent="0.3">
      <c r="A803" s="32"/>
      <c r="B803" s="39"/>
      <c r="C803" s="39"/>
      <c r="D803" s="32"/>
      <c r="E803" s="32"/>
      <c r="G803" s="32"/>
      <c r="H803" s="32"/>
      <c r="I803" s="32"/>
      <c r="J803" s="32"/>
      <c r="K803" s="32"/>
      <c r="L803" s="33"/>
    </row>
    <row r="804" spans="1:12" ht="15.75" x14ac:dyDescent="0.3">
      <c r="A804" s="32"/>
      <c r="B804" s="39"/>
      <c r="C804" s="39"/>
      <c r="D804" s="32"/>
      <c r="E804" s="32"/>
      <c r="G804" s="32"/>
      <c r="H804" s="32"/>
      <c r="I804" s="32"/>
      <c r="J804" s="32"/>
      <c r="K804" s="32"/>
      <c r="L804" s="33"/>
    </row>
    <row r="805" spans="1:12" ht="15.75" x14ac:dyDescent="0.3">
      <c r="A805" s="32"/>
      <c r="B805" s="39"/>
      <c r="C805" s="39"/>
      <c r="D805" s="32"/>
      <c r="E805" s="32"/>
      <c r="G805" s="32"/>
      <c r="H805" s="32"/>
      <c r="I805" s="32"/>
      <c r="J805" s="32"/>
      <c r="K805" s="32"/>
      <c r="L805" s="33"/>
    </row>
    <row r="806" spans="1:12" ht="15.75" x14ac:dyDescent="0.3">
      <c r="A806" s="32"/>
      <c r="B806" s="39"/>
      <c r="C806" s="39"/>
      <c r="D806" s="32"/>
      <c r="E806" s="32"/>
      <c r="G806" s="32"/>
      <c r="H806" s="32"/>
      <c r="I806" s="32"/>
      <c r="J806" s="32"/>
      <c r="K806" s="32"/>
      <c r="L806" s="33"/>
    </row>
    <row r="807" spans="1:12" ht="15.75" x14ac:dyDescent="0.3">
      <c r="A807" s="32"/>
      <c r="B807" s="39"/>
      <c r="C807" s="39"/>
      <c r="D807" s="32"/>
      <c r="E807" s="32"/>
      <c r="G807" s="32"/>
      <c r="H807" s="32"/>
      <c r="I807" s="32"/>
      <c r="J807" s="32"/>
      <c r="K807" s="32"/>
      <c r="L807" s="33"/>
    </row>
    <row r="808" spans="1:12" ht="15.75" x14ac:dyDescent="0.3">
      <c r="A808" s="32"/>
      <c r="B808" s="39"/>
      <c r="C808" s="39"/>
      <c r="D808" s="32"/>
      <c r="E808" s="32"/>
      <c r="G808" s="32"/>
      <c r="H808" s="32"/>
      <c r="I808" s="32"/>
      <c r="J808" s="32"/>
      <c r="K808" s="32"/>
      <c r="L808" s="33"/>
    </row>
    <row r="809" spans="1:12" ht="15.75" x14ac:dyDescent="0.3">
      <c r="A809" s="32"/>
      <c r="B809" s="39"/>
      <c r="C809" s="39"/>
      <c r="D809" s="32"/>
      <c r="E809" s="32"/>
      <c r="G809" s="32"/>
      <c r="H809" s="32"/>
      <c r="I809" s="32"/>
      <c r="J809" s="32"/>
      <c r="K809" s="32"/>
      <c r="L809" s="33"/>
    </row>
    <row r="810" spans="1:12" ht="15.75" x14ac:dyDescent="0.3">
      <c r="A810" s="32"/>
      <c r="B810" s="39"/>
      <c r="C810" s="39"/>
      <c r="D810" s="32"/>
      <c r="E810" s="32"/>
      <c r="G810" s="32"/>
      <c r="H810" s="32"/>
      <c r="I810" s="32"/>
      <c r="J810" s="32"/>
      <c r="K810" s="32"/>
      <c r="L810" s="33"/>
    </row>
    <row r="811" spans="1:12" ht="15.75" x14ac:dyDescent="0.3">
      <c r="A811" s="32"/>
      <c r="B811" s="39"/>
      <c r="C811" s="39"/>
      <c r="D811" s="32"/>
      <c r="E811" s="32"/>
      <c r="G811" s="32"/>
      <c r="H811" s="32"/>
      <c r="I811" s="32"/>
      <c r="J811" s="32"/>
      <c r="K811" s="32"/>
      <c r="L811" s="33"/>
    </row>
    <row r="812" spans="1:12" ht="15.75" x14ac:dyDescent="0.3">
      <c r="A812" s="32"/>
      <c r="B812" s="39"/>
      <c r="C812" s="39"/>
      <c r="D812" s="32"/>
      <c r="E812" s="32"/>
      <c r="G812" s="32"/>
      <c r="H812" s="32"/>
      <c r="I812" s="32"/>
      <c r="J812" s="32"/>
      <c r="K812" s="32"/>
      <c r="L812" s="33"/>
    </row>
    <row r="813" spans="1:12" ht="15.75" x14ac:dyDescent="0.3">
      <c r="A813" s="32"/>
      <c r="B813" s="39"/>
      <c r="C813" s="39"/>
      <c r="D813" s="32"/>
      <c r="E813" s="32"/>
      <c r="G813" s="32"/>
      <c r="H813" s="32"/>
      <c r="I813" s="32"/>
      <c r="J813" s="32"/>
      <c r="K813" s="32"/>
      <c r="L813" s="33"/>
    </row>
    <row r="814" spans="1:12" ht="15.75" x14ac:dyDescent="0.3">
      <c r="A814" s="32"/>
      <c r="B814" s="39"/>
      <c r="C814" s="39"/>
      <c r="D814" s="32"/>
      <c r="E814" s="32"/>
      <c r="G814" s="32"/>
      <c r="H814" s="32"/>
      <c r="I814" s="32"/>
      <c r="J814" s="32"/>
      <c r="K814" s="32"/>
      <c r="L814" s="33"/>
    </row>
    <row r="815" spans="1:12" ht="15.75" x14ac:dyDescent="0.3">
      <c r="A815" s="32"/>
      <c r="B815" s="39"/>
      <c r="C815" s="39"/>
      <c r="D815" s="32"/>
      <c r="E815" s="32"/>
      <c r="G815" s="32"/>
      <c r="H815" s="32"/>
      <c r="I815" s="32"/>
      <c r="J815" s="32"/>
      <c r="K815" s="32"/>
      <c r="L815" s="33"/>
    </row>
    <row r="816" spans="1:12" ht="15.75" x14ac:dyDescent="0.3">
      <c r="A816" s="32"/>
      <c r="B816" s="39"/>
      <c r="C816" s="39"/>
      <c r="D816" s="32"/>
      <c r="E816" s="32"/>
      <c r="G816" s="32"/>
      <c r="H816" s="32"/>
      <c r="I816" s="32"/>
      <c r="J816" s="32"/>
      <c r="K816" s="32"/>
      <c r="L816" s="33"/>
    </row>
    <row r="817" spans="1:12" ht="15.75" x14ac:dyDescent="0.3">
      <c r="A817" s="32"/>
      <c r="B817" s="39"/>
      <c r="C817" s="39"/>
      <c r="D817" s="32"/>
      <c r="E817" s="32"/>
      <c r="G817" s="32"/>
      <c r="H817" s="32"/>
      <c r="I817" s="32"/>
      <c r="J817" s="32"/>
      <c r="K817" s="32"/>
      <c r="L817" s="33"/>
    </row>
    <row r="818" spans="1:12" ht="15.75" x14ac:dyDescent="0.3">
      <c r="A818" s="32"/>
      <c r="B818" s="39"/>
      <c r="C818" s="39"/>
      <c r="D818" s="32"/>
      <c r="E818" s="32"/>
      <c r="G818" s="32"/>
      <c r="H818" s="32"/>
      <c r="I818" s="32"/>
      <c r="J818" s="32"/>
      <c r="K818" s="32"/>
      <c r="L818" s="33"/>
    </row>
    <row r="819" spans="1:12" ht="15.75" x14ac:dyDescent="0.3">
      <c r="A819" s="32"/>
      <c r="B819" s="39"/>
      <c r="C819" s="39"/>
      <c r="D819" s="32"/>
      <c r="E819" s="32"/>
      <c r="G819" s="32"/>
      <c r="H819" s="32"/>
      <c r="I819" s="32"/>
      <c r="J819" s="32"/>
      <c r="K819" s="32"/>
      <c r="L819" s="33"/>
    </row>
    <row r="820" spans="1:12" ht="15.75" x14ac:dyDescent="0.3">
      <c r="A820" s="32"/>
      <c r="B820" s="39"/>
      <c r="C820" s="39"/>
      <c r="D820" s="32"/>
      <c r="E820" s="32"/>
      <c r="G820" s="32"/>
      <c r="H820" s="32"/>
      <c r="I820" s="32"/>
      <c r="J820" s="32"/>
      <c r="K820" s="32"/>
      <c r="L820" s="33"/>
    </row>
    <row r="821" spans="1:12" ht="15.75" x14ac:dyDescent="0.3">
      <c r="A821" s="32"/>
      <c r="B821" s="39"/>
      <c r="C821" s="39"/>
      <c r="D821" s="32"/>
      <c r="E821" s="32"/>
      <c r="G821" s="32"/>
      <c r="H821" s="32"/>
      <c r="I821" s="32"/>
      <c r="J821" s="32"/>
      <c r="K821" s="32"/>
      <c r="L821" s="33"/>
    </row>
    <row r="822" spans="1:12" ht="15.75" x14ac:dyDescent="0.3">
      <c r="A822" s="32"/>
      <c r="B822" s="39"/>
      <c r="C822" s="39"/>
      <c r="D822" s="32"/>
      <c r="E822" s="32"/>
      <c r="G822" s="32"/>
      <c r="H822" s="32"/>
      <c r="I822" s="32"/>
      <c r="J822" s="32"/>
      <c r="K822" s="32"/>
      <c r="L822" s="33"/>
    </row>
    <row r="823" spans="1:12" ht="15.75" x14ac:dyDescent="0.3">
      <c r="A823" s="32"/>
      <c r="B823" s="39"/>
      <c r="C823" s="39"/>
      <c r="D823" s="32"/>
      <c r="E823" s="32"/>
      <c r="G823" s="32"/>
      <c r="H823" s="32"/>
      <c r="I823" s="32"/>
      <c r="J823" s="32"/>
      <c r="K823" s="32"/>
      <c r="L823" s="33"/>
    </row>
    <row r="824" spans="1:12" ht="15.75" x14ac:dyDescent="0.3">
      <c r="A824" s="32"/>
      <c r="B824" s="39"/>
      <c r="C824" s="39"/>
      <c r="D824" s="32"/>
      <c r="E824" s="32"/>
      <c r="G824" s="32"/>
      <c r="H824" s="32"/>
      <c r="I824" s="32"/>
      <c r="J824" s="32"/>
      <c r="K824" s="32"/>
      <c r="L824" s="33"/>
    </row>
    <row r="825" spans="1:12" ht="15.75" x14ac:dyDescent="0.3">
      <c r="A825" s="32"/>
      <c r="B825" s="39"/>
      <c r="C825" s="39"/>
      <c r="D825" s="32"/>
      <c r="E825" s="32"/>
      <c r="G825" s="32"/>
      <c r="H825" s="32"/>
      <c r="I825" s="32"/>
      <c r="J825" s="32"/>
      <c r="K825" s="32"/>
      <c r="L825" s="33"/>
    </row>
    <row r="826" spans="1:12" ht="15.75" x14ac:dyDescent="0.3">
      <c r="A826" s="32"/>
      <c r="B826" s="39"/>
      <c r="C826" s="39"/>
      <c r="D826" s="32"/>
      <c r="E826" s="32"/>
      <c r="G826" s="32"/>
      <c r="H826" s="32"/>
      <c r="I826" s="32"/>
      <c r="J826" s="32"/>
      <c r="K826" s="32"/>
      <c r="L826" s="33"/>
    </row>
    <row r="827" spans="1:12" ht="15.75" x14ac:dyDescent="0.3">
      <c r="A827" s="32"/>
      <c r="B827" s="39"/>
      <c r="C827" s="39"/>
      <c r="D827" s="32"/>
      <c r="E827" s="32"/>
      <c r="G827" s="32"/>
      <c r="H827" s="32"/>
      <c r="I827" s="32"/>
      <c r="J827" s="32"/>
      <c r="K827" s="32"/>
      <c r="L827" s="33"/>
    </row>
    <row r="828" spans="1:12" ht="15.75" x14ac:dyDescent="0.3">
      <c r="A828" s="32"/>
      <c r="B828" s="39"/>
      <c r="C828" s="39"/>
      <c r="D828" s="32"/>
      <c r="E828" s="32"/>
      <c r="G828" s="32"/>
      <c r="H828" s="32"/>
      <c r="I828" s="32"/>
      <c r="J828" s="32"/>
      <c r="K828" s="32"/>
      <c r="L828" s="33"/>
    </row>
    <row r="829" spans="1:12" ht="15.75" x14ac:dyDescent="0.3">
      <c r="A829" s="32"/>
      <c r="B829" s="39"/>
      <c r="C829" s="39"/>
      <c r="D829" s="32"/>
      <c r="E829" s="32"/>
      <c r="G829" s="32"/>
      <c r="H829" s="32"/>
      <c r="I829" s="32"/>
      <c r="J829" s="32"/>
      <c r="K829" s="32"/>
      <c r="L829" s="33"/>
    </row>
    <row r="830" spans="1:12" ht="15.75" x14ac:dyDescent="0.3">
      <c r="A830" s="32"/>
      <c r="B830" s="39"/>
      <c r="C830" s="39"/>
      <c r="D830" s="32"/>
      <c r="E830" s="32"/>
      <c r="G830" s="32"/>
      <c r="H830" s="32"/>
      <c r="I830" s="32"/>
      <c r="J830" s="32"/>
      <c r="K830" s="32"/>
      <c r="L830" s="33"/>
    </row>
    <row r="831" spans="1:12" ht="15.75" x14ac:dyDescent="0.3">
      <c r="A831" s="32"/>
      <c r="B831" s="39"/>
      <c r="C831" s="39"/>
      <c r="D831" s="32"/>
      <c r="E831" s="32"/>
      <c r="G831" s="32"/>
      <c r="H831" s="32"/>
      <c r="I831" s="32"/>
      <c r="J831" s="32"/>
      <c r="K831" s="32"/>
      <c r="L831" s="33"/>
    </row>
    <row r="832" spans="1:12" ht="15.75" x14ac:dyDescent="0.3">
      <c r="A832" s="32"/>
      <c r="B832" s="39"/>
      <c r="C832" s="39"/>
      <c r="D832" s="32"/>
      <c r="E832" s="32"/>
      <c r="G832" s="32"/>
      <c r="H832" s="32"/>
      <c r="I832" s="32"/>
      <c r="J832" s="32"/>
      <c r="K832" s="32"/>
      <c r="L832" s="33"/>
    </row>
    <row r="833" spans="1:12" ht="15.75" x14ac:dyDescent="0.3">
      <c r="A833" s="32"/>
      <c r="B833" s="39"/>
      <c r="C833" s="39"/>
      <c r="D833" s="32"/>
      <c r="E833" s="32"/>
      <c r="G833" s="32"/>
      <c r="H833" s="32"/>
      <c r="I833" s="32"/>
      <c r="J833" s="32"/>
      <c r="K833" s="32"/>
      <c r="L833" s="33"/>
    </row>
    <row r="834" spans="1:12" ht="15.75" x14ac:dyDescent="0.3">
      <c r="A834" s="32"/>
      <c r="B834" s="39"/>
      <c r="C834" s="39"/>
      <c r="D834" s="32"/>
      <c r="E834" s="32"/>
      <c r="G834" s="32"/>
      <c r="H834" s="32"/>
      <c r="I834" s="32"/>
      <c r="J834" s="32"/>
      <c r="K834" s="32"/>
      <c r="L834" s="33"/>
    </row>
    <row r="835" spans="1:12" ht="15.75" x14ac:dyDescent="0.3">
      <c r="A835" s="32"/>
      <c r="B835" s="39"/>
      <c r="C835" s="39"/>
      <c r="D835" s="32"/>
      <c r="E835" s="32"/>
      <c r="G835" s="32"/>
      <c r="H835" s="32"/>
      <c r="I835" s="32"/>
      <c r="J835" s="32"/>
      <c r="K835" s="32"/>
      <c r="L835" s="33"/>
    </row>
    <row r="836" spans="1:12" ht="15.75" x14ac:dyDescent="0.3">
      <c r="A836" s="32"/>
      <c r="B836" s="39"/>
      <c r="C836" s="39"/>
      <c r="D836" s="32"/>
      <c r="E836" s="32"/>
      <c r="G836" s="32"/>
      <c r="H836" s="32"/>
      <c r="I836" s="32"/>
      <c r="J836" s="32"/>
      <c r="K836" s="32"/>
      <c r="L836" s="33"/>
    </row>
    <row r="837" spans="1:12" ht="15.75" x14ac:dyDescent="0.3">
      <c r="A837" s="32"/>
      <c r="B837" s="39"/>
      <c r="C837" s="39"/>
      <c r="D837" s="32"/>
      <c r="E837" s="32"/>
      <c r="G837" s="32"/>
      <c r="H837" s="32"/>
      <c r="I837" s="32"/>
      <c r="J837" s="32"/>
      <c r="K837" s="32"/>
      <c r="L837" s="33"/>
    </row>
    <row r="838" spans="1:12" ht="15.75" x14ac:dyDescent="0.3">
      <c r="A838" s="32"/>
      <c r="B838" s="39"/>
      <c r="C838" s="39"/>
      <c r="D838" s="32"/>
      <c r="E838" s="32"/>
      <c r="G838" s="32"/>
      <c r="H838" s="32"/>
      <c r="I838" s="32"/>
      <c r="J838" s="32"/>
      <c r="K838" s="32"/>
      <c r="L838" s="33"/>
    </row>
    <row r="839" spans="1:12" ht="15.75" x14ac:dyDescent="0.3">
      <c r="A839" s="32"/>
      <c r="B839" s="39"/>
      <c r="C839" s="39"/>
      <c r="D839" s="32"/>
      <c r="E839" s="32"/>
      <c r="G839" s="32"/>
      <c r="H839" s="32"/>
      <c r="I839" s="32"/>
      <c r="J839" s="32"/>
      <c r="K839" s="32"/>
      <c r="L839" s="33"/>
    </row>
    <row r="840" spans="1:12" ht="15.75" x14ac:dyDescent="0.3">
      <c r="A840" s="32"/>
      <c r="B840" s="39"/>
      <c r="C840" s="39"/>
      <c r="D840" s="32"/>
      <c r="E840" s="32"/>
      <c r="G840" s="32"/>
      <c r="H840" s="32"/>
      <c r="I840" s="32"/>
      <c r="J840" s="32"/>
      <c r="K840" s="32"/>
      <c r="L840" s="33"/>
    </row>
    <row r="841" spans="1:12" ht="15.75" x14ac:dyDescent="0.3">
      <c r="A841" s="32"/>
      <c r="B841" s="39"/>
      <c r="C841" s="39"/>
      <c r="D841" s="32"/>
      <c r="E841" s="32"/>
      <c r="G841" s="32"/>
      <c r="H841" s="32"/>
      <c r="I841" s="32"/>
      <c r="J841" s="32"/>
      <c r="K841" s="32"/>
      <c r="L841" s="33"/>
    </row>
    <row r="842" spans="1:12" ht="15.75" x14ac:dyDescent="0.3">
      <c r="A842" s="32"/>
      <c r="B842" s="39"/>
      <c r="C842" s="39"/>
      <c r="D842" s="32"/>
      <c r="E842" s="32"/>
      <c r="G842" s="32"/>
      <c r="H842" s="32"/>
      <c r="I842" s="32"/>
      <c r="J842" s="32"/>
      <c r="K842" s="32"/>
      <c r="L842" s="33"/>
    </row>
    <row r="843" spans="1:12" ht="15.75" x14ac:dyDescent="0.3">
      <c r="A843" s="32"/>
      <c r="B843" s="39"/>
      <c r="C843" s="39"/>
      <c r="D843" s="32"/>
      <c r="E843" s="32"/>
      <c r="G843" s="32"/>
      <c r="H843" s="32"/>
      <c r="I843" s="32"/>
      <c r="J843" s="32"/>
      <c r="K843" s="32"/>
      <c r="L843" s="33"/>
    </row>
    <row r="844" spans="1:12" ht="15.75" x14ac:dyDescent="0.3">
      <c r="A844" s="32"/>
      <c r="B844" s="39"/>
      <c r="C844" s="39"/>
      <c r="D844" s="32"/>
      <c r="E844" s="32"/>
      <c r="G844" s="32"/>
      <c r="H844" s="32"/>
      <c r="I844" s="32"/>
      <c r="J844" s="32"/>
      <c r="K844" s="32"/>
      <c r="L844" s="33"/>
    </row>
    <row r="845" spans="1:12" ht="15.75" x14ac:dyDescent="0.3">
      <c r="A845" s="32"/>
      <c r="B845" s="39"/>
      <c r="C845" s="39"/>
      <c r="D845" s="32"/>
      <c r="E845" s="32"/>
      <c r="G845" s="32"/>
      <c r="H845" s="32"/>
      <c r="I845" s="32"/>
      <c r="J845" s="32"/>
      <c r="K845" s="32"/>
      <c r="L845" s="33"/>
    </row>
    <row r="846" spans="1:12" ht="15.75" x14ac:dyDescent="0.3">
      <c r="A846" s="32"/>
      <c r="B846" s="39"/>
      <c r="C846" s="39"/>
      <c r="D846" s="32"/>
      <c r="E846" s="32"/>
      <c r="G846" s="32"/>
      <c r="H846" s="32"/>
      <c r="I846" s="32"/>
      <c r="J846" s="32"/>
      <c r="K846" s="32"/>
      <c r="L846" s="33"/>
    </row>
    <row r="847" spans="1:12" ht="15.75" x14ac:dyDescent="0.3">
      <c r="A847" s="32"/>
      <c r="B847" s="39"/>
      <c r="C847" s="39"/>
      <c r="D847" s="32"/>
      <c r="E847" s="32"/>
      <c r="G847" s="32"/>
      <c r="H847" s="32"/>
      <c r="I847" s="32"/>
      <c r="J847" s="32"/>
      <c r="K847" s="32"/>
      <c r="L847" s="33"/>
    </row>
    <row r="848" spans="1:12" ht="15.75" x14ac:dyDescent="0.3">
      <c r="A848" s="32"/>
      <c r="B848" s="39"/>
      <c r="C848" s="39"/>
      <c r="D848" s="32"/>
      <c r="E848" s="32"/>
      <c r="G848" s="32"/>
      <c r="H848" s="32"/>
      <c r="I848" s="32"/>
      <c r="J848" s="32"/>
      <c r="K848" s="32"/>
      <c r="L848" s="33"/>
    </row>
    <row r="849" spans="1:12" ht="15.75" x14ac:dyDescent="0.3">
      <c r="A849" s="32"/>
      <c r="B849" s="39"/>
      <c r="C849" s="39"/>
      <c r="D849" s="32"/>
      <c r="E849" s="32"/>
      <c r="G849" s="32"/>
      <c r="H849" s="32"/>
      <c r="I849" s="32"/>
      <c r="J849" s="32"/>
      <c r="K849" s="32"/>
      <c r="L849" s="33"/>
    </row>
    <row r="850" spans="1:12" ht="15.75" x14ac:dyDescent="0.3">
      <c r="A850" s="32"/>
      <c r="B850" s="39"/>
      <c r="C850" s="39"/>
      <c r="D850" s="32"/>
      <c r="E850" s="32"/>
      <c r="G850" s="32"/>
      <c r="H850" s="32"/>
      <c r="I850" s="32"/>
      <c r="J850" s="32"/>
      <c r="K850" s="32"/>
      <c r="L850" s="33"/>
    </row>
    <row r="851" spans="1:12" ht="15.75" x14ac:dyDescent="0.3">
      <c r="A851" s="32"/>
      <c r="B851" s="39"/>
      <c r="C851" s="39"/>
      <c r="D851" s="32"/>
      <c r="E851" s="32"/>
      <c r="G851" s="32"/>
      <c r="H851" s="32"/>
      <c r="I851" s="32"/>
      <c r="J851" s="32"/>
      <c r="K851" s="32"/>
      <c r="L851" s="33"/>
    </row>
    <row r="852" spans="1:12" ht="15.75" x14ac:dyDescent="0.3">
      <c r="A852" s="32"/>
      <c r="B852" s="39"/>
      <c r="C852" s="39"/>
      <c r="D852" s="32"/>
      <c r="E852" s="32"/>
      <c r="G852" s="32"/>
      <c r="H852" s="32"/>
      <c r="I852" s="32"/>
      <c r="J852" s="32"/>
      <c r="K852" s="32"/>
      <c r="L852" s="33"/>
    </row>
    <row r="853" spans="1:12" ht="15.75" x14ac:dyDescent="0.3">
      <c r="A853" s="32"/>
      <c r="B853" s="39"/>
      <c r="C853" s="39"/>
      <c r="D853" s="32"/>
      <c r="E853" s="32"/>
      <c r="G853" s="32"/>
      <c r="H853" s="32"/>
      <c r="I853" s="32"/>
      <c r="J853" s="32"/>
      <c r="K853" s="32"/>
      <c r="L853" s="33"/>
    </row>
    <row r="854" spans="1:12" ht="15.75" x14ac:dyDescent="0.3">
      <c r="A854" s="32"/>
      <c r="B854" s="39"/>
      <c r="C854" s="39"/>
      <c r="D854" s="32"/>
      <c r="E854" s="32"/>
      <c r="G854" s="32"/>
      <c r="H854" s="32"/>
      <c r="I854" s="32"/>
      <c r="J854" s="32"/>
      <c r="K854" s="32"/>
      <c r="L854" s="33"/>
    </row>
    <row r="855" spans="1:12" ht="15.75" x14ac:dyDescent="0.3">
      <c r="A855" s="32"/>
      <c r="B855" s="39"/>
      <c r="C855" s="39"/>
      <c r="D855" s="32"/>
      <c r="E855" s="32"/>
      <c r="G855" s="32"/>
      <c r="H855" s="32"/>
      <c r="I855" s="32"/>
      <c r="J855" s="32"/>
      <c r="K855" s="32"/>
      <c r="L855" s="33"/>
    </row>
    <row r="856" spans="1:12" ht="15.75" x14ac:dyDescent="0.3">
      <c r="A856" s="32"/>
      <c r="B856" s="39"/>
      <c r="C856" s="39"/>
      <c r="D856" s="32"/>
      <c r="E856" s="32"/>
      <c r="G856" s="32"/>
      <c r="H856" s="32"/>
      <c r="I856" s="32"/>
      <c r="J856" s="32"/>
      <c r="K856" s="32"/>
      <c r="L856" s="33"/>
    </row>
    <row r="857" spans="1:12" ht="15.75" x14ac:dyDescent="0.3">
      <c r="A857" s="32"/>
      <c r="B857" s="39"/>
      <c r="C857" s="39"/>
      <c r="D857" s="32"/>
      <c r="E857" s="32"/>
      <c r="G857" s="32"/>
      <c r="H857" s="32"/>
      <c r="I857" s="32"/>
      <c r="J857" s="32"/>
      <c r="K857" s="32"/>
      <c r="L857" s="33"/>
    </row>
    <row r="858" spans="1:12" ht="15.75" x14ac:dyDescent="0.3">
      <c r="A858" s="32"/>
      <c r="B858" s="39"/>
      <c r="C858" s="39"/>
      <c r="D858" s="32"/>
      <c r="E858" s="32"/>
      <c r="G858" s="32"/>
      <c r="H858" s="32"/>
      <c r="I858" s="32"/>
      <c r="J858" s="32"/>
      <c r="K858" s="32"/>
      <c r="L858" s="33"/>
    </row>
    <row r="859" spans="1:12" ht="15.75" x14ac:dyDescent="0.3">
      <c r="A859" s="32"/>
      <c r="B859" s="39"/>
      <c r="C859" s="39"/>
      <c r="D859" s="32"/>
      <c r="E859" s="32"/>
      <c r="G859" s="32"/>
      <c r="H859" s="32"/>
      <c r="I859" s="32"/>
      <c r="J859" s="32"/>
      <c r="K859" s="32"/>
      <c r="L859" s="33"/>
    </row>
    <row r="860" spans="1:12" ht="15.75" x14ac:dyDescent="0.3">
      <c r="A860" s="32"/>
      <c r="B860" s="39"/>
      <c r="C860" s="39"/>
      <c r="D860" s="32"/>
      <c r="E860" s="32"/>
      <c r="G860" s="32"/>
      <c r="H860" s="32"/>
      <c r="I860" s="32"/>
      <c r="J860" s="32"/>
      <c r="K860" s="32"/>
      <c r="L860" s="33"/>
    </row>
    <row r="861" spans="1:12" ht="15.75" x14ac:dyDescent="0.3">
      <c r="A861" s="32"/>
      <c r="B861" s="39"/>
      <c r="C861" s="39"/>
      <c r="D861" s="32"/>
      <c r="E861" s="32"/>
      <c r="G861" s="32"/>
      <c r="H861" s="32"/>
      <c r="I861" s="32"/>
      <c r="J861" s="32"/>
      <c r="K861" s="32"/>
      <c r="L861" s="33"/>
    </row>
    <row r="862" spans="1:12" ht="15.75" x14ac:dyDescent="0.3">
      <c r="A862" s="32"/>
      <c r="B862" s="39"/>
      <c r="C862" s="39"/>
      <c r="D862" s="32"/>
      <c r="E862" s="32"/>
      <c r="G862" s="32"/>
      <c r="H862" s="32"/>
      <c r="I862" s="32"/>
      <c r="J862" s="32"/>
      <c r="K862" s="32"/>
      <c r="L862" s="33"/>
    </row>
    <row r="863" spans="1:12" ht="15.75" x14ac:dyDescent="0.3">
      <c r="A863" s="32"/>
      <c r="B863" s="39"/>
      <c r="C863" s="39"/>
      <c r="D863" s="32"/>
      <c r="E863" s="32"/>
      <c r="G863" s="32"/>
      <c r="H863" s="32"/>
      <c r="I863" s="32"/>
      <c r="J863" s="32"/>
      <c r="K863" s="32"/>
      <c r="L863" s="33"/>
    </row>
    <row r="864" spans="1:12" ht="15.75" x14ac:dyDescent="0.3">
      <c r="A864" s="32"/>
      <c r="B864" s="39"/>
      <c r="C864" s="39"/>
      <c r="D864" s="32"/>
      <c r="E864" s="32"/>
      <c r="G864" s="32"/>
      <c r="H864" s="32"/>
      <c r="I864" s="32"/>
      <c r="J864" s="32"/>
      <c r="K864" s="32"/>
      <c r="L864" s="33"/>
    </row>
    <row r="865" spans="1:12" ht="15.75" x14ac:dyDescent="0.3">
      <c r="A865" s="32"/>
      <c r="B865" s="39"/>
      <c r="C865" s="39"/>
      <c r="D865" s="32"/>
      <c r="E865" s="32"/>
      <c r="G865" s="32"/>
      <c r="H865" s="32"/>
      <c r="I865" s="32"/>
      <c r="J865" s="32"/>
      <c r="K865" s="32"/>
      <c r="L865" s="33"/>
    </row>
    <row r="866" spans="1:12" ht="15.75" x14ac:dyDescent="0.3">
      <c r="A866" s="32"/>
      <c r="B866" s="39"/>
      <c r="C866" s="39"/>
      <c r="D866" s="32"/>
      <c r="E866" s="32"/>
      <c r="G866" s="32"/>
      <c r="H866" s="32"/>
      <c r="I866" s="32"/>
      <c r="J866" s="32"/>
      <c r="K866" s="32"/>
      <c r="L866" s="33"/>
    </row>
    <row r="867" spans="1:12" ht="15.75" x14ac:dyDescent="0.3">
      <c r="A867" s="32"/>
      <c r="B867" s="39"/>
      <c r="C867" s="39"/>
      <c r="D867" s="32"/>
      <c r="E867" s="32"/>
      <c r="G867" s="32"/>
      <c r="H867" s="32"/>
      <c r="I867" s="32"/>
      <c r="J867" s="32"/>
      <c r="K867" s="32"/>
      <c r="L867" s="33"/>
    </row>
    <row r="868" spans="1:12" ht="15.75" x14ac:dyDescent="0.3">
      <c r="A868" s="32"/>
      <c r="B868" s="39"/>
      <c r="C868" s="39"/>
      <c r="D868" s="32"/>
      <c r="E868" s="32"/>
      <c r="G868" s="32"/>
      <c r="H868" s="32"/>
      <c r="I868" s="32"/>
      <c r="J868" s="32"/>
      <c r="K868" s="32"/>
      <c r="L868" s="33"/>
    </row>
    <row r="869" spans="1:12" ht="15.75" x14ac:dyDescent="0.3">
      <c r="A869" s="32"/>
      <c r="B869" s="39"/>
      <c r="C869" s="39"/>
      <c r="D869" s="32"/>
      <c r="E869" s="32"/>
      <c r="G869" s="32"/>
      <c r="H869" s="32"/>
      <c r="I869" s="32"/>
      <c r="J869" s="32"/>
      <c r="K869" s="32"/>
      <c r="L869" s="33"/>
    </row>
    <row r="870" spans="1:12" ht="15.75" x14ac:dyDescent="0.3">
      <c r="A870" s="32"/>
      <c r="B870" s="39"/>
      <c r="C870" s="39"/>
      <c r="D870" s="32"/>
      <c r="E870" s="32"/>
      <c r="G870" s="32"/>
      <c r="H870" s="32"/>
      <c r="I870" s="32"/>
      <c r="J870" s="32"/>
      <c r="K870" s="32"/>
      <c r="L870" s="33"/>
    </row>
    <row r="871" spans="1:12" ht="15.75" x14ac:dyDescent="0.3">
      <c r="A871" s="32"/>
      <c r="B871" s="39"/>
      <c r="C871" s="39"/>
      <c r="D871" s="32"/>
      <c r="E871" s="32"/>
      <c r="G871" s="32"/>
      <c r="H871" s="32"/>
      <c r="I871" s="32"/>
      <c r="J871" s="32"/>
      <c r="K871" s="32"/>
      <c r="L871" s="33"/>
    </row>
    <row r="872" spans="1:12" ht="15.75" x14ac:dyDescent="0.3">
      <c r="A872" s="32"/>
      <c r="B872" s="39"/>
      <c r="C872" s="39"/>
      <c r="D872" s="32"/>
      <c r="E872" s="32"/>
      <c r="G872" s="32"/>
      <c r="H872" s="32"/>
      <c r="I872" s="32"/>
      <c r="J872" s="32"/>
      <c r="K872" s="32"/>
      <c r="L872" s="33"/>
    </row>
    <row r="873" spans="1:12" ht="15.75" x14ac:dyDescent="0.3">
      <c r="A873" s="32"/>
      <c r="B873" s="39"/>
      <c r="C873" s="39"/>
      <c r="D873" s="32"/>
      <c r="E873" s="32"/>
      <c r="G873" s="32"/>
      <c r="H873" s="32"/>
      <c r="I873" s="32"/>
      <c r="J873" s="32"/>
      <c r="K873" s="32"/>
      <c r="L873" s="33"/>
    </row>
    <row r="874" spans="1:12" ht="15.75" x14ac:dyDescent="0.3">
      <c r="A874" s="32"/>
      <c r="B874" s="39"/>
      <c r="C874" s="39"/>
      <c r="D874" s="32"/>
      <c r="E874" s="32"/>
      <c r="G874" s="32"/>
      <c r="H874" s="32"/>
      <c r="I874" s="32"/>
      <c r="J874" s="32"/>
      <c r="K874" s="32"/>
      <c r="L874" s="33"/>
    </row>
    <row r="875" spans="1:12" ht="15.75" x14ac:dyDescent="0.3">
      <c r="A875" s="32"/>
      <c r="B875" s="39"/>
      <c r="C875" s="39"/>
      <c r="D875" s="32"/>
      <c r="E875" s="32"/>
      <c r="G875" s="32"/>
      <c r="H875" s="32"/>
      <c r="I875" s="32"/>
      <c r="J875" s="32"/>
      <c r="K875" s="32"/>
      <c r="L875" s="33"/>
    </row>
    <row r="876" spans="1:12" ht="15.75" x14ac:dyDescent="0.3">
      <c r="A876" s="32"/>
      <c r="B876" s="39"/>
      <c r="C876" s="39"/>
      <c r="D876" s="32"/>
      <c r="E876" s="32"/>
      <c r="G876" s="32"/>
      <c r="H876" s="32"/>
      <c r="I876" s="32"/>
      <c r="J876" s="32"/>
      <c r="K876" s="32"/>
      <c r="L876" s="33"/>
    </row>
    <row r="877" spans="1:12" ht="15.75" x14ac:dyDescent="0.3">
      <c r="A877" s="32"/>
      <c r="B877" s="39"/>
      <c r="C877" s="39"/>
      <c r="D877" s="32"/>
      <c r="E877" s="32"/>
      <c r="G877" s="32"/>
      <c r="H877" s="32"/>
      <c r="I877" s="32"/>
      <c r="J877" s="32"/>
      <c r="K877" s="32"/>
      <c r="L877" s="33"/>
    </row>
    <row r="878" spans="1:12" ht="15.75" x14ac:dyDescent="0.3">
      <c r="A878" s="32"/>
      <c r="B878" s="39"/>
      <c r="C878" s="39"/>
      <c r="D878" s="32"/>
      <c r="E878" s="32"/>
      <c r="G878" s="32"/>
      <c r="H878" s="32"/>
      <c r="I878" s="32"/>
      <c r="J878" s="32"/>
      <c r="K878" s="32"/>
      <c r="L878" s="33"/>
    </row>
    <row r="879" spans="1:12" ht="15.75" x14ac:dyDescent="0.3">
      <c r="A879" s="32"/>
      <c r="B879" s="39"/>
      <c r="C879" s="39"/>
      <c r="D879" s="32"/>
      <c r="E879" s="32"/>
      <c r="G879" s="32"/>
      <c r="H879" s="32"/>
      <c r="I879" s="32"/>
      <c r="J879" s="32"/>
      <c r="K879" s="32"/>
      <c r="L879" s="33"/>
    </row>
    <row r="880" spans="1:12" ht="15.75" x14ac:dyDescent="0.3">
      <c r="A880" s="32"/>
      <c r="B880" s="39"/>
      <c r="C880" s="39"/>
      <c r="D880" s="32"/>
      <c r="E880" s="32"/>
      <c r="G880" s="32"/>
      <c r="H880" s="32"/>
      <c r="I880" s="32"/>
      <c r="J880" s="32"/>
      <c r="K880" s="32"/>
      <c r="L880" s="33"/>
    </row>
    <row r="881" spans="1:12" ht="15.75" x14ac:dyDescent="0.3">
      <c r="A881" s="32"/>
      <c r="B881" s="39"/>
      <c r="C881" s="39"/>
      <c r="D881" s="32"/>
      <c r="E881" s="32"/>
      <c r="G881" s="32"/>
      <c r="H881" s="32"/>
      <c r="I881" s="32"/>
      <c r="J881" s="32"/>
      <c r="K881" s="32"/>
      <c r="L881" s="33"/>
    </row>
    <row r="882" spans="1:12" ht="15.75" x14ac:dyDescent="0.3">
      <c r="A882" s="32"/>
      <c r="B882" s="39"/>
      <c r="C882" s="39"/>
      <c r="D882" s="32"/>
      <c r="E882" s="32"/>
      <c r="G882" s="32"/>
      <c r="H882" s="32"/>
      <c r="I882" s="32"/>
      <c r="J882" s="32"/>
      <c r="K882" s="32"/>
      <c r="L882" s="33"/>
    </row>
    <row r="883" spans="1:12" ht="15.75" x14ac:dyDescent="0.3">
      <c r="A883" s="32"/>
      <c r="B883" s="39"/>
      <c r="C883" s="39"/>
      <c r="D883" s="32"/>
      <c r="E883" s="32"/>
      <c r="G883" s="32"/>
      <c r="H883" s="32"/>
      <c r="I883" s="32"/>
      <c r="J883" s="32"/>
      <c r="K883" s="32"/>
      <c r="L883" s="33"/>
    </row>
    <row r="884" spans="1:12" ht="15.75" x14ac:dyDescent="0.3">
      <c r="A884" s="32"/>
      <c r="B884" s="39"/>
      <c r="C884" s="39"/>
      <c r="D884" s="32"/>
      <c r="E884" s="32"/>
      <c r="G884" s="32"/>
      <c r="H884" s="32"/>
      <c r="I884" s="32"/>
      <c r="J884" s="32"/>
      <c r="K884" s="32"/>
      <c r="L884" s="33"/>
    </row>
    <row r="885" spans="1:12" ht="15.75" x14ac:dyDescent="0.3">
      <c r="A885" s="32"/>
      <c r="B885" s="39"/>
      <c r="C885" s="39"/>
      <c r="D885" s="32"/>
      <c r="E885" s="32"/>
      <c r="G885" s="32"/>
      <c r="H885" s="32"/>
      <c r="I885" s="32"/>
      <c r="J885" s="32"/>
      <c r="K885" s="32"/>
      <c r="L885" s="33"/>
    </row>
    <row r="886" spans="1:12" ht="15.75" x14ac:dyDescent="0.3">
      <c r="A886" s="32"/>
      <c r="B886" s="39"/>
      <c r="C886" s="39"/>
      <c r="D886" s="32"/>
      <c r="E886" s="32"/>
      <c r="G886" s="32"/>
      <c r="H886" s="32"/>
      <c r="I886" s="32"/>
      <c r="J886" s="32"/>
      <c r="K886" s="32"/>
      <c r="L886" s="33"/>
    </row>
    <row r="887" spans="1:12" ht="15.75" x14ac:dyDescent="0.3">
      <c r="A887" s="32"/>
      <c r="B887" s="39"/>
      <c r="C887" s="39"/>
      <c r="D887" s="32"/>
      <c r="E887" s="32"/>
      <c r="G887" s="32"/>
      <c r="H887" s="32"/>
      <c r="I887" s="32"/>
      <c r="J887" s="32"/>
      <c r="K887" s="32"/>
      <c r="L887" s="33"/>
    </row>
    <row r="888" spans="1:12" ht="15.75" x14ac:dyDescent="0.3">
      <c r="A888" s="32"/>
      <c r="B888" s="39"/>
      <c r="C888" s="39"/>
      <c r="D888" s="32"/>
      <c r="E888" s="32"/>
      <c r="G888" s="32"/>
      <c r="H888" s="32"/>
      <c r="I888" s="32"/>
      <c r="J888" s="32"/>
      <c r="K888" s="32"/>
      <c r="L888" s="33"/>
    </row>
    <row r="889" spans="1:12" ht="15.75" x14ac:dyDescent="0.3">
      <c r="A889" s="32"/>
      <c r="B889" s="39"/>
      <c r="C889" s="39"/>
      <c r="D889" s="32"/>
      <c r="E889" s="32"/>
      <c r="G889" s="32"/>
      <c r="H889" s="32"/>
      <c r="I889" s="32"/>
      <c r="J889" s="32"/>
      <c r="K889" s="32"/>
      <c r="L889" s="33"/>
    </row>
    <row r="890" spans="1:12" ht="15.75" x14ac:dyDescent="0.3">
      <c r="A890" s="32"/>
      <c r="B890" s="39"/>
      <c r="C890" s="39"/>
      <c r="D890" s="32"/>
      <c r="E890" s="32"/>
      <c r="G890" s="32"/>
      <c r="H890" s="32"/>
      <c r="I890" s="32"/>
      <c r="J890" s="32"/>
      <c r="K890" s="32"/>
      <c r="L890" s="33"/>
    </row>
    <row r="891" spans="1:12" ht="15.75" x14ac:dyDescent="0.3">
      <c r="A891" s="32"/>
      <c r="B891" s="39"/>
      <c r="C891" s="39"/>
      <c r="D891" s="32"/>
      <c r="E891" s="32"/>
      <c r="G891" s="32"/>
      <c r="H891" s="32"/>
      <c r="I891" s="32"/>
      <c r="J891" s="32"/>
      <c r="K891" s="32"/>
      <c r="L891" s="33"/>
    </row>
    <row r="892" spans="1:12" ht="15.75" x14ac:dyDescent="0.3">
      <c r="A892" s="32"/>
      <c r="B892" s="39"/>
      <c r="C892" s="39"/>
      <c r="D892" s="32"/>
      <c r="E892" s="32"/>
      <c r="G892" s="32"/>
      <c r="H892" s="32"/>
      <c r="I892" s="32"/>
      <c r="J892" s="32"/>
      <c r="K892" s="32"/>
      <c r="L892" s="33"/>
    </row>
    <row r="893" spans="1:12" ht="15.75" x14ac:dyDescent="0.3">
      <c r="A893" s="32"/>
      <c r="B893" s="39"/>
      <c r="C893" s="39"/>
      <c r="D893" s="32"/>
      <c r="E893" s="32"/>
      <c r="G893" s="32"/>
      <c r="H893" s="32"/>
      <c r="I893" s="32"/>
      <c r="J893" s="32"/>
      <c r="K893" s="32"/>
      <c r="L893" s="33"/>
    </row>
    <row r="894" spans="1:12" ht="15.75" x14ac:dyDescent="0.3">
      <c r="A894" s="32"/>
      <c r="B894" s="39"/>
      <c r="C894" s="39"/>
      <c r="D894" s="32"/>
      <c r="E894" s="32"/>
      <c r="G894" s="32"/>
      <c r="H894" s="32"/>
      <c r="I894" s="32"/>
      <c r="J894" s="32"/>
      <c r="K894" s="32"/>
      <c r="L894" s="33"/>
    </row>
    <row r="895" spans="1:12" ht="15.75" x14ac:dyDescent="0.3">
      <c r="A895" s="32"/>
      <c r="B895" s="39"/>
      <c r="C895" s="39"/>
      <c r="D895" s="32"/>
      <c r="E895" s="32"/>
      <c r="G895" s="32"/>
      <c r="H895" s="32"/>
      <c r="I895" s="32"/>
      <c r="J895" s="32"/>
      <c r="K895" s="32"/>
      <c r="L895" s="33"/>
    </row>
    <row r="896" spans="1:12" ht="15.75" x14ac:dyDescent="0.3">
      <c r="A896" s="32"/>
      <c r="B896" s="39"/>
      <c r="C896" s="39"/>
      <c r="D896" s="32"/>
      <c r="E896" s="32"/>
      <c r="G896" s="32"/>
      <c r="H896" s="32"/>
      <c r="I896" s="32"/>
      <c r="J896" s="32"/>
      <c r="K896" s="32"/>
      <c r="L896" s="33"/>
    </row>
    <row r="897" spans="1:12" ht="15.75" x14ac:dyDescent="0.3">
      <c r="A897" s="32"/>
      <c r="B897" s="39"/>
      <c r="C897" s="39"/>
      <c r="D897" s="32"/>
      <c r="E897" s="32"/>
      <c r="G897" s="32"/>
      <c r="H897" s="32"/>
      <c r="I897" s="32"/>
      <c r="J897" s="32"/>
      <c r="K897" s="32"/>
      <c r="L897" s="33"/>
    </row>
    <row r="898" spans="1:12" ht="15.75" x14ac:dyDescent="0.3">
      <c r="A898" s="32"/>
      <c r="B898" s="39"/>
      <c r="C898" s="39"/>
      <c r="D898" s="32"/>
      <c r="E898" s="32"/>
      <c r="G898" s="32"/>
      <c r="H898" s="32"/>
      <c r="I898" s="32"/>
      <c r="J898" s="32"/>
      <c r="K898" s="32"/>
      <c r="L898" s="33"/>
    </row>
    <row r="899" spans="1:12" ht="15.75" x14ac:dyDescent="0.3">
      <c r="A899" s="32"/>
      <c r="B899" s="39"/>
      <c r="C899" s="39"/>
      <c r="D899" s="32"/>
      <c r="E899" s="32"/>
      <c r="G899" s="32"/>
      <c r="H899" s="32"/>
      <c r="I899" s="32"/>
      <c r="J899" s="32"/>
      <c r="K899" s="32"/>
      <c r="L899" s="33"/>
    </row>
    <row r="900" spans="1:12" ht="15.75" x14ac:dyDescent="0.3">
      <c r="A900" s="32"/>
      <c r="B900" s="39"/>
      <c r="C900" s="39"/>
      <c r="D900" s="32"/>
      <c r="E900" s="32"/>
      <c r="G900" s="32"/>
      <c r="H900" s="32"/>
      <c r="I900" s="32"/>
      <c r="J900" s="32"/>
      <c r="K900" s="32"/>
      <c r="L900" s="33"/>
    </row>
    <row r="901" spans="1:12" ht="15.75" x14ac:dyDescent="0.3">
      <c r="A901" s="32"/>
      <c r="B901" s="39"/>
      <c r="C901" s="39"/>
      <c r="D901" s="32"/>
      <c r="E901" s="32"/>
      <c r="G901" s="32"/>
      <c r="H901" s="32"/>
      <c r="I901" s="32"/>
      <c r="J901" s="32"/>
      <c r="K901" s="32"/>
      <c r="L901" s="33"/>
    </row>
    <row r="902" spans="1:12" ht="15.75" x14ac:dyDescent="0.3">
      <c r="A902" s="32"/>
      <c r="B902" s="39"/>
      <c r="C902" s="39"/>
      <c r="D902" s="32"/>
      <c r="E902" s="32"/>
      <c r="G902" s="32"/>
      <c r="H902" s="32"/>
      <c r="I902" s="32"/>
      <c r="J902" s="32"/>
      <c r="K902" s="32"/>
      <c r="L902" s="33"/>
    </row>
    <row r="903" spans="1:12" ht="15.75" x14ac:dyDescent="0.3">
      <c r="A903" s="32"/>
      <c r="B903" s="39"/>
      <c r="C903" s="39"/>
      <c r="D903" s="32"/>
      <c r="E903" s="32"/>
      <c r="G903" s="32"/>
      <c r="H903" s="32"/>
      <c r="I903" s="32"/>
      <c r="J903" s="32"/>
      <c r="K903" s="32"/>
      <c r="L903" s="33"/>
    </row>
    <row r="904" spans="1:12" ht="15.75" x14ac:dyDescent="0.3">
      <c r="A904" s="32"/>
      <c r="B904" s="39"/>
      <c r="C904" s="39"/>
      <c r="D904" s="32"/>
      <c r="E904" s="32"/>
      <c r="G904" s="32"/>
      <c r="H904" s="32"/>
      <c r="I904" s="32"/>
      <c r="J904" s="32"/>
      <c r="K904" s="32"/>
      <c r="L904" s="33"/>
    </row>
    <row r="905" spans="1:12" ht="15.75" x14ac:dyDescent="0.3">
      <c r="A905" s="32"/>
      <c r="B905" s="39"/>
      <c r="C905" s="39"/>
      <c r="D905" s="32"/>
      <c r="E905" s="32"/>
      <c r="G905" s="32"/>
      <c r="H905" s="32"/>
      <c r="I905" s="32"/>
      <c r="J905" s="32"/>
      <c r="K905" s="32"/>
      <c r="L905" s="33"/>
    </row>
    <row r="906" spans="1:12" ht="15.75" x14ac:dyDescent="0.3">
      <c r="A906" s="32"/>
      <c r="B906" s="39"/>
      <c r="C906" s="39"/>
      <c r="D906" s="32"/>
      <c r="E906" s="32"/>
      <c r="G906" s="32"/>
      <c r="H906" s="32"/>
      <c r="I906" s="32"/>
      <c r="J906" s="32"/>
      <c r="K906" s="32"/>
      <c r="L906" s="33"/>
    </row>
    <row r="907" spans="1:12" ht="15.75" x14ac:dyDescent="0.3">
      <c r="A907" s="32"/>
      <c r="B907" s="39"/>
      <c r="C907" s="39"/>
      <c r="D907" s="32"/>
      <c r="E907" s="32"/>
      <c r="G907" s="32"/>
      <c r="H907" s="32"/>
      <c r="I907" s="32"/>
      <c r="J907" s="32"/>
      <c r="K907" s="32"/>
      <c r="L907" s="33"/>
    </row>
    <row r="908" spans="1:12" ht="15.75" x14ac:dyDescent="0.3">
      <c r="A908" s="32"/>
      <c r="B908" s="39"/>
      <c r="C908" s="39"/>
      <c r="D908" s="32"/>
      <c r="E908" s="32"/>
      <c r="G908" s="32"/>
      <c r="H908" s="32"/>
      <c r="I908" s="32"/>
      <c r="J908" s="32"/>
      <c r="K908" s="32"/>
      <c r="L908" s="33"/>
    </row>
    <row r="909" spans="1:12" ht="15.75" x14ac:dyDescent="0.3">
      <c r="A909" s="32"/>
      <c r="B909" s="39"/>
      <c r="C909" s="39"/>
      <c r="D909" s="32"/>
      <c r="E909" s="32"/>
      <c r="G909" s="32"/>
      <c r="H909" s="32"/>
      <c r="I909" s="32"/>
      <c r="J909" s="32"/>
      <c r="K909" s="32"/>
      <c r="L909" s="33"/>
    </row>
    <row r="910" spans="1:12" ht="15.75" x14ac:dyDescent="0.3">
      <c r="A910" s="32"/>
      <c r="B910" s="39"/>
      <c r="C910" s="39"/>
      <c r="D910" s="32"/>
      <c r="E910" s="32"/>
      <c r="G910" s="32"/>
      <c r="H910" s="32"/>
      <c r="I910" s="32"/>
      <c r="J910" s="32"/>
      <c r="K910" s="32"/>
      <c r="L910" s="33"/>
    </row>
    <row r="911" spans="1:12" ht="15.75" x14ac:dyDescent="0.3">
      <c r="A911" s="32"/>
      <c r="B911" s="39"/>
      <c r="C911" s="39"/>
      <c r="D911" s="32"/>
      <c r="E911" s="32"/>
      <c r="G911" s="32"/>
      <c r="H911" s="32"/>
      <c r="I911" s="32"/>
      <c r="J911" s="32"/>
      <c r="K911" s="32"/>
      <c r="L911" s="33"/>
    </row>
    <row r="912" spans="1:12" ht="15.75" x14ac:dyDescent="0.3">
      <c r="A912" s="32"/>
      <c r="B912" s="39"/>
      <c r="C912" s="39"/>
      <c r="D912" s="32"/>
      <c r="E912" s="32"/>
      <c r="G912" s="32"/>
      <c r="H912" s="32"/>
      <c r="I912" s="32"/>
      <c r="J912" s="32"/>
      <c r="K912" s="32"/>
      <c r="L912" s="33"/>
    </row>
    <row r="913" spans="1:12" ht="15.75" x14ac:dyDescent="0.3">
      <c r="A913" s="32"/>
      <c r="B913" s="39"/>
      <c r="C913" s="39"/>
      <c r="D913" s="32"/>
      <c r="E913" s="32"/>
      <c r="G913" s="32"/>
      <c r="H913" s="32"/>
      <c r="I913" s="32"/>
      <c r="J913" s="32"/>
      <c r="K913" s="32"/>
      <c r="L913" s="33"/>
    </row>
    <row r="914" spans="1:12" ht="15.75" x14ac:dyDescent="0.3">
      <c r="A914" s="32"/>
      <c r="B914" s="39"/>
      <c r="C914" s="39"/>
      <c r="D914" s="32"/>
      <c r="E914" s="32"/>
      <c r="G914" s="32"/>
      <c r="H914" s="32"/>
      <c r="I914" s="32"/>
      <c r="J914" s="32"/>
      <c r="K914" s="32"/>
      <c r="L914" s="33"/>
    </row>
    <row r="915" spans="1:12" ht="15.75" x14ac:dyDescent="0.3">
      <c r="A915" s="32"/>
      <c r="B915" s="39"/>
      <c r="C915" s="39"/>
      <c r="D915" s="32"/>
      <c r="E915" s="32"/>
      <c r="G915" s="32"/>
      <c r="H915" s="32"/>
      <c r="I915" s="32"/>
      <c r="J915" s="32"/>
      <c r="K915" s="32"/>
      <c r="L915" s="33"/>
    </row>
    <row r="916" spans="1:12" ht="15.75" x14ac:dyDescent="0.3">
      <c r="A916" s="32"/>
      <c r="B916" s="39"/>
      <c r="C916" s="39"/>
      <c r="D916" s="32"/>
      <c r="E916" s="32"/>
      <c r="G916" s="32"/>
      <c r="H916" s="32"/>
      <c r="I916" s="32"/>
      <c r="J916" s="32"/>
      <c r="K916" s="32"/>
      <c r="L916" s="33"/>
    </row>
    <row r="917" spans="1:12" ht="15.75" x14ac:dyDescent="0.3">
      <c r="A917" s="32"/>
      <c r="B917" s="39"/>
      <c r="C917" s="39"/>
      <c r="D917" s="32"/>
      <c r="E917" s="32"/>
      <c r="G917" s="32"/>
      <c r="H917" s="32"/>
      <c r="I917" s="32"/>
      <c r="J917" s="32"/>
      <c r="K917" s="32"/>
      <c r="L917" s="33"/>
    </row>
    <row r="918" spans="1:12" ht="15.75" x14ac:dyDescent="0.3">
      <c r="A918" s="32"/>
      <c r="B918" s="39"/>
      <c r="C918" s="39"/>
      <c r="D918" s="32"/>
      <c r="E918" s="32"/>
      <c r="G918" s="32"/>
      <c r="H918" s="32"/>
      <c r="I918" s="32"/>
      <c r="J918" s="32"/>
      <c r="K918" s="32"/>
      <c r="L918" s="33"/>
    </row>
    <row r="919" spans="1:12" ht="15.75" x14ac:dyDescent="0.3">
      <c r="A919" s="32"/>
      <c r="B919" s="39"/>
      <c r="C919" s="39"/>
      <c r="D919" s="32"/>
      <c r="E919" s="32"/>
      <c r="G919" s="32"/>
      <c r="H919" s="32"/>
      <c r="I919" s="32"/>
      <c r="J919" s="32"/>
      <c r="K919" s="32"/>
      <c r="L919" s="33"/>
    </row>
    <row r="920" spans="1:12" ht="15.75" x14ac:dyDescent="0.3">
      <c r="A920" s="32"/>
      <c r="B920" s="39"/>
      <c r="C920" s="39"/>
      <c r="D920" s="32"/>
      <c r="E920" s="32"/>
      <c r="G920" s="32"/>
      <c r="H920" s="32"/>
      <c r="I920" s="32"/>
      <c r="J920" s="32"/>
      <c r="K920" s="32"/>
      <c r="L920" s="33"/>
    </row>
    <row r="921" spans="1:12" ht="15.75" x14ac:dyDescent="0.3">
      <c r="A921" s="32"/>
      <c r="B921" s="39"/>
      <c r="C921" s="39"/>
      <c r="D921" s="32"/>
      <c r="E921" s="32"/>
      <c r="G921" s="32"/>
      <c r="H921" s="32"/>
      <c r="I921" s="32"/>
      <c r="J921" s="32"/>
      <c r="K921" s="32"/>
      <c r="L921" s="33"/>
    </row>
    <row r="922" spans="1:12" ht="15.75" x14ac:dyDescent="0.3">
      <c r="A922" s="32"/>
      <c r="B922" s="39"/>
      <c r="C922" s="39"/>
      <c r="D922" s="32"/>
      <c r="E922" s="32"/>
      <c r="G922" s="32"/>
      <c r="H922" s="32"/>
      <c r="I922" s="32"/>
      <c r="J922" s="32"/>
      <c r="K922" s="32"/>
      <c r="L922" s="33"/>
    </row>
    <row r="923" spans="1:12" ht="15.75" x14ac:dyDescent="0.3">
      <c r="A923" s="32"/>
      <c r="B923" s="39"/>
      <c r="C923" s="39"/>
      <c r="D923" s="32"/>
      <c r="E923" s="32"/>
      <c r="G923" s="32"/>
      <c r="H923" s="32"/>
      <c r="I923" s="32"/>
      <c r="J923" s="32"/>
      <c r="K923" s="32"/>
      <c r="L923" s="33"/>
    </row>
    <row r="924" spans="1:12" ht="15.75" x14ac:dyDescent="0.3">
      <c r="A924" s="32"/>
      <c r="B924" s="39"/>
      <c r="C924" s="39"/>
      <c r="D924" s="32"/>
      <c r="E924" s="32"/>
      <c r="G924" s="32"/>
      <c r="H924" s="32"/>
      <c r="I924" s="32"/>
      <c r="J924" s="32"/>
      <c r="K924" s="32"/>
      <c r="L924" s="33"/>
    </row>
    <row r="925" spans="1:12" ht="15.75" x14ac:dyDescent="0.3">
      <c r="A925" s="32"/>
      <c r="B925" s="39"/>
      <c r="C925" s="39"/>
      <c r="D925" s="32"/>
      <c r="E925" s="32"/>
      <c r="G925" s="32"/>
      <c r="H925" s="32"/>
      <c r="I925" s="32"/>
      <c r="J925" s="32"/>
      <c r="K925" s="32"/>
      <c r="L925" s="33"/>
    </row>
    <row r="926" spans="1:12" ht="15.75" x14ac:dyDescent="0.3">
      <c r="A926" s="32"/>
      <c r="B926" s="39"/>
      <c r="C926" s="39"/>
      <c r="D926" s="32"/>
      <c r="E926" s="32"/>
      <c r="G926" s="32"/>
      <c r="H926" s="32"/>
      <c r="I926" s="32"/>
      <c r="J926" s="32"/>
      <c r="K926" s="32"/>
      <c r="L926" s="33"/>
    </row>
    <row r="927" spans="1:12" ht="15.75" x14ac:dyDescent="0.3">
      <c r="A927" s="32"/>
      <c r="B927" s="39"/>
      <c r="C927" s="39"/>
      <c r="D927" s="32"/>
      <c r="E927" s="32"/>
      <c r="G927" s="32"/>
      <c r="H927" s="32"/>
      <c r="I927" s="32"/>
      <c r="J927" s="32"/>
      <c r="K927" s="32"/>
      <c r="L927" s="33"/>
    </row>
    <row r="928" spans="1:12" ht="15.75" x14ac:dyDescent="0.3">
      <c r="A928" s="32"/>
      <c r="B928" s="39"/>
      <c r="C928" s="39"/>
      <c r="D928" s="32"/>
      <c r="E928" s="32"/>
      <c r="G928" s="32"/>
      <c r="H928" s="32"/>
      <c r="I928" s="32"/>
      <c r="J928" s="32"/>
      <c r="K928" s="32"/>
      <c r="L928" s="33"/>
    </row>
    <row r="929" spans="1:12" ht="15.75" x14ac:dyDescent="0.3">
      <c r="A929" s="32"/>
      <c r="B929" s="39"/>
      <c r="C929" s="39"/>
      <c r="D929" s="32"/>
      <c r="E929" s="32"/>
      <c r="G929" s="32"/>
      <c r="H929" s="32"/>
      <c r="I929" s="32"/>
      <c r="J929" s="32"/>
      <c r="K929" s="32"/>
      <c r="L929" s="33"/>
    </row>
    <row r="930" spans="1:12" ht="15.75" x14ac:dyDescent="0.3">
      <c r="A930" s="32"/>
      <c r="B930" s="39"/>
      <c r="C930" s="39"/>
      <c r="D930" s="32"/>
      <c r="E930" s="32"/>
      <c r="G930" s="32"/>
      <c r="H930" s="32"/>
      <c r="I930" s="32"/>
      <c r="J930" s="32"/>
      <c r="K930" s="32"/>
      <c r="L930" s="33"/>
    </row>
    <row r="931" spans="1:12" ht="15.75" x14ac:dyDescent="0.3">
      <c r="A931" s="32"/>
      <c r="B931" s="39"/>
      <c r="C931" s="39"/>
      <c r="D931" s="32"/>
      <c r="E931" s="32"/>
      <c r="G931" s="32"/>
      <c r="H931" s="32"/>
      <c r="I931" s="32"/>
      <c r="J931" s="32"/>
      <c r="K931" s="32"/>
      <c r="L931" s="33"/>
    </row>
    <row r="932" spans="1:12" ht="15.75" x14ac:dyDescent="0.3">
      <c r="A932" s="32"/>
      <c r="B932" s="39"/>
      <c r="C932" s="39"/>
      <c r="D932" s="32"/>
      <c r="E932" s="32"/>
      <c r="G932" s="32"/>
      <c r="H932" s="32"/>
      <c r="I932" s="32"/>
      <c r="J932" s="32"/>
      <c r="K932" s="32"/>
      <c r="L932" s="33"/>
    </row>
    <row r="933" spans="1:12" ht="15.75" x14ac:dyDescent="0.3">
      <c r="A933" s="32"/>
      <c r="B933" s="39"/>
      <c r="C933" s="39"/>
      <c r="D933" s="32"/>
      <c r="E933" s="32"/>
      <c r="G933" s="32"/>
      <c r="H933" s="32"/>
      <c r="I933" s="32"/>
      <c r="J933" s="32"/>
      <c r="K933" s="32"/>
      <c r="L933" s="33"/>
    </row>
    <row r="934" spans="1:12" ht="15.75" x14ac:dyDescent="0.3">
      <c r="A934" s="32"/>
      <c r="B934" s="39"/>
      <c r="C934" s="39"/>
      <c r="D934" s="32"/>
      <c r="E934" s="32"/>
      <c r="G934" s="32"/>
      <c r="H934" s="32"/>
      <c r="I934" s="32"/>
      <c r="J934" s="32"/>
      <c r="K934" s="32"/>
      <c r="L934" s="33"/>
    </row>
    <row r="935" spans="1:12" ht="15.75" x14ac:dyDescent="0.3">
      <c r="A935" s="32"/>
      <c r="B935" s="39"/>
      <c r="C935" s="39"/>
      <c r="D935" s="32"/>
      <c r="E935" s="32"/>
      <c r="G935" s="32"/>
      <c r="H935" s="32"/>
      <c r="I935" s="32"/>
      <c r="J935" s="32"/>
      <c r="K935" s="32"/>
      <c r="L935" s="33"/>
    </row>
    <row r="936" spans="1:12" ht="15.75" x14ac:dyDescent="0.3">
      <c r="A936" s="32"/>
      <c r="B936" s="39"/>
      <c r="C936" s="39"/>
      <c r="D936" s="32"/>
      <c r="E936" s="32"/>
      <c r="G936" s="32"/>
      <c r="H936" s="32"/>
      <c r="I936" s="32"/>
      <c r="J936" s="32"/>
      <c r="K936" s="32"/>
      <c r="L936" s="33"/>
    </row>
    <row r="937" spans="1:12" ht="15.75" x14ac:dyDescent="0.3">
      <c r="A937" s="32"/>
      <c r="B937" s="39"/>
      <c r="C937" s="39"/>
      <c r="D937" s="32"/>
      <c r="E937" s="32"/>
      <c r="G937" s="32"/>
      <c r="H937" s="32"/>
      <c r="I937" s="32"/>
      <c r="J937" s="32"/>
      <c r="K937" s="32"/>
      <c r="L937" s="33"/>
    </row>
    <row r="938" spans="1:12" ht="15.75" x14ac:dyDescent="0.3">
      <c r="A938" s="32"/>
      <c r="B938" s="39"/>
      <c r="C938" s="39"/>
      <c r="D938" s="32"/>
      <c r="E938" s="32"/>
      <c r="G938" s="32"/>
      <c r="H938" s="32"/>
      <c r="I938" s="32"/>
      <c r="J938" s="32"/>
      <c r="K938" s="32"/>
      <c r="L938" s="33"/>
    </row>
    <row r="939" spans="1:12" ht="15.75" x14ac:dyDescent="0.3">
      <c r="A939" s="32"/>
      <c r="B939" s="39"/>
      <c r="C939" s="39"/>
      <c r="D939" s="32"/>
      <c r="E939" s="32"/>
      <c r="G939" s="32"/>
      <c r="H939" s="32"/>
      <c r="I939" s="32"/>
      <c r="J939" s="32"/>
      <c r="K939" s="32"/>
      <c r="L939" s="33"/>
    </row>
    <row r="940" spans="1:12" ht="15.75" x14ac:dyDescent="0.3">
      <c r="A940" s="32"/>
      <c r="B940" s="39"/>
      <c r="C940" s="39"/>
      <c r="D940" s="32"/>
      <c r="E940" s="32"/>
      <c r="G940" s="32"/>
      <c r="H940" s="32"/>
      <c r="I940" s="32"/>
      <c r="J940" s="32"/>
      <c r="K940" s="32"/>
      <c r="L940" s="33"/>
    </row>
    <row r="941" spans="1:12" ht="15.75" x14ac:dyDescent="0.3">
      <c r="A941" s="32"/>
      <c r="B941" s="39"/>
      <c r="C941" s="39"/>
      <c r="D941" s="32"/>
      <c r="E941" s="32"/>
      <c r="G941" s="32"/>
      <c r="H941" s="32"/>
      <c r="I941" s="32"/>
      <c r="J941" s="32"/>
      <c r="K941" s="32"/>
      <c r="L941" s="33"/>
    </row>
    <row r="942" spans="1:12" ht="15.75" x14ac:dyDescent="0.3">
      <c r="A942" s="32"/>
      <c r="B942" s="39"/>
      <c r="C942" s="39"/>
      <c r="D942" s="32"/>
      <c r="E942" s="32"/>
      <c r="G942" s="32"/>
      <c r="H942" s="32"/>
      <c r="I942" s="32"/>
      <c r="J942" s="32"/>
      <c r="K942" s="32"/>
      <c r="L942" s="33"/>
    </row>
    <row r="943" spans="1:12" ht="15.75" x14ac:dyDescent="0.3">
      <c r="A943" s="32"/>
      <c r="B943" s="39"/>
      <c r="C943" s="39"/>
      <c r="D943" s="32"/>
      <c r="E943" s="32"/>
      <c r="G943" s="32"/>
      <c r="H943" s="32"/>
      <c r="I943" s="32"/>
      <c r="J943" s="32"/>
      <c r="K943" s="32"/>
      <c r="L943" s="33"/>
    </row>
    <row r="944" spans="1:12" ht="15.75" x14ac:dyDescent="0.3">
      <c r="A944" s="32"/>
      <c r="B944" s="39"/>
      <c r="C944" s="39"/>
      <c r="D944" s="32"/>
      <c r="E944" s="32"/>
      <c r="G944" s="32"/>
      <c r="H944" s="32"/>
      <c r="I944" s="32"/>
      <c r="J944" s="32"/>
      <c r="K944" s="32"/>
      <c r="L944" s="33"/>
    </row>
    <row r="945" spans="1:12" ht="15.75" x14ac:dyDescent="0.3">
      <c r="A945" s="32"/>
      <c r="B945" s="39"/>
      <c r="C945" s="39"/>
      <c r="D945" s="32"/>
      <c r="E945" s="32"/>
      <c r="G945" s="32"/>
      <c r="H945" s="32"/>
      <c r="I945" s="32"/>
      <c r="J945" s="32"/>
      <c r="K945" s="32"/>
      <c r="L945" s="33"/>
    </row>
    <row r="946" spans="1:12" ht="15.75" x14ac:dyDescent="0.3">
      <c r="A946" s="32"/>
      <c r="B946" s="39"/>
      <c r="C946" s="39"/>
      <c r="D946" s="32"/>
      <c r="E946" s="32"/>
      <c r="G946" s="32"/>
      <c r="H946" s="32"/>
      <c r="I946" s="32"/>
      <c r="J946" s="32"/>
      <c r="K946" s="32"/>
      <c r="L946" s="33"/>
    </row>
    <row r="947" spans="1:12" ht="15.75" x14ac:dyDescent="0.3">
      <c r="A947" s="32"/>
      <c r="B947" s="39"/>
      <c r="C947" s="39"/>
      <c r="D947" s="32"/>
      <c r="E947" s="32"/>
      <c r="G947" s="32"/>
      <c r="H947" s="32"/>
      <c r="I947" s="32"/>
      <c r="J947" s="32"/>
      <c r="K947" s="32"/>
      <c r="L947" s="33"/>
    </row>
    <row r="948" spans="1:12" ht="15.75" x14ac:dyDescent="0.3">
      <c r="A948" s="32"/>
      <c r="B948" s="39"/>
      <c r="C948" s="39"/>
      <c r="D948" s="32"/>
      <c r="E948" s="32"/>
      <c r="G948" s="32"/>
      <c r="H948" s="32"/>
      <c r="I948" s="32"/>
      <c r="J948" s="32"/>
      <c r="K948" s="32"/>
      <c r="L948" s="33"/>
    </row>
    <row r="949" spans="1:12" ht="15.75" x14ac:dyDescent="0.3">
      <c r="A949" s="32"/>
      <c r="B949" s="39"/>
      <c r="C949" s="39"/>
      <c r="D949" s="32"/>
      <c r="E949" s="32"/>
      <c r="G949" s="32"/>
      <c r="H949" s="32"/>
      <c r="I949" s="32"/>
      <c r="J949" s="32"/>
      <c r="K949" s="32"/>
      <c r="L949" s="33"/>
    </row>
    <row r="950" spans="1:12" ht="15.75" x14ac:dyDescent="0.3">
      <c r="A950" s="32"/>
      <c r="B950" s="39"/>
      <c r="C950" s="39"/>
      <c r="D950" s="32"/>
      <c r="E950" s="32"/>
      <c r="G950" s="32"/>
      <c r="H950" s="32"/>
      <c r="I950" s="32"/>
      <c r="J950" s="32"/>
      <c r="K950" s="32"/>
      <c r="L950" s="33"/>
    </row>
    <row r="951" spans="1:12" ht="15.75" x14ac:dyDescent="0.3">
      <c r="A951" s="32"/>
      <c r="B951" s="39"/>
      <c r="C951" s="39"/>
      <c r="D951" s="32"/>
      <c r="E951" s="32"/>
      <c r="G951" s="32"/>
      <c r="H951" s="32"/>
      <c r="I951" s="32"/>
      <c r="J951" s="32"/>
      <c r="K951" s="32"/>
      <c r="L951" s="33"/>
    </row>
    <row r="952" spans="1:12" ht="15.75" x14ac:dyDescent="0.3">
      <c r="A952" s="32"/>
      <c r="B952" s="39"/>
      <c r="C952" s="39"/>
      <c r="D952" s="32"/>
      <c r="E952" s="32"/>
      <c r="G952" s="32"/>
      <c r="H952" s="32"/>
      <c r="I952" s="32"/>
      <c r="J952" s="32"/>
      <c r="K952" s="32"/>
      <c r="L952" s="33"/>
    </row>
    <row r="953" spans="1:12" ht="15.75" x14ac:dyDescent="0.3">
      <c r="A953" s="32"/>
      <c r="B953" s="39"/>
      <c r="C953" s="39"/>
      <c r="D953" s="32"/>
      <c r="E953" s="32"/>
      <c r="G953" s="32"/>
      <c r="H953" s="32"/>
      <c r="I953" s="32"/>
      <c r="J953" s="32"/>
      <c r="K953" s="32"/>
      <c r="L953" s="33"/>
    </row>
    <row r="954" spans="1:12" ht="15.75" x14ac:dyDescent="0.3">
      <c r="A954" s="32"/>
      <c r="B954" s="39"/>
      <c r="C954" s="39"/>
      <c r="D954" s="32"/>
      <c r="E954" s="32"/>
      <c r="G954" s="32"/>
      <c r="H954" s="32"/>
      <c r="I954" s="32"/>
      <c r="J954" s="32"/>
      <c r="K954" s="32"/>
      <c r="L954" s="33"/>
    </row>
    <row r="955" spans="1:12" ht="15.75" x14ac:dyDescent="0.3">
      <c r="A955" s="32"/>
      <c r="B955" s="39"/>
      <c r="C955" s="39"/>
      <c r="D955" s="32"/>
      <c r="E955" s="32"/>
      <c r="G955" s="32"/>
      <c r="H955" s="32"/>
      <c r="I955" s="32"/>
      <c r="J955" s="32"/>
      <c r="K955" s="32"/>
      <c r="L955" s="33"/>
    </row>
    <row r="956" spans="1:12" ht="15.75" x14ac:dyDescent="0.3">
      <c r="A956" s="32"/>
      <c r="B956" s="39"/>
      <c r="C956" s="39"/>
      <c r="D956" s="32"/>
      <c r="E956" s="32"/>
      <c r="G956" s="32"/>
      <c r="H956" s="32"/>
      <c r="I956" s="32"/>
      <c r="J956" s="32"/>
      <c r="K956" s="32"/>
      <c r="L956" s="33"/>
    </row>
    <row r="957" spans="1:12" ht="15.75" x14ac:dyDescent="0.3">
      <c r="A957" s="32"/>
      <c r="B957" s="39"/>
      <c r="C957" s="39"/>
      <c r="D957" s="32"/>
      <c r="E957" s="32"/>
      <c r="G957" s="32"/>
      <c r="H957" s="32"/>
      <c r="I957" s="32"/>
      <c r="J957" s="32"/>
      <c r="K957" s="32"/>
      <c r="L957" s="33"/>
    </row>
    <row r="958" spans="1:12" ht="15.75" x14ac:dyDescent="0.3">
      <c r="A958" s="32"/>
      <c r="B958" s="39"/>
      <c r="C958" s="39"/>
      <c r="D958" s="32"/>
      <c r="E958" s="32"/>
      <c r="G958" s="32"/>
      <c r="H958" s="32"/>
      <c r="I958" s="32"/>
      <c r="J958" s="32"/>
      <c r="K958" s="32"/>
      <c r="L958" s="33"/>
    </row>
    <row r="959" spans="1:12" ht="15.75" x14ac:dyDescent="0.3">
      <c r="A959" s="32"/>
      <c r="B959" s="39"/>
      <c r="C959" s="39"/>
      <c r="D959" s="32"/>
      <c r="E959" s="32"/>
      <c r="G959" s="32"/>
      <c r="H959" s="32"/>
      <c r="I959" s="32"/>
      <c r="J959" s="32"/>
      <c r="K959" s="32"/>
      <c r="L959" s="33"/>
    </row>
    <row r="960" spans="1:12" ht="15.75" x14ac:dyDescent="0.3">
      <c r="A960" s="32"/>
      <c r="B960" s="39"/>
      <c r="C960" s="39"/>
      <c r="D960" s="32"/>
      <c r="E960" s="32"/>
      <c r="G960" s="32"/>
      <c r="H960" s="32"/>
      <c r="I960" s="32"/>
      <c r="J960" s="32"/>
      <c r="K960" s="32"/>
      <c r="L960" s="33"/>
    </row>
    <row r="961" spans="1:12" ht="15.75" x14ac:dyDescent="0.3">
      <c r="A961" s="32"/>
      <c r="B961" s="39"/>
      <c r="C961" s="39"/>
      <c r="D961" s="32"/>
      <c r="E961" s="32"/>
      <c r="G961" s="32"/>
      <c r="H961" s="32"/>
      <c r="I961" s="32"/>
      <c r="J961" s="32"/>
      <c r="K961" s="32"/>
      <c r="L961" s="33"/>
    </row>
    <row r="962" spans="1:12" ht="15.75" x14ac:dyDescent="0.3">
      <c r="A962" s="32"/>
      <c r="B962" s="39"/>
      <c r="C962" s="39"/>
      <c r="D962" s="32"/>
      <c r="E962" s="32"/>
      <c r="G962" s="32"/>
      <c r="H962" s="32"/>
      <c r="I962" s="32"/>
      <c r="J962" s="32"/>
      <c r="K962" s="32"/>
      <c r="L962" s="33"/>
    </row>
    <row r="963" spans="1:12" ht="15.75" x14ac:dyDescent="0.3">
      <c r="A963" s="32"/>
      <c r="B963" s="39"/>
      <c r="C963" s="39"/>
      <c r="D963" s="32"/>
      <c r="E963" s="32"/>
      <c r="G963" s="32"/>
      <c r="H963" s="32"/>
      <c r="I963" s="32"/>
      <c r="J963" s="32"/>
      <c r="K963" s="32"/>
      <c r="L963" s="33"/>
    </row>
    <row r="964" spans="1:12" ht="15.75" x14ac:dyDescent="0.3">
      <c r="A964" s="32"/>
      <c r="B964" s="39"/>
      <c r="C964" s="39"/>
      <c r="D964" s="32"/>
      <c r="E964" s="32"/>
      <c r="G964" s="32"/>
      <c r="H964" s="32"/>
      <c r="I964" s="32"/>
      <c r="J964" s="32"/>
      <c r="K964" s="32"/>
      <c r="L964" s="33"/>
    </row>
    <row r="965" spans="1:12" ht="15.75" x14ac:dyDescent="0.3">
      <c r="A965" s="32"/>
      <c r="B965" s="39"/>
      <c r="C965" s="39"/>
      <c r="D965" s="32"/>
      <c r="E965" s="32"/>
      <c r="G965" s="32"/>
      <c r="H965" s="32"/>
      <c r="I965" s="32"/>
      <c r="J965" s="32"/>
      <c r="K965" s="32"/>
      <c r="L965" s="33"/>
    </row>
    <row r="966" spans="1:12" ht="15.75" x14ac:dyDescent="0.3">
      <c r="A966" s="32"/>
      <c r="B966" s="39"/>
      <c r="C966" s="39"/>
      <c r="D966" s="32"/>
      <c r="E966" s="32"/>
      <c r="G966" s="32"/>
      <c r="H966" s="32"/>
      <c r="I966" s="32"/>
      <c r="J966" s="32"/>
      <c r="K966" s="32"/>
      <c r="L966" s="33"/>
    </row>
    <row r="967" spans="1:12" ht="15.75" x14ac:dyDescent="0.3">
      <c r="A967" s="32"/>
      <c r="B967" s="39"/>
      <c r="C967" s="39"/>
      <c r="D967" s="32"/>
      <c r="E967" s="32"/>
      <c r="G967" s="32"/>
      <c r="H967" s="32"/>
      <c r="I967" s="32"/>
      <c r="J967" s="32"/>
      <c r="K967" s="32"/>
      <c r="L967" s="33"/>
    </row>
    <row r="968" spans="1:12" ht="15.75" x14ac:dyDescent="0.3">
      <c r="A968" s="32"/>
      <c r="B968" s="39"/>
      <c r="C968" s="39"/>
      <c r="D968" s="32"/>
      <c r="E968" s="32"/>
      <c r="G968" s="32"/>
      <c r="H968" s="32"/>
      <c r="I968" s="32"/>
      <c r="J968" s="32"/>
      <c r="K968" s="32"/>
      <c r="L968" s="33"/>
    </row>
    <row r="969" spans="1:12" ht="15.75" x14ac:dyDescent="0.3">
      <c r="A969" s="32"/>
      <c r="B969" s="39"/>
      <c r="C969" s="39"/>
      <c r="D969" s="32"/>
      <c r="E969" s="32"/>
      <c r="G969" s="32"/>
      <c r="H969" s="32"/>
      <c r="I969" s="32"/>
      <c r="J969" s="32"/>
      <c r="K969" s="32"/>
      <c r="L969" s="33"/>
    </row>
    <row r="970" spans="1:12" ht="15.75" x14ac:dyDescent="0.3">
      <c r="A970" s="32"/>
      <c r="B970" s="39"/>
      <c r="C970" s="39"/>
      <c r="D970" s="32"/>
      <c r="E970" s="32"/>
      <c r="G970" s="32"/>
      <c r="H970" s="32"/>
      <c r="I970" s="32"/>
      <c r="J970" s="32"/>
      <c r="K970" s="32"/>
      <c r="L970" s="33"/>
    </row>
    <row r="971" spans="1:12" ht="15.75" x14ac:dyDescent="0.3">
      <c r="A971" s="32"/>
      <c r="B971" s="39"/>
      <c r="C971" s="39"/>
      <c r="D971" s="32"/>
      <c r="E971" s="32"/>
      <c r="G971" s="32"/>
      <c r="H971" s="32"/>
      <c r="I971" s="32"/>
      <c r="J971" s="32"/>
      <c r="K971" s="32"/>
      <c r="L971" s="33"/>
    </row>
    <row r="972" spans="1:12" ht="15.75" x14ac:dyDescent="0.3">
      <c r="A972" s="32"/>
      <c r="B972" s="39"/>
      <c r="C972" s="39"/>
      <c r="D972" s="32"/>
      <c r="E972" s="32"/>
      <c r="G972" s="32"/>
      <c r="H972" s="32"/>
      <c r="I972" s="32"/>
      <c r="J972" s="32"/>
      <c r="K972" s="32"/>
      <c r="L972" s="33"/>
    </row>
    <row r="973" spans="1:12" ht="15.75" x14ac:dyDescent="0.3">
      <c r="A973" s="32"/>
      <c r="B973" s="39"/>
      <c r="C973" s="39"/>
      <c r="D973" s="32"/>
      <c r="E973" s="32"/>
      <c r="G973" s="32"/>
      <c r="H973" s="32"/>
      <c r="I973" s="32"/>
      <c r="J973" s="32"/>
      <c r="K973" s="32"/>
      <c r="L973" s="33"/>
    </row>
    <row r="974" spans="1:12" ht="15.75" x14ac:dyDescent="0.3">
      <c r="A974" s="32"/>
      <c r="B974" s="39"/>
      <c r="C974" s="39"/>
      <c r="D974" s="32"/>
      <c r="E974" s="32"/>
      <c r="G974" s="32"/>
      <c r="H974" s="32"/>
      <c r="I974" s="32"/>
      <c r="J974" s="32"/>
      <c r="K974" s="32"/>
      <c r="L974" s="33"/>
    </row>
    <row r="975" spans="1:12" ht="15.75" x14ac:dyDescent="0.3">
      <c r="A975" s="32"/>
      <c r="B975" s="39"/>
      <c r="C975" s="39"/>
      <c r="D975" s="32"/>
      <c r="E975" s="32"/>
      <c r="G975" s="32"/>
      <c r="H975" s="32"/>
      <c r="I975" s="32"/>
      <c r="J975" s="32"/>
      <c r="K975" s="32"/>
      <c r="L975" s="33"/>
    </row>
    <row r="976" spans="1:12" ht="15.75" x14ac:dyDescent="0.3">
      <c r="A976" s="32"/>
      <c r="B976" s="39"/>
      <c r="C976" s="39"/>
      <c r="D976" s="32"/>
      <c r="E976" s="32"/>
      <c r="G976" s="32"/>
      <c r="H976" s="32"/>
      <c r="I976" s="32"/>
      <c r="J976" s="32"/>
      <c r="K976" s="32"/>
      <c r="L976" s="33"/>
    </row>
    <row r="977" spans="1:12" ht="15.75" x14ac:dyDescent="0.3">
      <c r="A977" s="32"/>
      <c r="B977" s="39"/>
      <c r="C977" s="39"/>
      <c r="D977" s="32"/>
      <c r="E977" s="32"/>
      <c r="G977" s="32"/>
      <c r="H977" s="32"/>
      <c r="I977" s="32"/>
      <c r="J977" s="32"/>
      <c r="K977" s="32"/>
      <c r="L977" s="33"/>
    </row>
    <row r="978" spans="1:12" ht="15.75" x14ac:dyDescent="0.3">
      <c r="A978" s="32"/>
      <c r="B978" s="39"/>
      <c r="C978" s="39"/>
      <c r="D978" s="32"/>
      <c r="E978" s="32"/>
      <c r="G978" s="32"/>
      <c r="H978" s="32"/>
      <c r="I978" s="32"/>
      <c r="J978" s="32"/>
      <c r="K978" s="32"/>
      <c r="L978" s="33"/>
    </row>
    <row r="979" spans="1:12" ht="15.75" x14ac:dyDescent="0.3">
      <c r="A979" s="32"/>
      <c r="B979" s="39"/>
      <c r="C979" s="39"/>
      <c r="D979" s="32"/>
      <c r="E979" s="32"/>
      <c r="G979" s="32"/>
      <c r="H979" s="32"/>
      <c r="I979" s="32"/>
      <c r="J979" s="32"/>
      <c r="K979" s="32"/>
      <c r="L979" s="33"/>
    </row>
    <row r="980" spans="1:12" ht="15.75" x14ac:dyDescent="0.3">
      <c r="A980" s="32"/>
      <c r="B980" s="39"/>
      <c r="C980" s="39"/>
      <c r="D980" s="32"/>
      <c r="E980" s="32"/>
      <c r="G980" s="32"/>
      <c r="H980" s="32"/>
      <c r="I980" s="32"/>
      <c r="J980" s="32"/>
      <c r="K980" s="32"/>
      <c r="L980" s="33"/>
    </row>
    <row r="981" spans="1:12" ht="15.75" x14ac:dyDescent="0.3">
      <c r="A981" s="32"/>
      <c r="B981" s="39"/>
      <c r="C981" s="39"/>
      <c r="D981" s="32"/>
      <c r="E981" s="32"/>
      <c r="G981" s="32"/>
      <c r="H981" s="32"/>
      <c r="I981" s="32"/>
      <c r="J981" s="32"/>
      <c r="K981" s="32"/>
      <c r="L981" s="33"/>
    </row>
    <row r="982" spans="1:12" ht="15.75" x14ac:dyDescent="0.3">
      <c r="A982" s="32"/>
      <c r="B982" s="39"/>
      <c r="C982" s="39"/>
      <c r="D982" s="32"/>
      <c r="E982" s="32"/>
      <c r="G982" s="32"/>
      <c r="H982" s="32"/>
      <c r="I982" s="32"/>
      <c r="J982" s="32"/>
      <c r="K982" s="32"/>
      <c r="L982" s="33"/>
    </row>
    <row r="983" spans="1:12" ht="15.75" x14ac:dyDescent="0.3">
      <c r="A983" s="32"/>
      <c r="B983" s="39"/>
      <c r="C983" s="39"/>
      <c r="D983" s="32"/>
      <c r="E983" s="32"/>
      <c r="G983" s="32"/>
      <c r="H983" s="32"/>
      <c r="I983" s="32"/>
      <c r="J983" s="32"/>
      <c r="K983" s="32"/>
      <c r="L983" s="33"/>
    </row>
    <row r="984" spans="1:12" ht="15.75" x14ac:dyDescent="0.3">
      <c r="A984" s="32"/>
      <c r="B984" s="39"/>
      <c r="C984" s="39"/>
      <c r="D984" s="32"/>
      <c r="E984" s="32"/>
      <c r="G984" s="32"/>
      <c r="H984" s="32"/>
      <c r="I984" s="32"/>
      <c r="J984" s="32"/>
      <c r="K984" s="32"/>
      <c r="L984" s="33"/>
    </row>
    <row r="985" spans="1:12" ht="15.75" x14ac:dyDescent="0.3">
      <c r="A985" s="32"/>
      <c r="B985" s="39"/>
      <c r="C985" s="39"/>
      <c r="D985" s="32"/>
      <c r="E985" s="32"/>
      <c r="G985" s="32"/>
      <c r="H985" s="32"/>
      <c r="I985" s="32"/>
      <c r="J985" s="32"/>
      <c r="K985" s="32"/>
      <c r="L985" s="33"/>
    </row>
    <row r="986" spans="1:12" ht="15.75" x14ac:dyDescent="0.3">
      <c r="A986" s="32"/>
      <c r="B986" s="39"/>
      <c r="C986" s="39"/>
      <c r="D986" s="32"/>
      <c r="E986" s="32"/>
      <c r="G986" s="32"/>
      <c r="H986" s="32"/>
      <c r="I986" s="32"/>
      <c r="J986" s="32"/>
      <c r="K986" s="32"/>
      <c r="L986" s="33"/>
    </row>
    <row r="987" spans="1:12" ht="15.75" x14ac:dyDescent="0.3">
      <c r="A987" s="32"/>
      <c r="B987" s="39"/>
      <c r="C987" s="39"/>
      <c r="D987" s="32"/>
      <c r="E987" s="32"/>
      <c r="G987" s="32"/>
      <c r="H987" s="32"/>
      <c r="I987" s="32"/>
      <c r="J987" s="32"/>
      <c r="K987" s="32"/>
      <c r="L987" s="33"/>
    </row>
    <row r="988" spans="1:12" ht="15.75" x14ac:dyDescent="0.3">
      <c r="A988" s="32"/>
      <c r="B988" s="39"/>
      <c r="C988" s="39"/>
      <c r="D988" s="32"/>
      <c r="E988" s="32"/>
      <c r="G988" s="32"/>
      <c r="H988" s="32"/>
      <c r="I988" s="32"/>
      <c r="J988" s="32"/>
      <c r="K988" s="32"/>
      <c r="L988" s="33"/>
    </row>
    <row r="989" spans="1:12" ht="15.75" x14ac:dyDescent="0.3">
      <c r="A989" s="32"/>
      <c r="B989" s="39"/>
      <c r="C989" s="39"/>
      <c r="D989" s="32"/>
      <c r="E989" s="32"/>
      <c r="G989" s="32"/>
      <c r="H989" s="32"/>
      <c r="I989" s="32"/>
      <c r="J989" s="32"/>
      <c r="K989" s="32"/>
      <c r="L989" s="33"/>
    </row>
    <row r="990" spans="1:12" ht="15.75" x14ac:dyDescent="0.3">
      <c r="A990" s="32"/>
      <c r="B990" s="39"/>
      <c r="C990" s="39"/>
      <c r="D990" s="32"/>
      <c r="E990" s="32"/>
      <c r="G990" s="32"/>
      <c r="H990" s="32"/>
      <c r="I990" s="32"/>
      <c r="J990" s="32"/>
      <c r="K990" s="32"/>
      <c r="L990" s="33"/>
    </row>
    <row r="991" spans="1:12" ht="15.75" x14ac:dyDescent="0.3">
      <c r="A991" s="32"/>
      <c r="B991" s="39"/>
      <c r="C991" s="39"/>
      <c r="D991" s="32"/>
      <c r="E991" s="32"/>
      <c r="G991" s="32"/>
      <c r="H991" s="32"/>
      <c r="I991" s="32"/>
      <c r="J991" s="32"/>
      <c r="K991" s="32"/>
      <c r="L991" s="33"/>
    </row>
    <row r="992" spans="1:12" ht="15.75" x14ac:dyDescent="0.3">
      <c r="A992" s="32"/>
      <c r="B992" s="39"/>
      <c r="C992" s="39"/>
      <c r="D992" s="32"/>
      <c r="E992" s="32"/>
      <c r="G992" s="32"/>
      <c r="H992" s="32"/>
      <c r="I992" s="32"/>
      <c r="J992" s="32"/>
      <c r="K992" s="32"/>
      <c r="L992" s="33"/>
    </row>
    <row r="993" spans="1:12" ht="15.75" x14ac:dyDescent="0.3">
      <c r="A993" s="32"/>
      <c r="B993" s="39"/>
      <c r="C993" s="39"/>
      <c r="D993" s="32"/>
      <c r="E993" s="32"/>
      <c r="G993" s="32"/>
      <c r="H993" s="32"/>
      <c r="I993" s="32"/>
      <c r="J993" s="32"/>
      <c r="K993" s="32"/>
      <c r="L993" s="33"/>
    </row>
    <row r="994" spans="1:12" ht="15.75" x14ac:dyDescent="0.3">
      <c r="A994" s="32"/>
      <c r="B994" s="39"/>
      <c r="C994" s="39"/>
      <c r="D994" s="32"/>
      <c r="E994" s="32"/>
      <c r="G994" s="32"/>
      <c r="H994" s="32"/>
      <c r="I994" s="32"/>
      <c r="J994" s="32"/>
      <c r="K994" s="32"/>
      <c r="L994" s="33"/>
    </row>
    <row r="995" spans="1:12" ht="15.75" x14ac:dyDescent="0.3">
      <c r="A995" s="32"/>
      <c r="B995" s="39"/>
      <c r="C995" s="39"/>
      <c r="D995" s="32"/>
      <c r="E995" s="32"/>
      <c r="G995" s="32"/>
      <c r="H995" s="32"/>
      <c r="I995" s="32"/>
      <c r="J995" s="32"/>
      <c r="K995" s="32"/>
      <c r="L995" s="33"/>
    </row>
    <row r="996" spans="1:12" ht="15.75" x14ac:dyDescent="0.3">
      <c r="A996" s="32"/>
      <c r="B996" s="39"/>
      <c r="C996" s="39"/>
      <c r="D996" s="32"/>
      <c r="E996" s="32"/>
      <c r="G996" s="32"/>
      <c r="H996" s="32"/>
      <c r="I996" s="32"/>
      <c r="J996" s="32"/>
      <c r="K996" s="32"/>
      <c r="L996" s="33"/>
    </row>
    <row r="997" spans="1:12" ht="15.75" x14ac:dyDescent="0.3">
      <c r="A997" s="32"/>
      <c r="B997" s="39"/>
      <c r="C997" s="39"/>
      <c r="D997" s="32"/>
      <c r="E997" s="32"/>
      <c r="G997" s="32"/>
      <c r="H997" s="32"/>
      <c r="I997" s="32"/>
      <c r="J997" s="32"/>
      <c r="K997" s="32"/>
      <c r="L997" s="33"/>
    </row>
    <row r="998" spans="1:12" ht="15.75" x14ac:dyDescent="0.3">
      <c r="A998" s="32"/>
      <c r="B998" s="39"/>
      <c r="C998" s="39"/>
      <c r="D998" s="32"/>
      <c r="E998" s="32"/>
      <c r="G998" s="32"/>
      <c r="H998" s="32"/>
      <c r="I998" s="32"/>
      <c r="J998" s="32"/>
      <c r="K998" s="32"/>
      <c r="L998" s="33"/>
    </row>
    <row r="999" spans="1:12" ht="15.75" x14ac:dyDescent="0.3">
      <c r="A999" s="32"/>
      <c r="B999" s="39"/>
      <c r="C999" s="39"/>
      <c r="D999" s="32"/>
      <c r="E999" s="32"/>
      <c r="G999" s="32"/>
      <c r="H999" s="32"/>
      <c r="I999" s="32"/>
      <c r="J999" s="32"/>
      <c r="K999" s="32"/>
      <c r="L999" s="33"/>
    </row>
    <row r="1000" spans="1:12" ht="15.75" x14ac:dyDescent="0.3">
      <c r="A1000" s="32"/>
      <c r="B1000" s="39"/>
      <c r="C1000" s="39"/>
      <c r="D1000" s="32"/>
      <c r="E1000" s="32"/>
      <c r="G1000" s="32"/>
      <c r="H1000" s="32"/>
      <c r="I1000" s="32"/>
      <c r="J1000" s="32"/>
      <c r="K1000" s="32"/>
      <c r="L1000" s="33"/>
    </row>
    <row r="1001" spans="1:12" ht="15.75" x14ac:dyDescent="0.3">
      <c r="A1001" s="32"/>
      <c r="B1001" s="39"/>
      <c r="C1001" s="39"/>
      <c r="D1001" s="32"/>
      <c r="E1001" s="32"/>
      <c r="G1001" s="32"/>
      <c r="H1001" s="32"/>
      <c r="I1001" s="32"/>
      <c r="J1001" s="32"/>
      <c r="K1001" s="32"/>
      <c r="L1001" s="33"/>
    </row>
    <row r="1002" spans="1:12" ht="15.75" x14ac:dyDescent="0.3">
      <c r="A1002" s="32"/>
      <c r="B1002" s="39"/>
      <c r="C1002" s="39"/>
      <c r="D1002" s="32"/>
      <c r="E1002" s="32"/>
      <c r="G1002" s="32"/>
      <c r="H1002" s="32"/>
      <c r="I1002" s="32"/>
      <c r="J1002" s="32"/>
      <c r="K1002" s="32"/>
      <c r="L1002" s="33"/>
    </row>
    <row r="1003" spans="1:12" ht="15.75" x14ac:dyDescent="0.3">
      <c r="A1003" s="32"/>
      <c r="B1003" s="39"/>
      <c r="C1003" s="39"/>
      <c r="D1003" s="32"/>
      <c r="E1003" s="32"/>
      <c r="G1003" s="32"/>
      <c r="H1003" s="32"/>
      <c r="I1003" s="32"/>
      <c r="J1003" s="32"/>
      <c r="K1003" s="32"/>
      <c r="L1003" s="33"/>
    </row>
    <row r="1004" spans="1:12" ht="15.75" x14ac:dyDescent="0.3">
      <c r="A1004" s="32"/>
      <c r="B1004" s="39"/>
      <c r="C1004" s="39"/>
      <c r="D1004" s="32"/>
      <c r="E1004" s="32"/>
      <c r="G1004" s="32"/>
      <c r="H1004" s="32"/>
      <c r="I1004" s="32"/>
      <c r="J1004" s="32"/>
      <c r="K1004" s="32"/>
      <c r="L1004" s="33"/>
    </row>
    <row r="1005" spans="1:12" ht="15.75" x14ac:dyDescent="0.3">
      <c r="A1005" s="32"/>
      <c r="B1005" s="39"/>
      <c r="C1005" s="39"/>
      <c r="D1005" s="32"/>
      <c r="E1005" s="32"/>
      <c r="G1005" s="32"/>
      <c r="H1005" s="32"/>
      <c r="I1005" s="32"/>
      <c r="J1005" s="32"/>
      <c r="K1005" s="32"/>
      <c r="L1005" s="33"/>
    </row>
    <row r="1006" spans="1:12" ht="15.75" x14ac:dyDescent="0.3">
      <c r="A1006" s="32"/>
      <c r="B1006" s="39"/>
      <c r="C1006" s="39"/>
      <c r="D1006" s="32"/>
      <c r="E1006" s="32"/>
      <c r="G1006" s="32"/>
      <c r="H1006" s="32"/>
      <c r="I1006" s="32"/>
      <c r="J1006" s="32"/>
      <c r="K1006" s="32"/>
      <c r="L1006" s="33"/>
    </row>
    <row r="1007" spans="1:12" ht="15.75" x14ac:dyDescent="0.3">
      <c r="A1007" s="32"/>
      <c r="B1007" s="39"/>
      <c r="C1007" s="39"/>
      <c r="D1007" s="32"/>
      <c r="E1007" s="32"/>
      <c r="G1007" s="32"/>
      <c r="H1007" s="32"/>
      <c r="I1007" s="32"/>
      <c r="J1007" s="32"/>
      <c r="K1007" s="32"/>
      <c r="L1007" s="33"/>
    </row>
    <row r="1008" spans="1:12" ht="15.75" x14ac:dyDescent="0.3">
      <c r="A1008" s="32"/>
      <c r="B1008" s="39"/>
      <c r="C1008" s="39"/>
      <c r="D1008" s="32"/>
      <c r="E1008" s="32"/>
      <c r="G1008" s="32"/>
      <c r="H1008" s="32"/>
      <c r="I1008" s="32"/>
      <c r="J1008" s="32"/>
      <c r="K1008" s="32"/>
      <c r="L1008" s="33"/>
    </row>
    <row r="1009" spans="1:12" ht="15.75" x14ac:dyDescent="0.3">
      <c r="A1009" s="32"/>
      <c r="B1009" s="39"/>
      <c r="C1009" s="39"/>
      <c r="D1009" s="32"/>
      <c r="E1009" s="32"/>
      <c r="G1009" s="32"/>
      <c r="H1009" s="32"/>
      <c r="I1009" s="32"/>
      <c r="J1009" s="32"/>
      <c r="K1009" s="32"/>
      <c r="L1009" s="33"/>
    </row>
    <row r="1010" spans="1:12" ht="15.75" x14ac:dyDescent="0.3">
      <c r="A1010" s="32"/>
      <c r="B1010" s="39"/>
      <c r="C1010" s="39"/>
      <c r="D1010" s="32"/>
      <c r="E1010" s="32"/>
      <c r="G1010" s="32"/>
      <c r="H1010" s="32"/>
      <c r="I1010" s="32"/>
      <c r="J1010" s="32"/>
      <c r="K1010" s="32"/>
      <c r="L1010" s="33"/>
    </row>
    <row r="1011" spans="1:12" ht="15.75" x14ac:dyDescent="0.3">
      <c r="A1011" s="32"/>
      <c r="B1011" s="39"/>
      <c r="C1011" s="39"/>
      <c r="D1011" s="32"/>
      <c r="E1011" s="32"/>
      <c r="G1011" s="32"/>
      <c r="H1011" s="32"/>
      <c r="I1011" s="32"/>
      <c r="J1011" s="32"/>
      <c r="K1011" s="32"/>
      <c r="L1011" s="33"/>
    </row>
    <row r="1012" spans="1:12" ht="15.75" x14ac:dyDescent="0.3">
      <c r="A1012" s="32"/>
      <c r="B1012" s="39"/>
      <c r="C1012" s="39"/>
      <c r="D1012" s="32"/>
      <c r="E1012" s="32"/>
      <c r="G1012" s="32"/>
      <c r="H1012" s="32"/>
      <c r="I1012" s="32"/>
      <c r="J1012" s="32"/>
      <c r="K1012" s="32"/>
      <c r="L1012" s="33"/>
    </row>
    <row r="1013" spans="1:12" ht="15.75" x14ac:dyDescent="0.3">
      <c r="A1013" s="32"/>
      <c r="B1013" s="39"/>
      <c r="C1013" s="39"/>
      <c r="D1013" s="32"/>
      <c r="E1013" s="32"/>
      <c r="G1013" s="32"/>
      <c r="H1013" s="32"/>
      <c r="I1013" s="32"/>
      <c r="J1013" s="32"/>
      <c r="K1013" s="32"/>
      <c r="L1013" s="33"/>
    </row>
    <row r="1014" spans="1:12" ht="15.75" x14ac:dyDescent="0.3">
      <c r="A1014" s="32"/>
      <c r="B1014" s="39"/>
      <c r="C1014" s="39"/>
      <c r="D1014" s="32"/>
      <c r="E1014" s="32"/>
      <c r="G1014" s="32"/>
      <c r="H1014" s="32"/>
      <c r="I1014" s="32"/>
      <c r="J1014" s="32"/>
      <c r="K1014" s="32"/>
      <c r="L1014" s="33"/>
    </row>
    <row r="1015" spans="1:12" ht="15.75" x14ac:dyDescent="0.3">
      <c r="A1015" s="32"/>
      <c r="B1015" s="39"/>
      <c r="C1015" s="39"/>
      <c r="D1015" s="32"/>
      <c r="E1015" s="32"/>
      <c r="G1015" s="32"/>
      <c r="H1015" s="32"/>
      <c r="I1015" s="32"/>
      <c r="J1015" s="32"/>
      <c r="K1015" s="32"/>
      <c r="L1015" s="33"/>
    </row>
    <row r="1016" spans="1:12" ht="15.75" x14ac:dyDescent="0.3">
      <c r="A1016" s="32"/>
      <c r="B1016" s="39"/>
      <c r="C1016" s="39"/>
      <c r="D1016" s="32"/>
      <c r="E1016" s="32"/>
      <c r="G1016" s="32"/>
      <c r="H1016" s="32"/>
      <c r="I1016" s="32"/>
      <c r="J1016" s="32"/>
      <c r="K1016" s="32"/>
      <c r="L1016" s="33"/>
    </row>
    <row r="1017" spans="1:12" ht="15.75" x14ac:dyDescent="0.3">
      <c r="A1017" s="32"/>
      <c r="B1017" s="39"/>
      <c r="C1017" s="39"/>
      <c r="D1017" s="32"/>
      <c r="E1017" s="32"/>
      <c r="G1017" s="32"/>
      <c r="H1017" s="32"/>
      <c r="I1017" s="32"/>
      <c r="J1017" s="32"/>
      <c r="K1017" s="32"/>
      <c r="L1017" s="33"/>
    </row>
    <row r="1018" spans="1:12" ht="15.75" x14ac:dyDescent="0.3">
      <c r="A1018" s="32"/>
      <c r="B1018" s="39"/>
      <c r="C1018" s="39"/>
      <c r="D1018" s="32"/>
      <c r="E1018" s="32"/>
      <c r="G1018" s="32"/>
      <c r="H1018" s="32"/>
      <c r="I1018" s="32"/>
      <c r="J1018" s="32"/>
      <c r="K1018" s="32"/>
      <c r="L1018" s="33"/>
    </row>
    <row r="1019" spans="1:12" ht="15.75" x14ac:dyDescent="0.3">
      <c r="A1019" s="32"/>
      <c r="B1019" s="39"/>
      <c r="C1019" s="39"/>
      <c r="D1019" s="32"/>
      <c r="E1019" s="32"/>
      <c r="G1019" s="32"/>
      <c r="H1019" s="32"/>
      <c r="I1019" s="32"/>
      <c r="J1019" s="32"/>
      <c r="K1019" s="32"/>
      <c r="L1019" s="33"/>
    </row>
    <row r="1020" spans="1:12" ht="15.75" x14ac:dyDescent="0.3">
      <c r="A1020" s="32"/>
      <c r="B1020" s="39"/>
      <c r="C1020" s="39"/>
      <c r="D1020" s="32"/>
      <c r="E1020" s="32"/>
      <c r="G1020" s="32"/>
      <c r="H1020" s="32"/>
      <c r="I1020" s="32"/>
      <c r="J1020" s="32"/>
      <c r="K1020" s="32"/>
      <c r="L1020" s="33"/>
    </row>
    <row r="1021" spans="1:12" ht="15.75" x14ac:dyDescent="0.3">
      <c r="A1021" s="32"/>
      <c r="B1021" s="39"/>
      <c r="C1021" s="39"/>
      <c r="D1021" s="32"/>
      <c r="E1021" s="32"/>
      <c r="G1021" s="32"/>
      <c r="H1021" s="32"/>
      <c r="I1021" s="32"/>
      <c r="J1021" s="32"/>
      <c r="K1021" s="32"/>
      <c r="L1021" s="33"/>
    </row>
    <row r="1022" spans="1:12" ht="15.75" x14ac:dyDescent="0.3">
      <c r="A1022" s="32"/>
      <c r="B1022" s="39"/>
      <c r="C1022" s="39"/>
      <c r="D1022" s="32"/>
      <c r="E1022" s="32"/>
      <c r="G1022" s="32"/>
      <c r="H1022" s="32"/>
      <c r="I1022" s="32"/>
      <c r="J1022" s="32"/>
      <c r="K1022" s="32"/>
      <c r="L1022" s="33"/>
    </row>
    <row r="1023" spans="1:12" ht="15.75" x14ac:dyDescent="0.3">
      <c r="A1023" s="32"/>
      <c r="B1023" s="39"/>
      <c r="C1023" s="39"/>
      <c r="D1023" s="32"/>
      <c r="E1023" s="32"/>
      <c r="G1023" s="32"/>
      <c r="H1023" s="32"/>
      <c r="I1023" s="32"/>
      <c r="J1023" s="32"/>
      <c r="K1023" s="32"/>
      <c r="L1023" s="33"/>
    </row>
    <row r="1024" spans="1:12" ht="15.75" x14ac:dyDescent="0.3">
      <c r="A1024" s="32"/>
      <c r="B1024" s="39"/>
      <c r="C1024" s="39"/>
      <c r="D1024" s="32"/>
      <c r="E1024" s="32"/>
      <c r="G1024" s="32"/>
      <c r="H1024" s="32"/>
      <c r="I1024" s="32"/>
      <c r="J1024" s="32"/>
      <c r="K1024" s="32"/>
      <c r="L1024" s="33"/>
    </row>
    <row r="1025" spans="1:12" ht="15.75" x14ac:dyDescent="0.3">
      <c r="A1025" s="32"/>
      <c r="B1025" s="39"/>
      <c r="C1025" s="39"/>
      <c r="D1025" s="32"/>
      <c r="E1025" s="32"/>
      <c r="G1025" s="32"/>
      <c r="H1025" s="32"/>
      <c r="I1025" s="32"/>
      <c r="J1025" s="32"/>
      <c r="K1025" s="32"/>
      <c r="L1025" s="33"/>
    </row>
    <row r="1026" spans="1:12" ht="15.75" x14ac:dyDescent="0.3">
      <c r="A1026" s="32"/>
      <c r="B1026" s="39"/>
      <c r="C1026" s="39"/>
      <c r="D1026" s="32"/>
      <c r="E1026" s="32"/>
      <c r="G1026" s="32"/>
      <c r="H1026" s="32"/>
      <c r="I1026" s="32"/>
      <c r="J1026" s="32"/>
      <c r="K1026" s="32"/>
      <c r="L1026" s="33"/>
    </row>
    <row r="1027" spans="1:12" ht="15.75" x14ac:dyDescent="0.3">
      <c r="A1027" s="32"/>
      <c r="B1027" s="39"/>
      <c r="C1027" s="39"/>
      <c r="D1027" s="32"/>
      <c r="E1027" s="32"/>
      <c r="G1027" s="32"/>
      <c r="H1027" s="32"/>
      <c r="I1027" s="32"/>
      <c r="J1027" s="32"/>
      <c r="K1027" s="32"/>
      <c r="L1027" s="33"/>
    </row>
    <row r="1028" spans="1:12" ht="15.75" x14ac:dyDescent="0.3">
      <c r="A1028" s="32"/>
      <c r="B1028" s="39"/>
      <c r="C1028" s="39"/>
      <c r="D1028" s="32"/>
      <c r="E1028" s="32"/>
      <c r="G1028" s="32"/>
      <c r="H1028" s="32"/>
      <c r="I1028" s="32"/>
      <c r="J1028" s="32"/>
      <c r="K1028" s="32"/>
      <c r="L1028" s="33"/>
    </row>
    <row r="1029" spans="1:12" ht="15.75" x14ac:dyDescent="0.3">
      <c r="A1029" s="32"/>
      <c r="B1029" s="39"/>
      <c r="C1029" s="39"/>
      <c r="D1029" s="32"/>
      <c r="E1029" s="32"/>
      <c r="G1029" s="32"/>
      <c r="H1029" s="32"/>
      <c r="I1029" s="32"/>
      <c r="J1029" s="32"/>
      <c r="K1029" s="32"/>
      <c r="L1029" s="33"/>
    </row>
    <row r="1030" spans="1:12" ht="15.75" x14ac:dyDescent="0.3">
      <c r="A1030" s="32"/>
      <c r="B1030" s="39"/>
      <c r="C1030" s="39"/>
      <c r="D1030" s="32"/>
      <c r="E1030" s="32"/>
      <c r="G1030" s="32"/>
      <c r="H1030" s="32"/>
      <c r="I1030" s="32"/>
      <c r="J1030" s="32"/>
      <c r="K1030" s="32"/>
      <c r="L1030" s="33"/>
    </row>
    <row r="1031" spans="1:12" ht="15.75" x14ac:dyDescent="0.3">
      <c r="A1031" s="32"/>
      <c r="B1031" s="39"/>
      <c r="C1031" s="39"/>
      <c r="D1031" s="32"/>
      <c r="E1031" s="32"/>
      <c r="G1031" s="32"/>
      <c r="H1031" s="32"/>
      <c r="I1031" s="32"/>
      <c r="J1031" s="32"/>
      <c r="K1031" s="32"/>
      <c r="L1031" s="33"/>
    </row>
    <row r="1032" spans="1:12" ht="15.75" x14ac:dyDescent="0.3">
      <c r="A1032" s="32"/>
      <c r="B1032" s="39"/>
      <c r="C1032" s="39"/>
      <c r="D1032" s="32"/>
      <c r="E1032" s="32"/>
      <c r="G1032" s="32"/>
      <c r="H1032" s="32"/>
      <c r="I1032" s="32"/>
      <c r="J1032" s="32"/>
      <c r="K1032" s="32"/>
      <c r="L1032" s="33"/>
    </row>
    <row r="1033" spans="1:12" ht="15.75" x14ac:dyDescent="0.3">
      <c r="A1033" s="32"/>
      <c r="B1033" s="39"/>
      <c r="C1033" s="39"/>
      <c r="D1033" s="32"/>
      <c r="E1033" s="32"/>
      <c r="G1033" s="32"/>
      <c r="H1033" s="32"/>
      <c r="I1033" s="32"/>
      <c r="J1033" s="32"/>
      <c r="K1033" s="32"/>
      <c r="L1033" s="33"/>
    </row>
    <row r="1034" spans="1:12" ht="15.75" x14ac:dyDescent="0.3">
      <c r="A1034" s="32"/>
      <c r="B1034" s="39"/>
      <c r="C1034" s="39"/>
      <c r="D1034" s="32"/>
      <c r="E1034" s="32"/>
      <c r="G1034" s="32"/>
      <c r="H1034" s="32"/>
      <c r="I1034" s="32"/>
      <c r="J1034" s="32"/>
      <c r="K1034" s="32"/>
      <c r="L1034" s="33"/>
    </row>
    <row r="1035" spans="1:12" ht="15.75" x14ac:dyDescent="0.3">
      <c r="A1035" s="32"/>
      <c r="B1035" s="39"/>
      <c r="C1035" s="39"/>
      <c r="D1035" s="32"/>
      <c r="E1035" s="32"/>
      <c r="G1035" s="32"/>
      <c r="H1035" s="32"/>
      <c r="I1035" s="32"/>
      <c r="J1035" s="32"/>
      <c r="K1035" s="32"/>
      <c r="L1035" s="33"/>
    </row>
    <row r="1036" spans="1:12" ht="15.75" x14ac:dyDescent="0.3">
      <c r="A1036" s="32"/>
      <c r="B1036" s="39"/>
      <c r="C1036" s="39"/>
      <c r="D1036" s="32"/>
      <c r="E1036" s="32"/>
      <c r="G1036" s="32"/>
      <c r="H1036" s="32"/>
      <c r="I1036" s="32"/>
      <c r="J1036" s="32"/>
      <c r="K1036" s="32"/>
      <c r="L1036" s="33"/>
    </row>
    <row r="1037" spans="1:12" ht="15.75" x14ac:dyDescent="0.3">
      <c r="A1037" s="32"/>
      <c r="B1037" s="39"/>
      <c r="C1037" s="39"/>
      <c r="D1037" s="32"/>
      <c r="E1037" s="32"/>
      <c r="G1037" s="32"/>
      <c r="H1037" s="32"/>
      <c r="I1037" s="32"/>
      <c r="J1037" s="32"/>
      <c r="K1037" s="32"/>
      <c r="L1037" s="33"/>
    </row>
    <row r="1038" spans="1:12" ht="15.75" x14ac:dyDescent="0.3">
      <c r="A1038" s="32"/>
      <c r="B1038" s="39"/>
      <c r="C1038" s="39"/>
      <c r="D1038" s="32"/>
      <c r="E1038" s="32"/>
      <c r="G1038" s="32"/>
      <c r="H1038" s="32"/>
      <c r="I1038" s="32"/>
      <c r="J1038" s="32"/>
      <c r="K1038" s="32"/>
      <c r="L1038" s="33"/>
    </row>
    <row r="1039" spans="1:12" ht="15.75" x14ac:dyDescent="0.3">
      <c r="A1039" s="32"/>
      <c r="B1039" s="39"/>
      <c r="C1039" s="39"/>
      <c r="D1039" s="32"/>
      <c r="E1039" s="32"/>
      <c r="G1039" s="32"/>
      <c r="H1039" s="32"/>
      <c r="I1039" s="32"/>
      <c r="J1039" s="32"/>
      <c r="K1039" s="32"/>
      <c r="L1039" s="33"/>
    </row>
    <row r="1040" spans="1:12" ht="15.75" x14ac:dyDescent="0.3">
      <c r="A1040" s="32"/>
      <c r="B1040" s="39"/>
      <c r="C1040" s="39"/>
      <c r="D1040" s="32"/>
      <c r="E1040" s="32"/>
      <c r="G1040" s="32"/>
      <c r="H1040" s="32"/>
      <c r="I1040" s="32"/>
      <c r="J1040" s="32"/>
      <c r="K1040" s="32"/>
      <c r="L1040" s="33"/>
    </row>
    <row r="1041" spans="1:12" ht="15.75" x14ac:dyDescent="0.3">
      <c r="A1041" s="32"/>
      <c r="B1041" s="39"/>
      <c r="C1041" s="39"/>
      <c r="D1041" s="32"/>
      <c r="E1041" s="32"/>
      <c r="G1041" s="32"/>
      <c r="H1041" s="32"/>
      <c r="I1041" s="32"/>
      <c r="J1041" s="32"/>
      <c r="K1041" s="32"/>
      <c r="L1041" s="33"/>
    </row>
    <row r="1042" spans="1:12" ht="15.75" x14ac:dyDescent="0.3">
      <c r="A1042" s="32"/>
      <c r="B1042" s="39"/>
      <c r="C1042" s="39"/>
      <c r="D1042" s="32"/>
      <c r="E1042" s="32"/>
      <c r="G1042" s="32"/>
      <c r="H1042" s="32"/>
      <c r="I1042" s="32"/>
      <c r="J1042" s="32"/>
      <c r="K1042" s="32"/>
      <c r="L1042" s="33"/>
    </row>
    <row r="1043" spans="1:12" ht="15.75" x14ac:dyDescent="0.3">
      <c r="A1043" s="32"/>
      <c r="B1043" s="39"/>
      <c r="C1043" s="39"/>
      <c r="D1043" s="32"/>
      <c r="E1043" s="32"/>
      <c r="G1043" s="32"/>
      <c r="H1043" s="32"/>
      <c r="I1043" s="32"/>
      <c r="J1043" s="32"/>
      <c r="K1043" s="32"/>
      <c r="L1043" s="33"/>
    </row>
    <row r="1044" spans="1:12" ht="15.75" x14ac:dyDescent="0.3">
      <c r="A1044" s="32"/>
      <c r="B1044" s="39"/>
      <c r="C1044" s="39"/>
      <c r="D1044" s="32"/>
      <c r="E1044" s="32"/>
      <c r="G1044" s="32"/>
      <c r="H1044" s="32"/>
      <c r="I1044" s="32"/>
      <c r="J1044" s="32"/>
      <c r="K1044" s="32"/>
      <c r="L1044" s="33"/>
    </row>
    <row r="1045" spans="1:12" ht="15.75" x14ac:dyDescent="0.3">
      <c r="A1045" s="32"/>
      <c r="B1045" s="39"/>
      <c r="C1045" s="39"/>
      <c r="D1045" s="32"/>
      <c r="E1045" s="32"/>
      <c r="G1045" s="32"/>
      <c r="H1045" s="32"/>
      <c r="I1045" s="32"/>
      <c r="J1045" s="32"/>
      <c r="K1045" s="32"/>
      <c r="L1045" s="33"/>
    </row>
    <row r="1046" spans="1:12" ht="15.75" x14ac:dyDescent="0.3">
      <c r="A1046" s="32"/>
      <c r="B1046" s="39"/>
      <c r="C1046" s="39"/>
      <c r="D1046" s="32"/>
      <c r="E1046" s="32"/>
      <c r="G1046" s="32"/>
      <c r="H1046" s="32"/>
      <c r="I1046" s="32"/>
      <c r="J1046" s="32"/>
      <c r="K1046" s="32"/>
      <c r="L1046" s="33"/>
    </row>
    <row r="1047" spans="1:12" ht="15.75" x14ac:dyDescent="0.3">
      <c r="A1047" s="32"/>
      <c r="B1047" s="39"/>
      <c r="C1047" s="39"/>
      <c r="D1047" s="32"/>
      <c r="E1047" s="32"/>
      <c r="G1047" s="32"/>
      <c r="H1047" s="32"/>
      <c r="I1047" s="32"/>
      <c r="J1047" s="32"/>
      <c r="K1047" s="32"/>
      <c r="L1047" s="33"/>
    </row>
    <row r="1048" spans="1:12" ht="15.75" x14ac:dyDescent="0.3">
      <c r="A1048" s="32"/>
      <c r="B1048" s="39"/>
      <c r="C1048" s="39"/>
      <c r="D1048" s="32"/>
      <c r="E1048" s="32"/>
      <c r="G1048" s="32"/>
      <c r="H1048" s="32"/>
      <c r="I1048" s="32"/>
      <c r="J1048" s="32"/>
      <c r="K1048" s="32"/>
      <c r="L1048" s="33"/>
    </row>
    <row r="1049" spans="1:12" ht="15.75" x14ac:dyDescent="0.3">
      <c r="A1049" s="32"/>
      <c r="B1049" s="39"/>
      <c r="C1049" s="39"/>
      <c r="D1049" s="32"/>
      <c r="E1049" s="32"/>
      <c r="G1049" s="32"/>
      <c r="H1049" s="32"/>
      <c r="I1049" s="32"/>
      <c r="J1049" s="32"/>
      <c r="K1049" s="32"/>
      <c r="L1049" s="33"/>
    </row>
    <row r="1050" spans="1:12" ht="15.75" x14ac:dyDescent="0.3">
      <c r="A1050" s="32"/>
      <c r="B1050" s="39"/>
      <c r="C1050" s="39"/>
      <c r="D1050" s="32"/>
      <c r="E1050" s="32"/>
      <c r="G1050" s="32"/>
      <c r="H1050" s="32"/>
      <c r="I1050" s="32"/>
      <c r="J1050" s="32"/>
      <c r="K1050" s="32"/>
      <c r="L1050" s="33"/>
    </row>
    <row r="1051" spans="1:12" ht="15.75" x14ac:dyDescent="0.3">
      <c r="A1051" s="32"/>
      <c r="B1051" s="39"/>
      <c r="C1051" s="39"/>
      <c r="D1051" s="32"/>
      <c r="E1051" s="32"/>
      <c r="G1051" s="32"/>
      <c r="H1051" s="32"/>
      <c r="I1051" s="32"/>
      <c r="J1051" s="32"/>
      <c r="K1051" s="32"/>
      <c r="L1051" s="33"/>
    </row>
    <row r="1052" spans="1:12" ht="15.75" x14ac:dyDescent="0.3">
      <c r="A1052" s="32"/>
      <c r="B1052" s="39"/>
      <c r="C1052" s="39"/>
      <c r="D1052" s="32"/>
      <c r="E1052" s="32"/>
      <c r="G1052" s="32"/>
      <c r="H1052" s="32"/>
      <c r="I1052" s="32"/>
      <c r="J1052" s="32"/>
      <c r="K1052" s="32"/>
      <c r="L1052" s="33"/>
    </row>
    <row r="1053" spans="1:12" ht="15.75" x14ac:dyDescent="0.3">
      <c r="A1053" s="32"/>
      <c r="B1053" s="39"/>
      <c r="C1053" s="39"/>
      <c r="D1053" s="32"/>
      <c r="E1053" s="32"/>
      <c r="G1053" s="32"/>
      <c r="H1053" s="32"/>
      <c r="I1053" s="32"/>
      <c r="J1053" s="32"/>
      <c r="K1053" s="32"/>
      <c r="L1053" s="33"/>
    </row>
    <row r="1054" spans="1:12" ht="15.75" x14ac:dyDescent="0.3">
      <c r="A1054" s="32"/>
      <c r="B1054" s="39"/>
      <c r="C1054" s="39"/>
      <c r="D1054" s="32"/>
      <c r="E1054" s="32"/>
      <c r="G1054" s="32"/>
      <c r="H1054" s="32"/>
      <c r="I1054" s="32"/>
      <c r="J1054" s="32"/>
      <c r="K1054" s="32"/>
      <c r="L1054" s="33"/>
    </row>
    <row r="1055" spans="1:12" ht="15.75" x14ac:dyDescent="0.3">
      <c r="A1055" s="32"/>
      <c r="B1055" s="39"/>
      <c r="C1055" s="39"/>
      <c r="D1055" s="32"/>
      <c r="E1055" s="32"/>
      <c r="G1055" s="32"/>
      <c r="H1055" s="32"/>
      <c r="I1055" s="32"/>
      <c r="J1055" s="32"/>
      <c r="K1055" s="32"/>
      <c r="L1055" s="33"/>
    </row>
    <row r="1056" spans="1:12" ht="15.75" x14ac:dyDescent="0.3">
      <c r="A1056" s="32"/>
      <c r="B1056" s="39"/>
      <c r="C1056" s="39"/>
      <c r="D1056" s="32"/>
      <c r="E1056" s="32"/>
      <c r="G1056" s="32"/>
      <c r="H1056" s="32"/>
      <c r="I1056" s="32"/>
      <c r="J1056" s="32"/>
      <c r="K1056" s="32"/>
      <c r="L1056" s="33"/>
    </row>
    <row r="1057" spans="1:12" ht="15.75" x14ac:dyDescent="0.3">
      <c r="A1057" s="32"/>
      <c r="B1057" s="39"/>
      <c r="C1057" s="39"/>
      <c r="D1057" s="32"/>
      <c r="E1057" s="32"/>
      <c r="G1057" s="32"/>
      <c r="H1057" s="32"/>
      <c r="I1057" s="32"/>
      <c r="J1057" s="32"/>
      <c r="K1057" s="32"/>
      <c r="L1057" s="33"/>
    </row>
    <row r="1058" spans="1:12" ht="15.75" x14ac:dyDescent="0.3">
      <c r="A1058" s="32"/>
      <c r="B1058" s="39"/>
      <c r="C1058" s="39"/>
      <c r="D1058" s="32"/>
      <c r="E1058" s="32"/>
      <c r="G1058" s="32"/>
      <c r="H1058" s="32"/>
      <c r="I1058" s="32"/>
      <c r="J1058" s="32"/>
      <c r="K1058" s="32"/>
      <c r="L1058" s="33"/>
    </row>
    <row r="1059" spans="1:12" ht="15.75" x14ac:dyDescent="0.3">
      <c r="A1059" s="32"/>
      <c r="B1059" s="39"/>
      <c r="C1059" s="39"/>
      <c r="D1059" s="32"/>
      <c r="E1059" s="32"/>
      <c r="G1059" s="32"/>
      <c r="H1059" s="32"/>
      <c r="I1059" s="32"/>
      <c r="J1059" s="32"/>
      <c r="K1059" s="32"/>
      <c r="L1059" s="33"/>
    </row>
    <row r="1060" spans="1:12" ht="15.75" x14ac:dyDescent="0.3">
      <c r="A1060" s="32"/>
      <c r="B1060" s="39"/>
      <c r="C1060" s="39"/>
      <c r="D1060" s="32"/>
      <c r="E1060" s="32"/>
      <c r="G1060" s="32"/>
      <c r="H1060" s="32"/>
      <c r="I1060" s="32"/>
      <c r="J1060" s="32"/>
      <c r="K1060" s="32"/>
      <c r="L1060" s="33"/>
    </row>
    <row r="1061" spans="1:12" ht="15.75" x14ac:dyDescent="0.3">
      <c r="A1061" s="32"/>
      <c r="B1061" s="39"/>
      <c r="C1061" s="39"/>
      <c r="D1061" s="32"/>
      <c r="E1061" s="32"/>
      <c r="G1061" s="32"/>
      <c r="H1061" s="32"/>
      <c r="I1061" s="32"/>
      <c r="J1061" s="32"/>
      <c r="K1061" s="32"/>
      <c r="L1061" s="33"/>
    </row>
    <row r="1062" spans="1:12" ht="15.75" x14ac:dyDescent="0.3">
      <c r="A1062" s="32"/>
      <c r="B1062" s="39"/>
      <c r="C1062" s="39"/>
      <c r="D1062" s="32"/>
      <c r="E1062" s="32"/>
      <c r="G1062" s="32"/>
      <c r="H1062" s="32"/>
      <c r="I1062" s="32"/>
      <c r="J1062" s="32"/>
      <c r="K1062" s="32"/>
      <c r="L1062" s="33"/>
    </row>
    <row r="1063" spans="1:12" ht="15.75" x14ac:dyDescent="0.3">
      <c r="A1063" s="32"/>
      <c r="B1063" s="39"/>
      <c r="C1063" s="39"/>
      <c r="D1063" s="32"/>
      <c r="E1063" s="32"/>
      <c r="G1063" s="32"/>
      <c r="H1063" s="32"/>
      <c r="I1063" s="32"/>
      <c r="J1063" s="32"/>
      <c r="K1063" s="32"/>
      <c r="L1063" s="33"/>
    </row>
    <row r="1064" spans="1:12" ht="15.75" x14ac:dyDescent="0.3">
      <c r="A1064" s="32"/>
      <c r="B1064" s="39"/>
      <c r="C1064" s="39"/>
      <c r="D1064" s="32"/>
      <c r="E1064" s="32"/>
      <c r="G1064" s="32"/>
      <c r="H1064" s="32"/>
      <c r="I1064" s="32"/>
      <c r="J1064" s="32"/>
      <c r="K1064" s="32"/>
      <c r="L1064" s="33"/>
    </row>
    <row r="1065" spans="1:12" ht="15.75" x14ac:dyDescent="0.3">
      <c r="A1065" s="32"/>
      <c r="B1065" s="39"/>
      <c r="C1065" s="39"/>
      <c r="D1065" s="32"/>
      <c r="E1065" s="32"/>
      <c r="G1065" s="32"/>
      <c r="H1065" s="32"/>
      <c r="I1065" s="32"/>
      <c r="J1065" s="32"/>
      <c r="K1065" s="32"/>
      <c r="L1065" s="33"/>
    </row>
    <row r="1066" spans="1:12" ht="15.75" x14ac:dyDescent="0.3">
      <c r="A1066" s="32"/>
      <c r="B1066" s="39"/>
      <c r="C1066" s="39"/>
      <c r="D1066" s="32"/>
      <c r="E1066" s="32"/>
      <c r="G1066" s="32"/>
      <c r="H1066" s="32"/>
      <c r="I1066" s="32"/>
      <c r="J1066" s="32"/>
      <c r="K1066" s="32"/>
      <c r="L1066" s="33"/>
    </row>
    <row r="1067" spans="1:12" ht="15.75" x14ac:dyDescent="0.3">
      <c r="A1067" s="32"/>
      <c r="B1067" s="39"/>
      <c r="C1067" s="39"/>
      <c r="D1067" s="32"/>
      <c r="E1067" s="32"/>
      <c r="G1067" s="32"/>
      <c r="H1067" s="32"/>
      <c r="I1067" s="32"/>
      <c r="J1067" s="32"/>
      <c r="K1067" s="32"/>
      <c r="L1067" s="33"/>
    </row>
    <row r="1068" spans="1:12" ht="15.75" x14ac:dyDescent="0.3">
      <c r="A1068" s="32"/>
      <c r="B1068" s="39"/>
      <c r="C1068" s="39"/>
      <c r="D1068" s="32"/>
      <c r="E1068" s="32"/>
      <c r="G1068" s="32"/>
      <c r="H1068" s="32"/>
      <c r="I1068" s="32"/>
      <c r="J1068" s="32"/>
      <c r="K1068" s="32"/>
      <c r="L1068" s="33"/>
    </row>
    <row r="1069" spans="1:12" ht="15.75" x14ac:dyDescent="0.3">
      <c r="A1069" s="32"/>
      <c r="B1069" s="39"/>
      <c r="C1069" s="39"/>
      <c r="D1069" s="32"/>
      <c r="E1069" s="32"/>
      <c r="G1069" s="32"/>
      <c r="H1069" s="32"/>
      <c r="I1069" s="32"/>
      <c r="J1069" s="32"/>
      <c r="K1069" s="32"/>
      <c r="L1069" s="33"/>
    </row>
    <row r="1070" spans="1:12" ht="15.75" x14ac:dyDescent="0.3">
      <c r="A1070" s="32"/>
      <c r="B1070" s="39"/>
      <c r="C1070" s="39"/>
      <c r="D1070" s="32"/>
      <c r="E1070" s="32"/>
      <c r="G1070" s="32"/>
      <c r="H1070" s="32"/>
      <c r="I1070" s="32"/>
      <c r="J1070" s="32"/>
      <c r="K1070" s="32"/>
      <c r="L1070" s="33"/>
    </row>
    <row r="1071" spans="1:12" ht="15.75" x14ac:dyDescent="0.3">
      <c r="A1071" s="32"/>
      <c r="B1071" s="39"/>
      <c r="C1071" s="39"/>
      <c r="D1071" s="32"/>
      <c r="E1071" s="32"/>
      <c r="G1071" s="32"/>
      <c r="H1071" s="32"/>
      <c r="I1071" s="32"/>
      <c r="J1071" s="32"/>
      <c r="K1071" s="32"/>
      <c r="L1071" s="33"/>
    </row>
    <row r="1072" spans="1:12" ht="15.75" x14ac:dyDescent="0.3">
      <c r="A1072" s="32"/>
      <c r="B1072" s="39"/>
      <c r="C1072" s="39"/>
      <c r="D1072" s="32"/>
      <c r="E1072" s="32"/>
      <c r="G1072" s="32"/>
      <c r="H1072" s="32"/>
      <c r="I1072" s="32"/>
      <c r="J1072" s="32"/>
      <c r="K1072" s="32"/>
      <c r="L1072" s="33"/>
    </row>
    <row r="1073" spans="1:12" ht="15.75" x14ac:dyDescent="0.3">
      <c r="A1073" s="32"/>
      <c r="B1073" s="39"/>
      <c r="C1073" s="39"/>
      <c r="D1073" s="32"/>
      <c r="E1073" s="32"/>
      <c r="G1073" s="32"/>
      <c r="H1073" s="32"/>
      <c r="I1073" s="32"/>
      <c r="J1073" s="32"/>
      <c r="K1073" s="32"/>
      <c r="L1073" s="33"/>
    </row>
    <row r="1074" spans="1:12" ht="15.75" x14ac:dyDescent="0.3">
      <c r="A1074" s="32"/>
      <c r="B1074" s="39"/>
      <c r="C1074" s="39"/>
      <c r="D1074" s="32"/>
      <c r="E1074" s="32"/>
      <c r="G1074" s="32"/>
      <c r="H1074" s="32"/>
      <c r="I1074" s="32"/>
      <c r="J1074" s="32"/>
      <c r="K1074" s="32"/>
      <c r="L1074" s="33"/>
    </row>
    <row r="1075" spans="1:12" ht="15.75" x14ac:dyDescent="0.3">
      <c r="A1075" s="32"/>
      <c r="B1075" s="39"/>
      <c r="C1075" s="39"/>
      <c r="D1075" s="32"/>
      <c r="E1075" s="32"/>
      <c r="G1075" s="32"/>
      <c r="H1075" s="32"/>
      <c r="I1075" s="32"/>
      <c r="J1075" s="32"/>
      <c r="K1075" s="32"/>
      <c r="L1075" s="33"/>
    </row>
    <row r="1076" spans="1:12" ht="15.75" x14ac:dyDescent="0.3">
      <c r="A1076" s="32"/>
      <c r="B1076" s="39"/>
      <c r="C1076" s="39"/>
      <c r="D1076" s="32"/>
      <c r="E1076" s="32"/>
      <c r="G1076" s="32"/>
      <c r="H1076" s="32"/>
      <c r="I1076" s="32"/>
      <c r="J1076" s="32"/>
      <c r="K1076" s="32"/>
      <c r="L1076" s="33"/>
    </row>
    <row r="1077" spans="1:12" ht="15.75" x14ac:dyDescent="0.3">
      <c r="A1077" s="32"/>
      <c r="B1077" s="39"/>
      <c r="C1077" s="39"/>
      <c r="D1077" s="32"/>
      <c r="E1077" s="32"/>
      <c r="G1077" s="32"/>
      <c r="H1077" s="32"/>
      <c r="I1077" s="32"/>
      <c r="J1077" s="32"/>
      <c r="K1077" s="32"/>
      <c r="L1077" s="33"/>
    </row>
    <row r="1078" spans="1:12" ht="15.75" x14ac:dyDescent="0.3">
      <c r="A1078" s="32"/>
      <c r="B1078" s="39"/>
      <c r="C1078" s="39"/>
      <c r="D1078" s="32"/>
      <c r="E1078" s="32"/>
      <c r="G1078" s="32"/>
      <c r="H1078" s="32"/>
      <c r="I1078" s="32"/>
      <c r="J1078" s="32"/>
      <c r="K1078" s="32"/>
      <c r="L1078" s="33"/>
    </row>
    <row r="1079" spans="1:12" ht="15.75" x14ac:dyDescent="0.3">
      <c r="A1079" s="32"/>
      <c r="B1079" s="39"/>
      <c r="C1079" s="39"/>
      <c r="D1079" s="32"/>
      <c r="E1079" s="32"/>
      <c r="G1079" s="32"/>
      <c r="H1079" s="32"/>
      <c r="I1079" s="32"/>
      <c r="J1079" s="32"/>
      <c r="K1079" s="32"/>
      <c r="L1079" s="33"/>
    </row>
    <row r="1080" spans="1:12" ht="15.75" x14ac:dyDescent="0.3">
      <c r="A1080" s="32"/>
      <c r="B1080" s="39"/>
      <c r="C1080" s="39"/>
      <c r="D1080" s="32"/>
      <c r="E1080" s="32"/>
      <c r="G1080" s="32"/>
      <c r="H1080" s="32"/>
      <c r="I1080" s="32"/>
      <c r="J1080" s="32"/>
      <c r="K1080" s="32"/>
      <c r="L1080" s="33"/>
    </row>
    <row r="1081" spans="1:12" ht="15.75" x14ac:dyDescent="0.3">
      <c r="A1081" s="32"/>
      <c r="B1081" s="39"/>
      <c r="C1081" s="39"/>
      <c r="D1081" s="32"/>
      <c r="E1081" s="32"/>
      <c r="G1081" s="32"/>
      <c r="H1081" s="32"/>
      <c r="I1081" s="32"/>
      <c r="J1081" s="32"/>
      <c r="K1081" s="32"/>
      <c r="L1081" s="33"/>
    </row>
    <row r="1082" spans="1:12" ht="15.75" x14ac:dyDescent="0.3">
      <c r="A1082" s="32"/>
      <c r="B1082" s="39"/>
      <c r="C1082" s="39"/>
      <c r="D1082" s="32"/>
      <c r="E1082" s="32"/>
      <c r="G1082" s="32"/>
      <c r="H1082" s="32"/>
      <c r="I1082" s="32"/>
      <c r="J1082" s="32"/>
      <c r="K1082" s="32"/>
      <c r="L1082" s="33"/>
    </row>
    <row r="1083" spans="1:12" ht="15.75" x14ac:dyDescent="0.3">
      <c r="A1083" s="32"/>
      <c r="B1083" s="39"/>
      <c r="C1083" s="39"/>
      <c r="D1083" s="32"/>
      <c r="E1083" s="32"/>
      <c r="G1083" s="32"/>
      <c r="H1083" s="32"/>
      <c r="I1083" s="32"/>
      <c r="J1083" s="32"/>
      <c r="K1083" s="32"/>
      <c r="L1083" s="33"/>
    </row>
    <row r="1084" spans="1:12" ht="15.75" x14ac:dyDescent="0.3">
      <c r="A1084" s="32"/>
      <c r="B1084" s="39"/>
      <c r="C1084" s="39"/>
      <c r="D1084" s="32"/>
      <c r="E1084" s="32"/>
      <c r="G1084" s="32"/>
      <c r="H1084" s="32"/>
      <c r="I1084" s="32"/>
      <c r="J1084" s="32"/>
      <c r="K1084" s="32"/>
      <c r="L1084" s="33"/>
    </row>
    <row r="1085" spans="1:12" ht="15.75" x14ac:dyDescent="0.3">
      <c r="A1085" s="32"/>
      <c r="B1085" s="39"/>
      <c r="C1085" s="39"/>
      <c r="D1085" s="32"/>
      <c r="E1085" s="32"/>
      <c r="G1085" s="32"/>
      <c r="H1085" s="32"/>
      <c r="I1085" s="32"/>
      <c r="J1085" s="32"/>
      <c r="K1085" s="32"/>
      <c r="L1085" s="33"/>
    </row>
    <row r="1086" spans="1:12" ht="15.75" x14ac:dyDescent="0.3">
      <c r="A1086" s="32"/>
      <c r="B1086" s="39"/>
      <c r="C1086" s="39"/>
      <c r="D1086" s="32"/>
      <c r="E1086" s="32"/>
      <c r="G1086" s="32"/>
      <c r="H1086" s="32"/>
      <c r="I1086" s="32"/>
      <c r="J1086" s="32"/>
      <c r="K1086" s="32"/>
      <c r="L1086" s="33"/>
    </row>
    <row r="1087" spans="1:12" ht="15.75" x14ac:dyDescent="0.3">
      <c r="A1087" s="32"/>
      <c r="B1087" s="39"/>
      <c r="C1087" s="38"/>
      <c r="D1087" s="32"/>
      <c r="E1087" s="32"/>
      <c r="G1087" s="32"/>
      <c r="H1087" s="32"/>
      <c r="I1087" s="32"/>
      <c r="J1087" s="32"/>
      <c r="K1087" s="32"/>
      <c r="L1087" s="33"/>
    </row>
    <row r="1088" spans="1:12" ht="15.75" x14ac:dyDescent="0.3">
      <c r="A1088" s="32"/>
      <c r="B1088" s="39"/>
      <c r="C1088" s="39"/>
      <c r="D1088" s="32"/>
      <c r="E1088" s="32"/>
      <c r="G1088" s="32"/>
      <c r="H1088" s="32"/>
      <c r="I1088" s="32"/>
      <c r="J1088" s="32"/>
      <c r="K1088" s="32"/>
      <c r="L1088" s="33"/>
    </row>
    <row r="1089" spans="1:12" ht="15.75" x14ac:dyDescent="0.3">
      <c r="A1089" s="32"/>
      <c r="B1089" s="39"/>
      <c r="C1089" s="39"/>
      <c r="D1089" s="32"/>
      <c r="E1089" s="32"/>
      <c r="G1089" s="32"/>
      <c r="H1089" s="32"/>
      <c r="I1089" s="32"/>
      <c r="J1089" s="32"/>
      <c r="K1089" s="32"/>
      <c r="L1089" s="33"/>
    </row>
    <row r="1090" spans="1:12" ht="15.75" x14ac:dyDescent="0.3">
      <c r="A1090" s="32"/>
      <c r="B1090" s="39"/>
      <c r="C1090" s="39"/>
      <c r="D1090" s="32"/>
      <c r="E1090" s="32"/>
      <c r="G1090" s="32"/>
      <c r="H1090" s="32"/>
      <c r="I1090" s="32"/>
      <c r="J1090" s="32"/>
      <c r="K1090" s="32"/>
      <c r="L1090" s="33"/>
    </row>
    <row r="1091" spans="1:12" ht="15.75" x14ac:dyDescent="0.3">
      <c r="A1091" s="32"/>
      <c r="B1091" s="39"/>
      <c r="C1091" s="38"/>
      <c r="D1091" s="32"/>
      <c r="E1091" s="32"/>
      <c r="G1091" s="32"/>
      <c r="H1091" s="32"/>
      <c r="I1091" s="32"/>
      <c r="J1091" s="32"/>
      <c r="K1091" s="32"/>
      <c r="L1091" s="33"/>
    </row>
    <row r="1092" spans="1:12" ht="15.75" x14ac:dyDescent="0.3">
      <c r="A1092" s="32"/>
      <c r="B1092" s="39"/>
      <c r="C1092" s="39"/>
      <c r="D1092" s="32"/>
      <c r="E1092" s="32"/>
      <c r="G1092" s="32"/>
      <c r="H1092" s="32"/>
      <c r="I1092" s="32"/>
      <c r="J1092" s="32"/>
      <c r="K1092" s="32"/>
      <c r="L1092" s="33"/>
    </row>
    <row r="1093" spans="1:12" ht="15.75" x14ac:dyDescent="0.3">
      <c r="A1093" s="32"/>
      <c r="B1093" s="39"/>
      <c r="C1093" s="39"/>
      <c r="D1093" s="32"/>
      <c r="E1093" s="32"/>
      <c r="G1093" s="32"/>
      <c r="H1093" s="32"/>
      <c r="I1093" s="32"/>
      <c r="J1093" s="32"/>
      <c r="K1093" s="32"/>
      <c r="L1093" s="33"/>
    </row>
    <row r="1094" spans="1:12" ht="15.75" x14ac:dyDescent="0.3">
      <c r="A1094" s="32"/>
      <c r="B1094" s="39"/>
      <c r="C1094" s="38"/>
      <c r="D1094" s="32"/>
      <c r="E1094" s="32"/>
      <c r="G1094" s="32"/>
      <c r="H1094" s="32"/>
      <c r="I1094" s="32"/>
      <c r="J1094" s="32"/>
      <c r="K1094" s="32"/>
      <c r="L1094" s="33"/>
    </row>
    <row r="1095" spans="1:12" ht="15.75" x14ac:dyDescent="0.3">
      <c r="A1095" s="32"/>
      <c r="B1095" s="39"/>
      <c r="C1095" s="39"/>
      <c r="D1095" s="32"/>
      <c r="E1095" s="32"/>
      <c r="G1095" s="32"/>
      <c r="H1095" s="32"/>
      <c r="I1095" s="32"/>
      <c r="J1095" s="32"/>
      <c r="K1095" s="32"/>
      <c r="L1095" s="33"/>
    </row>
    <row r="1096" spans="1:12" ht="15.75" x14ac:dyDescent="0.3">
      <c r="A1096" s="32"/>
      <c r="B1096" s="39"/>
      <c r="C1096" s="39"/>
      <c r="D1096" s="32"/>
      <c r="E1096" s="32"/>
      <c r="G1096" s="32"/>
      <c r="H1096" s="32"/>
      <c r="I1096" s="32"/>
      <c r="J1096" s="32"/>
      <c r="K1096" s="32"/>
      <c r="L1096" s="33"/>
    </row>
    <row r="1097" spans="1:12" ht="15.75" x14ac:dyDescent="0.3">
      <c r="A1097" s="32"/>
      <c r="B1097" s="39"/>
      <c r="C1097" s="39"/>
      <c r="D1097" s="32"/>
      <c r="E1097" s="32"/>
      <c r="G1097" s="32"/>
      <c r="H1097" s="32"/>
      <c r="I1097" s="32"/>
      <c r="J1097" s="32"/>
      <c r="K1097" s="32"/>
      <c r="L1097" s="33"/>
    </row>
    <row r="1098" spans="1:12" ht="15.75" x14ac:dyDescent="0.3">
      <c r="A1098" s="32"/>
      <c r="B1098" s="39"/>
      <c r="C1098" s="39"/>
      <c r="D1098" s="32"/>
      <c r="E1098" s="32"/>
      <c r="G1098" s="32"/>
      <c r="H1098" s="32"/>
      <c r="I1098" s="32"/>
      <c r="J1098" s="32"/>
      <c r="K1098" s="32"/>
      <c r="L1098" s="33"/>
    </row>
    <row r="1099" spans="1:12" ht="15.75" x14ac:dyDescent="0.3">
      <c r="A1099" s="32"/>
      <c r="B1099" s="39"/>
      <c r="C1099" s="39"/>
      <c r="D1099" s="32"/>
      <c r="E1099" s="32"/>
      <c r="G1099" s="32"/>
      <c r="H1099" s="32"/>
      <c r="I1099" s="32"/>
      <c r="J1099" s="32"/>
      <c r="K1099" s="32"/>
      <c r="L1099" s="33"/>
    </row>
    <row r="1100" spans="1:12" ht="15.75" x14ac:dyDescent="0.3">
      <c r="A1100" s="32"/>
      <c r="B1100" s="39"/>
      <c r="C1100" s="39"/>
      <c r="D1100" s="32"/>
      <c r="E1100" s="32"/>
      <c r="G1100" s="32"/>
      <c r="H1100" s="32"/>
      <c r="I1100" s="32"/>
      <c r="J1100" s="32"/>
      <c r="K1100" s="32"/>
      <c r="L1100" s="33"/>
    </row>
    <row r="1101" spans="1:12" ht="15.75" x14ac:dyDescent="0.3">
      <c r="A1101" s="32"/>
      <c r="B1101" s="39"/>
      <c r="C1101" s="39"/>
      <c r="D1101" s="32"/>
      <c r="E1101" s="32"/>
      <c r="G1101" s="32"/>
      <c r="H1101" s="32"/>
      <c r="I1101" s="32"/>
      <c r="J1101" s="32"/>
      <c r="K1101" s="32"/>
      <c r="L1101" s="33"/>
    </row>
    <row r="1102" spans="1:12" ht="15.75" x14ac:dyDescent="0.3">
      <c r="A1102" s="32"/>
      <c r="B1102" s="39"/>
      <c r="C1102" s="39"/>
      <c r="D1102" s="32"/>
      <c r="E1102" s="32"/>
      <c r="G1102" s="32"/>
      <c r="H1102" s="32"/>
      <c r="I1102" s="32"/>
      <c r="J1102" s="32"/>
      <c r="K1102" s="32"/>
      <c r="L1102" s="33"/>
    </row>
    <row r="1103" spans="1:12" ht="15.75" x14ac:dyDescent="0.3">
      <c r="A1103" s="32"/>
      <c r="B1103" s="39"/>
      <c r="C1103" s="39"/>
      <c r="D1103" s="32"/>
      <c r="E1103" s="32"/>
      <c r="G1103" s="32"/>
      <c r="H1103" s="32"/>
      <c r="I1103" s="32"/>
      <c r="J1103" s="32"/>
      <c r="K1103" s="32"/>
      <c r="L1103" s="33"/>
    </row>
    <row r="1104" spans="1:12" ht="15.75" x14ac:dyDescent="0.3">
      <c r="A1104" s="32"/>
      <c r="B1104" s="39"/>
      <c r="C1104" s="39"/>
      <c r="D1104" s="32"/>
      <c r="E1104" s="32"/>
      <c r="G1104" s="32"/>
      <c r="H1104" s="32"/>
      <c r="I1104" s="32"/>
      <c r="J1104" s="32"/>
      <c r="K1104" s="32"/>
      <c r="L1104" s="33"/>
    </row>
    <row r="1105" spans="1:12" ht="15.75" x14ac:dyDescent="0.3">
      <c r="A1105" s="32"/>
      <c r="B1105" s="39"/>
      <c r="C1105" s="38"/>
      <c r="D1105" s="32"/>
      <c r="E1105" s="32"/>
      <c r="G1105" s="32"/>
      <c r="H1105" s="32"/>
      <c r="I1105" s="32"/>
      <c r="J1105" s="32"/>
      <c r="K1105" s="32"/>
      <c r="L1105" s="33"/>
    </row>
    <row r="1106" spans="1:12" ht="15.75" x14ac:dyDescent="0.3">
      <c r="A1106" s="32"/>
      <c r="B1106" s="39"/>
      <c r="C1106" s="39"/>
      <c r="D1106" s="32"/>
      <c r="E1106" s="32"/>
      <c r="G1106" s="32"/>
      <c r="H1106" s="32"/>
      <c r="I1106" s="32"/>
      <c r="J1106" s="32"/>
      <c r="K1106" s="32"/>
      <c r="L1106" s="33"/>
    </row>
    <row r="1107" spans="1:12" ht="15.75" x14ac:dyDescent="0.3">
      <c r="A1107" s="32"/>
      <c r="B1107" s="39"/>
      <c r="C1107" s="39"/>
      <c r="D1107" s="32"/>
      <c r="E1107" s="32"/>
      <c r="G1107" s="32"/>
      <c r="H1107" s="32"/>
      <c r="I1107" s="32"/>
      <c r="J1107" s="32"/>
      <c r="K1107" s="32"/>
      <c r="L1107" s="33"/>
    </row>
    <row r="1108" spans="1:12" ht="15.75" x14ac:dyDescent="0.3">
      <c r="A1108" s="32"/>
      <c r="B1108" s="39"/>
      <c r="C1108" s="39"/>
      <c r="D1108" s="32"/>
      <c r="E1108" s="32"/>
      <c r="G1108" s="32"/>
      <c r="H1108" s="32"/>
      <c r="I1108" s="32"/>
      <c r="J1108" s="32"/>
      <c r="K1108" s="32"/>
      <c r="L1108" s="33"/>
    </row>
    <row r="1109" spans="1:12" ht="15.75" x14ac:dyDescent="0.3">
      <c r="A1109" s="32"/>
      <c r="B1109" s="39"/>
      <c r="C1109" s="39"/>
      <c r="D1109" s="32"/>
      <c r="E1109" s="32"/>
      <c r="G1109" s="32"/>
      <c r="H1109" s="32"/>
      <c r="I1109" s="32"/>
      <c r="J1109" s="32"/>
      <c r="K1109" s="32"/>
      <c r="L1109" s="33"/>
    </row>
    <row r="1110" spans="1:12" ht="15.75" x14ac:dyDescent="0.3">
      <c r="A1110" s="32"/>
      <c r="B1110" s="39"/>
      <c r="C1110" s="39"/>
      <c r="D1110" s="32"/>
      <c r="E1110" s="32"/>
      <c r="G1110" s="32"/>
      <c r="H1110" s="32"/>
      <c r="I1110" s="32"/>
      <c r="J1110" s="32"/>
      <c r="K1110" s="32"/>
      <c r="L1110" s="33"/>
    </row>
    <row r="1111" spans="1:12" ht="15.75" x14ac:dyDescent="0.3">
      <c r="A1111" s="32"/>
      <c r="B1111" s="39"/>
      <c r="C1111" s="39"/>
      <c r="D1111" s="32"/>
      <c r="E1111" s="32"/>
      <c r="G1111" s="32"/>
      <c r="H1111" s="32"/>
      <c r="I1111" s="32"/>
      <c r="J1111" s="32"/>
      <c r="K1111" s="32"/>
      <c r="L1111" s="33"/>
    </row>
    <row r="1112" spans="1:12" ht="15.75" x14ac:dyDescent="0.3">
      <c r="A1112" s="32"/>
      <c r="B1112" s="39"/>
      <c r="C1112" s="39"/>
      <c r="D1112" s="32"/>
      <c r="E1112" s="32"/>
      <c r="G1112" s="32"/>
      <c r="H1112" s="32"/>
      <c r="I1112" s="32"/>
      <c r="J1112" s="32"/>
      <c r="K1112" s="32"/>
      <c r="L1112" s="33"/>
    </row>
    <row r="1113" spans="1:12" ht="15.75" x14ac:dyDescent="0.3">
      <c r="A1113" s="32"/>
      <c r="B1113" s="39"/>
      <c r="C1113" s="38"/>
      <c r="D1113" s="32"/>
      <c r="E1113" s="32"/>
      <c r="G1113" s="32"/>
      <c r="H1113" s="32"/>
      <c r="I1113" s="32"/>
      <c r="J1113" s="32"/>
      <c r="K1113" s="32"/>
      <c r="L1113" s="33"/>
    </row>
    <row r="1114" spans="1:12" ht="15.75" x14ac:dyDescent="0.3">
      <c r="A1114" s="32"/>
      <c r="B1114" s="39"/>
      <c r="C1114" s="38"/>
      <c r="D1114" s="32"/>
      <c r="E1114" s="32"/>
      <c r="G1114" s="32"/>
      <c r="H1114" s="32"/>
      <c r="I1114" s="32"/>
      <c r="J1114" s="32"/>
      <c r="K1114" s="32"/>
      <c r="L1114" s="33"/>
    </row>
    <row r="1115" spans="1:12" ht="15.75" x14ac:dyDescent="0.3">
      <c r="A1115" s="32"/>
      <c r="B1115" s="39"/>
      <c r="C1115" s="39"/>
      <c r="D1115" s="32"/>
      <c r="E1115" s="32"/>
      <c r="G1115" s="32"/>
      <c r="H1115" s="32"/>
      <c r="I1115" s="32"/>
      <c r="J1115" s="32"/>
      <c r="K1115" s="32"/>
      <c r="L1115" s="33"/>
    </row>
    <row r="1116" spans="1:12" ht="15.75" x14ac:dyDescent="0.3">
      <c r="A1116" s="32"/>
      <c r="B1116" s="39"/>
      <c r="C1116" s="38"/>
      <c r="D1116" s="32"/>
      <c r="E1116" s="32"/>
      <c r="G1116" s="32"/>
      <c r="H1116" s="32"/>
      <c r="I1116" s="32"/>
      <c r="J1116" s="32"/>
      <c r="K1116" s="32"/>
      <c r="L1116" s="33"/>
    </row>
    <row r="1117" spans="1:12" ht="15.75" x14ac:dyDescent="0.3">
      <c r="A1117" s="32"/>
      <c r="B1117" s="39"/>
      <c r="C1117" s="39"/>
      <c r="D1117" s="32"/>
      <c r="E1117" s="32"/>
      <c r="G1117" s="32"/>
      <c r="H1117" s="32"/>
      <c r="I1117" s="32"/>
      <c r="J1117" s="32"/>
      <c r="K1117" s="32"/>
      <c r="L1117" s="33"/>
    </row>
    <row r="1118" spans="1:12" ht="15.75" x14ac:dyDescent="0.3">
      <c r="A1118" s="32"/>
      <c r="B1118" s="39"/>
      <c r="C1118" s="38"/>
      <c r="D1118" s="32"/>
      <c r="E1118" s="32"/>
      <c r="G1118" s="32"/>
      <c r="H1118" s="32"/>
      <c r="I1118" s="32"/>
      <c r="J1118" s="32"/>
      <c r="K1118" s="32"/>
      <c r="L1118" s="33"/>
    </row>
    <row r="1119" spans="1:12" ht="15.75" x14ac:dyDescent="0.3">
      <c r="A1119" s="32"/>
      <c r="B1119" s="39"/>
      <c r="C1119" s="38"/>
      <c r="D1119" s="32"/>
      <c r="E1119" s="32"/>
      <c r="G1119" s="32"/>
      <c r="H1119" s="32"/>
      <c r="I1119" s="32"/>
      <c r="J1119" s="32"/>
      <c r="K1119" s="32"/>
      <c r="L1119" s="33"/>
    </row>
    <row r="1120" spans="1:12" ht="15.75" x14ac:dyDescent="0.3">
      <c r="A1120" s="32"/>
      <c r="B1120" s="39"/>
      <c r="C1120" s="39"/>
      <c r="D1120" s="32"/>
      <c r="E1120" s="32"/>
      <c r="G1120" s="32"/>
      <c r="H1120" s="32"/>
      <c r="I1120" s="32"/>
      <c r="J1120" s="32"/>
      <c r="K1120" s="32"/>
      <c r="L1120" s="33"/>
    </row>
    <row r="1121" spans="1:12" ht="15.75" x14ac:dyDescent="0.3">
      <c r="A1121" s="32"/>
      <c r="B1121" s="39"/>
      <c r="C1121" s="38"/>
      <c r="D1121" s="32"/>
      <c r="E1121" s="32"/>
      <c r="G1121" s="32"/>
      <c r="H1121" s="32"/>
      <c r="I1121" s="32"/>
      <c r="J1121" s="32"/>
      <c r="K1121" s="32"/>
      <c r="L1121" s="33"/>
    </row>
    <row r="1122" spans="1:12" ht="15.75" x14ac:dyDescent="0.3">
      <c r="A1122" s="32"/>
      <c r="B1122" s="39"/>
      <c r="C1122" s="39"/>
      <c r="D1122" s="32"/>
      <c r="E1122" s="32"/>
      <c r="G1122" s="32"/>
      <c r="H1122" s="32"/>
      <c r="I1122" s="32"/>
      <c r="J1122" s="32"/>
      <c r="K1122" s="32"/>
      <c r="L1122" s="33"/>
    </row>
    <row r="1123" spans="1:12" ht="15.75" x14ac:dyDescent="0.3">
      <c r="A1123" s="32"/>
      <c r="B1123" s="39"/>
      <c r="C1123" s="39"/>
      <c r="D1123" s="32"/>
      <c r="E1123" s="32"/>
      <c r="G1123" s="32"/>
      <c r="H1123" s="32"/>
      <c r="I1123" s="32"/>
      <c r="J1123" s="32"/>
      <c r="K1123" s="32"/>
      <c r="L1123" s="33"/>
    </row>
    <row r="1124" spans="1:12" ht="15.75" x14ac:dyDescent="0.3">
      <c r="A1124" s="32"/>
      <c r="B1124" s="39"/>
      <c r="C1124" s="38"/>
      <c r="D1124" s="32"/>
      <c r="E1124" s="32"/>
      <c r="G1124" s="32"/>
      <c r="H1124" s="32"/>
      <c r="I1124" s="32"/>
      <c r="J1124" s="32"/>
      <c r="K1124" s="32"/>
      <c r="L1124" s="33"/>
    </row>
    <row r="1125" spans="1:12" ht="15.75" x14ac:dyDescent="0.3">
      <c r="A1125" s="32"/>
      <c r="B1125" s="39"/>
      <c r="C1125" s="39"/>
      <c r="D1125" s="32"/>
      <c r="E1125" s="32"/>
      <c r="G1125" s="32"/>
      <c r="H1125" s="32"/>
      <c r="I1125" s="32"/>
      <c r="J1125" s="32"/>
      <c r="K1125" s="32"/>
      <c r="L1125" s="33"/>
    </row>
    <row r="1126" spans="1:12" ht="15.75" x14ac:dyDescent="0.3">
      <c r="A1126" s="32"/>
      <c r="B1126" s="39"/>
      <c r="C1126" s="39"/>
      <c r="D1126" s="32"/>
      <c r="E1126" s="32"/>
      <c r="G1126" s="32"/>
      <c r="H1126" s="32"/>
      <c r="I1126" s="32"/>
      <c r="J1126" s="32"/>
      <c r="K1126" s="32"/>
      <c r="L1126" s="33"/>
    </row>
    <row r="1127" spans="1:12" ht="15.75" x14ac:dyDescent="0.3">
      <c r="A1127" s="32"/>
      <c r="B1127" s="39"/>
      <c r="C1127" s="38"/>
      <c r="D1127" s="32"/>
      <c r="E1127" s="32"/>
      <c r="G1127" s="32"/>
      <c r="H1127" s="32"/>
      <c r="I1127" s="32"/>
      <c r="J1127" s="32"/>
      <c r="K1127" s="32"/>
      <c r="L1127" s="33"/>
    </row>
    <row r="1128" spans="1:12" ht="15.75" x14ac:dyDescent="0.3">
      <c r="A1128" s="32"/>
      <c r="B1128" s="39"/>
      <c r="C1128" s="39"/>
      <c r="D1128" s="32"/>
      <c r="E1128" s="32"/>
      <c r="G1128" s="32"/>
      <c r="H1128" s="32"/>
      <c r="I1128" s="32"/>
      <c r="J1128" s="32"/>
      <c r="K1128" s="32"/>
      <c r="L1128" s="33"/>
    </row>
    <row r="1129" spans="1:12" ht="15.75" x14ac:dyDescent="0.3">
      <c r="A1129" s="32"/>
      <c r="B1129" s="39"/>
      <c r="C1129" s="38"/>
      <c r="D1129" s="32"/>
      <c r="E1129" s="32"/>
      <c r="G1129" s="32"/>
      <c r="H1129" s="32"/>
      <c r="I1129" s="32"/>
      <c r="J1129" s="32"/>
      <c r="K1129" s="32"/>
      <c r="L1129" s="33"/>
    </row>
    <row r="1130" spans="1:12" ht="15.75" x14ac:dyDescent="0.3">
      <c r="A1130" s="32"/>
      <c r="B1130" s="39"/>
      <c r="C1130" s="38"/>
      <c r="D1130" s="32"/>
      <c r="E1130" s="32"/>
      <c r="G1130" s="32"/>
      <c r="H1130" s="32"/>
      <c r="I1130" s="32"/>
      <c r="J1130" s="32"/>
      <c r="K1130" s="32"/>
      <c r="L1130" s="33"/>
    </row>
    <row r="1131" spans="1:12" ht="15.75" x14ac:dyDescent="0.3">
      <c r="A1131" s="32"/>
      <c r="B1131" s="39"/>
      <c r="C1131" s="39"/>
      <c r="D1131" s="32"/>
      <c r="E1131" s="32"/>
      <c r="G1131" s="32"/>
      <c r="H1131" s="32"/>
      <c r="I1131" s="32"/>
      <c r="J1131" s="32"/>
      <c r="K1131" s="32"/>
      <c r="L1131" s="33"/>
    </row>
    <row r="1132" spans="1:12" ht="15.75" x14ac:dyDescent="0.3">
      <c r="A1132" s="32"/>
      <c r="B1132" s="39"/>
      <c r="C1132" s="38"/>
      <c r="D1132" s="32"/>
      <c r="E1132" s="32"/>
      <c r="G1132" s="32"/>
      <c r="H1132" s="32"/>
      <c r="I1132" s="32"/>
      <c r="J1132" s="32"/>
      <c r="K1132" s="32"/>
      <c r="L1132" s="33"/>
    </row>
    <row r="1133" spans="1:12" ht="15.75" x14ac:dyDescent="0.3">
      <c r="A1133" s="32"/>
      <c r="B1133" s="39"/>
      <c r="C1133" s="38"/>
      <c r="D1133" s="32"/>
      <c r="E1133" s="32"/>
      <c r="G1133" s="32"/>
      <c r="H1133" s="32"/>
      <c r="I1133" s="32"/>
      <c r="J1133" s="32"/>
      <c r="K1133" s="32"/>
      <c r="L1133" s="33"/>
    </row>
    <row r="1134" spans="1:12" ht="15.75" x14ac:dyDescent="0.3">
      <c r="A1134" s="32"/>
      <c r="B1134" s="39"/>
      <c r="C1134" s="38"/>
      <c r="D1134" s="32"/>
      <c r="E1134" s="32"/>
      <c r="G1134" s="32"/>
      <c r="H1134" s="32"/>
      <c r="I1134" s="32"/>
      <c r="J1134" s="32"/>
      <c r="K1134" s="32"/>
      <c r="L1134" s="33"/>
    </row>
    <row r="1135" spans="1:12" ht="15.75" x14ac:dyDescent="0.3">
      <c r="A1135" s="32"/>
      <c r="B1135" s="39"/>
      <c r="C1135" s="38"/>
      <c r="D1135" s="32"/>
      <c r="E1135" s="32"/>
      <c r="G1135" s="32"/>
      <c r="H1135" s="32"/>
      <c r="I1135" s="32"/>
      <c r="J1135" s="32"/>
      <c r="K1135" s="32"/>
      <c r="L1135" s="33"/>
    </row>
    <row r="1136" spans="1:12" ht="15.75" x14ac:dyDescent="0.3">
      <c r="A1136" s="32"/>
      <c r="B1136" s="39"/>
      <c r="C1136" s="38"/>
      <c r="D1136" s="32"/>
      <c r="E1136" s="32"/>
      <c r="G1136" s="32"/>
      <c r="H1136" s="32"/>
      <c r="I1136" s="32"/>
      <c r="J1136" s="32"/>
      <c r="K1136" s="32"/>
      <c r="L1136" s="33"/>
    </row>
    <row r="1137" spans="1:12" ht="15.75" x14ac:dyDescent="0.3">
      <c r="A1137" s="32"/>
      <c r="B1137" s="39"/>
      <c r="C1137" s="38"/>
      <c r="D1137" s="32"/>
      <c r="E1137" s="32"/>
      <c r="G1137" s="32"/>
      <c r="H1137" s="32"/>
      <c r="I1137" s="32"/>
      <c r="J1137" s="32"/>
      <c r="K1137" s="32"/>
      <c r="L1137" s="33"/>
    </row>
    <row r="1138" spans="1:12" ht="15.75" x14ac:dyDescent="0.3">
      <c r="A1138" s="32"/>
      <c r="B1138" s="39"/>
      <c r="C1138" s="38"/>
      <c r="D1138" s="32"/>
      <c r="E1138" s="32"/>
      <c r="G1138" s="32"/>
      <c r="H1138" s="32"/>
      <c r="I1138" s="32"/>
      <c r="J1138" s="32"/>
      <c r="K1138" s="32"/>
      <c r="L1138" s="33"/>
    </row>
    <row r="1139" spans="1:12" ht="15.75" x14ac:dyDescent="0.3">
      <c r="A1139" s="32"/>
      <c r="B1139" s="39"/>
      <c r="C1139" s="38"/>
      <c r="D1139" s="32"/>
      <c r="E1139" s="32"/>
      <c r="G1139" s="32"/>
      <c r="H1139" s="32"/>
      <c r="I1139" s="32"/>
      <c r="J1139" s="32"/>
      <c r="K1139" s="32"/>
      <c r="L1139" s="33"/>
    </row>
    <row r="1140" spans="1:12" ht="15.75" x14ac:dyDescent="0.3">
      <c r="A1140" s="32"/>
      <c r="B1140" s="39"/>
      <c r="C1140" s="39"/>
      <c r="D1140" s="32"/>
      <c r="E1140" s="32"/>
      <c r="G1140" s="32"/>
      <c r="H1140" s="32"/>
      <c r="I1140" s="32"/>
      <c r="J1140" s="32"/>
      <c r="K1140" s="32"/>
      <c r="L1140" s="33"/>
    </row>
    <row r="1141" spans="1:12" ht="15.75" x14ac:dyDescent="0.3">
      <c r="A1141" s="32"/>
      <c r="B1141" s="39"/>
      <c r="C1141" s="38"/>
      <c r="D1141" s="32"/>
      <c r="E1141" s="32"/>
      <c r="G1141" s="32"/>
      <c r="H1141" s="32"/>
      <c r="I1141" s="32"/>
      <c r="J1141" s="32"/>
      <c r="K1141" s="32"/>
      <c r="L1141" s="33"/>
    </row>
    <row r="1142" spans="1:12" ht="15.75" x14ac:dyDescent="0.3">
      <c r="A1142" s="32"/>
      <c r="B1142" s="39"/>
      <c r="C1142" s="38"/>
      <c r="D1142" s="32"/>
      <c r="E1142" s="32"/>
      <c r="G1142" s="32"/>
      <c r="H1142" s="32"/>
      <c r="I1142" s="32"/>
      <c r="J1142" s="32"/>
      <c r="K1142" s="32"/>
      <c r="L1142" s="33"/>
    </row>
    <row r="1143" spans="1:12" ht="15.75" x14ac:dyDescent="0.3">
      <c r="A1143" s="32"/>
      <c r="B1143" s="39"/>
      <c r="C1143" s="39"/>
      <c r="D1143" s="32"/>
      <c r="E1143" s="32"/>
      <c r="G1143" s="32"/>
      <c r="H1143" s="32"/>
      <c r="I1143" s="32"/>
      <c r="J1143" s="32"/>
      <c r="K1143" s="32"/>
      <c r="L1143" s="33"/>
    </row>
    <row r="1144" spans="1:12" ht="15.75" x14ac:dyDescent="0.3">
      <c r="A1144" s="32"/>
      <c r="B1144" s="39"/>
      <c r="C1144" s="38"/>
      <c r="D1144" s="32"/>
      <c r="E1144" s="32"/>
      <c r="G1144" s="32"/>
      <c r="H1144" s="32"/>
      <c r="I1144" s="32"/>
      <c r="J1144" s="32"/>
      <c r="K1144" s="32"/>
      <c r="L1144" s="33"/>
    </row>
    <row r="1145" spans="1:12" ht="15.75" x14ac:dyDescent="0.3">
      <c r="A1145" s="32"/>
      <c r="B1145" s="39"/>
      <c r="C1145" s="38"/>
      <c r="D1145" s="32"/>
      <c r="E1145" s="32"/>
      <c r="G1145" s="32"/>
      <c r="H1145" s="32"/>
      <c r="I1145" s="32"/>
      <c r="J1145" s="32"/>
      <c r="K1145" s="32"/>
      <c r="L1145" s="33"/>
    </row>
    <row r="1146" spans="1:12" ht="15.75" x14ac:dyDescent="0.3">
      <c r="A1146" s="32"/>
      <c r="B1146" s="39"/>
      <c r="C1146" s="38"/>
      <c r="D1146" s="32"/>
      <c r="E1146" s="32"/>
      <c r="G1146" s="32"/>
      <c r="H1146" s="32"/>
      <c r="I1146" s="32"/>
      <c r="J1146" s="32"/>
      <c r="K1146" s="32"/>
      <c r="L1146" s="33"/>
    </row>
    <row r="1147" spans="1:12" ht="15.75" x14ac:dyDescent="0.3">
      <c r="A1147" s="32"/>
      <c r="B1147" s="39"/>
      <c r="C1147" s="38"/>
      <c r="D1147" s="32"/>
      <c r="E1147" s="32"/>
      <c r="G1147" s="32"/>
      <c r="H1147" s="32"/>
      <c r="I1147" s="32"/>
      <c r="J1147" s="32"/>
      <c r="K1147" s="32"/>
      <c r="L1147" s="33"/>
    </row>
    <row r="1148" spans="1:12" ht="15.75" x14ac:dyDescent="0.3">
      <c r="A1148" s="32"/>
      <c r="B1148" s="39"/>
      <c r="C1148" s="38"/>
      <c r="D1148" s="32"/>
      <c r="E1148" s="32"/>
      <c r="G1148" s="32"/>
      <c r="H1148" s="32"/>
      <c r="I1148" s="32"/>
      <c r="J1148" s="32"/>
      <c r="K1148" s="32"/>
      <c r="L1148" s="33"/>
    </row>
    <row r="1149" spans="1:12" ht="15.75" x14ac:dyDescent="0.3">
      <c r="A1149" s="32"/>
      <c r="B1149" s="39"/>
      <c r="C1149" s="38"/>
      <c r="D1149" s="32"/>
      <c r="E1149" s="32"/>
      <c r="G1149" s="32"/>
      <c r="H1149" s="32"/>
      <c r="I1149" s="32"/>
      <c r="J1149" s="32"/>
      <c r="K1149" s="32"/>
      <c r="L1149" s="33"/>
    </row>
    <row r="1150" spans="1:12" x14ac:dyDescent="0.25"/>
  </sheetData>
  <dataConsolidate/>
  <phoneticPr fontId="6" type="noConversion"/>
  <pageMargins left="0.7" right="0.7" top="0.75" bottom="0.75" header="0.3" footer="0.3"/>
  <pageSetup paperSize="9" orientation="portrait" horizontalDpi="90" verticalDpi="9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72B7562-789A-4F47-9B96-265CCAD20A81}">
          <x14:formula1>
            <xm:f>'(Hidden)'!$A$3:$A$11</xm:f>
          </x14:formula1>
          <xm:sqref>L2:L425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CDCF-813C-44AA-96D9-4F96533232CD}">
  <sheetPr codeName="Sheet7"/>
  <dimension ref="A1:O149"/>
  <sheetViews>
    <sheetView showGridLines="0" tabSelected="1" topLeftCell="A16" zoomScaleNormal="100" workbookViewId="0">
      <selection activeCell="D33" sqref="D33"/>
    </sheetView>
  </sheetViews>
  <sheetFormatPr defaultRowHeight="15" x14ac:dyDescent="0.25"/>
  <cols>
    <col min="1" max="1" width="11.28515625" bestFit="1" customWidth="1"/>
    <col min="2" max="2" width="12.7109375" bestFit="1" customWidth="1"/>
    <col min="3" max="3" width="11.7109375" bestFit="1" customWidth="1"/>
    <col min="4" max="4" width="31.28515625" customWidth="1"/>
    <col min="5" max="5" width="10.5703125" bestFit="1" customWidth="1"/>
    <col min="6" max="6" width="12.140625" bestFit="1" customWidth="1"/>
    <col min="7" max="7" width="156.28515625" bestFit="1" customWidth="1"/>
    <col min="8" max="8" width="16" bestFit="1" customWidth="1"/>
    <col min="9" max="9" width="14.42578125" bestFit="1" customWidth="1"/>
    <col min="10" max="10" width="13.7109375" bestFit="1" customWidth="1"/>
    <col min="11" max="11" width="14.7109375" bestFit="1" customWidth="1"/>
    <col min="14" max="14" width="10" bestFit="1" customWidth="1"/>
    <col min="15" max="15" width="41.28515625" bestFit="1" customWidth="1"/>
    <col min="16" max="16" width="10.5703125" bestFit="1" customWidth="1"/>
    <col min="17" max="17" width="15.7109375" bestFit="1" customWidth="1"/>
    <col min="18" max="18" width="49.140625" bestFit="1" customWidth="1"/>
  </cols>
  <sheetData>
    <row r="1" spans="1:11" x14ac:dyDescent="0.25">
      <c r="A1" t="s">
        <v>14</v>
      </c>
      <c r="B1" t="s">
        <v>15</v>
      </c>
      <c r="C1" t="s">
        <v>16</v>
      </c>
      <c r="D1" t="s">
        <v>3032</v>
      </c>
      <c r="E1" t="s">
        <v>18</v>
      </c>
      <c r="F1" t="s">
        <v>19</v>
      </c>
      <c r="G1" t="s">
        <v>3033</v>
      </c>
      <c r="H1" t="s">
        <v>3034</v>
      </c>
      <c r="I1" t="s">
        <v>22</v>
      </c>
      <c r="J1" t="s">
        <v>23</v>
      </c>
      <c r="K1" t="s">
        <v>1685</v>
      </c>
    </row>
    <row r="2" spans="1:11" x14ac:dyDescent="0.25">
      <c r="A2" t="s">
        <v>3035</v>
      </c>
      <c r="B2" s="1">
        <v>44799</v>
      </c>
      <c r="C2" s="1">
        <v>44813</v>
      </c>
      <c r="D2" t="s">
        <v>29</v>
      </c>
      <c r="E2" t="s">
        <v>54</v>
      </c>
      <c r="F2" s="9">
        <f ca="1">IF(ISBLANK(C2), TODAY() - B2, C2-B2)</f>
        <v>14</v>
      </c>
      <c r="G2" t="s">
        <v>3036</v>
      </c>
      <c r="H2" s="10"/>
      <c r="I2" t="s">
        <v>730</v>
      </c>
      <c r="J2" s="14" t="s">
        <v>136</v>
      </c>
      <c r="K2" t="s">
        <v>36</v>
      </c>
    </row>
    <row r="3" spans="1:11" x14ac:dyDescent="0.25">
      <c r="A3" t="s">
        <v>3037</v>
      </c>
      <c r="B3" s="1">
        <v>44818</v>
      </c>
      <c r="C3" s="1">
        <v>44844</v>
      </c>
      <c r="D3" t="s">
        <v>29</v>
      </c>
      <c r="E3" t="s">
        <v>54</v>
      </c>
      <c r="F3" s="9">
        <f t="shared" ref="F3:F4" ca="1" si="0">IF(ISBLANK(C3), TODAY() - B3, C3-B3)</f>
        <v>26</v>
      </c>
      <c r="G3" t="s">
        <v>3038</v>
      </c>
      <c r="H3" s="10"/>
      <c r="I3" t="s">
        <v>730</v>
      </c>
      <c r="J3" s="14" t="s">
        <v>136</v>
      </c>
      <c r="K3" t="s">
        <v>36</v>
      </c>
    </row>
    <row r="4" spans="1:11" x14ac:dyDescent="0.25">
      <c r="A4" t="s">
        <v>3039</v>
      </c>
      <c r="B4" s="1">
        <v>44830</v>
      </c>
      <c r="C4" s="1">
        <v>44834</v>
      </c>
      <c r="D4" t="s">
        <v>29</v>
      </c>
      <c r="E4" t="s">
        <v>54</v>
      </c>
      <c r="F4" s="9">
        <f t="shared" ca="1" si="0"/>
        <v>4</v>
      </c>
      <c r="G4" t="s">
        <v>3040</v>
      </c>
      <c r="H4" s="10"/>
      <c r="I4" t="s">
        <v>730</v>
      </c>
      <c r="J4" s="14" t="s">
        <v>136</v>
      </c>
      <c r="K4" t="s">
        <v>36</v>
      </c>
    </row>
    <row r="5" spans="1:11" x14ac:dyDescent="0.25">
      <c r="A5" t="s">
        <v>3041</v>
      </c>
      <c r="B5" s="8">
        <v>44840</v>
      </c>
      <c r="C5" s="1">
        <v>44858</v>
      </c>
      <c r="D5" t="s">
        <v>29</v>
      </c>
      <c r="E5" t="s">
        <v>54</v>
      </c>
      <c r="F5" s="9">
        <f ca="1">IF(ISBLANK(C5), TODAY() - B5, C5-B5)</f>
        <v>18</v>
      </c>
      <c r="G5" t="s">
        <v>3042</v>
      </c>
      <c r="H5" s="10"/>
      <c r="I5" t="s">
        <v>730</v>
      </c>
      <c r="J5" s="14" t="s">
        <v>136</v>
      </c>
      <c r="K5" t="s">
        <v>36</v>
      </c>
    </row>
    <row r="6" spans="1:11" x14ac:dyDescent="0.25">
      <c r="A6" s="17" t="s">
        <v>3043</v>
      </c>
      <c r="B6" s="8">
        <v>44887</v>
      </c>
      <c r="C6" s="1">
        <v>44908</v>
      </c>
      <c r="D6" t="s">
        <v>29</v>
      </c>
      <c r="E6" t="s">
        <v>54</v>
      </c>
      <c r="F6" s="9">
        <f ca="1">IF(ISBLANK(C6), TODAY() - B6, C6-B6)</f>
        <v>21</v>
      </c>
      <c r="G6" s="10" t="s">
        <v>3044</v>
      </c>
      <c r="H6" s="9"/>
      <c r="I6" s="17" t="s">
        <v>730</v>
      </c>
      <c r="J6" s="18" t="s">
        <v>136</v>
      </c>
      <c r="K6" s="17" t="s">
        <v>36</v>
      </c>
    </row>
    <row r="7" spans="1:11" x14ac:dyDescent="0.25">
      <c r="A7" s="17" t="s">
        <v>3045</v>
      </c>
      <c r="B7" s="1">
        <v>45076</v>
      </c>
      <c r="C7" s="1"/>
      <c r="D7" t="s">
        <v>1553</v>
      </c>
      <c r="E7" t="s">
        <v>38</v>
      </c>
      <c r="F7" s="9">
        <f ca="1">IF(ISBLANK(C7), TODAY() - B7, C7-B7)</f>
        <v>1039</v>
      </c>
      <c r="G7" s="11" t="s">
        <v>3046</v>
      </c>
      <c r="H7" s="9"/>
      <c r="I7" s="17" t="s">
        <v>33</v>
      </c>
      <c r="J7" s="18" t="s">
        <v>136</v>
      </c>
      <c r="K7" s="17" t="s">
        <v>36</v>
      </c>
    </row>
    <row r="8" spans="1:11" ht="30" x14ac:dyDescent="0.25">
      <c r="A8" s="17" t="s">
        <v>3047</v>
      </c>
      <c r="B8" s="8">
        <v>45083</v>
      </c>
      <c r="C8" s="1">
        <v>45146</v>
      </c>
      <c r="D8" t="s">
        <v>29</v>
      </c>
      <c r="E8" t="s">
        <v>38</v>
      </c>
      <c r="F8" s="9">
        <f ca="1">IF(ISBLANK(C8), TODAY() - B8, C8-B8)</f>
        <v>63</v>
      </c>
      <c r="G8" s="11" t="s">
        <v>3048</v>
      </c>
      <c r="H8" s="9"/>
      <c r="I8" s="17" t="s">
        <v>33</v>
      </c>
      <c r="J8" s="18" t="s">
        <v>34</v>
      </c>
      <c r="K8" s="17" t="s">
        <v>36</v>
      </c>
    </row>
    <row r="9" spans="1:11" x14ac:dyDescent="0.25">
      <c r="A9" s="17" t="s">
        <v>3049</v>
      </c>
      <c r="B9" s="8">
        <v>45119</v>
      </c>
      <c r="C9" s="1">
        <v>45126</v>
      </c>
      <c r="D9" t="s">
        <v>29</v>
      </c>
      <c r="E9" t="s">
        <v>54</v>
      </c>
      <c r="F9" s="9">
        <f t="shared" ref="F9:F11" ca="1" si="1">IF(ISBLANK(C9), TODAY() - B9, C9-B9)</f>
        <v>7</v>
      </c>
      <c r="G9" t="s">
        <v>3050</v>
      </c>
      <c r="H9" s="9"/>
      <c r="I9" s="17" t="s">
        <v>33</v>
      </c>
      <c r="J9" s="22" t="s">
        <v>34</v>
      </c>
      <c r="K9" s="17" t="s">
        <v>36</v>
      </c>
    </row>
    <row r="10" spans="1:11" x14ac:dyDescent="0.25">
      <c r="A10" s="17" t="s">
        <v>3051</v>
      </c>
      <c r="B10" s="8">
        <v>45128</v>
      </c>
      <c r="C10" s="1">
        <v>45146</v>
      </c>
      <c r="D10" t="s">
        <v>29</v>
      </c>
      <c r="E10" t="s">
        <v>38</v>
      </c>
      <c r="F10" s="9">
        <f t="shared" ca="1" si="1"/>
        <v>18</v>
      </c>
      <c r="G10" t="s">
        <v>3052</v>
      </c>
      <c r="H10" s="9"/>
      <c r="I10" s="17" t="s">
        <v>33</v>
      </c>
      <c r="J10" s="22" t="s">
        <v>34</v>
      </c>
      <c r="K10" s="17" t="s">
        <v>36</v>
      </c>
    </row>
    <row r="11" spans="1:11" x14ac:dyDescent="0.25">
      <c r="A11" s="17" t="s">
        <v>3053</v>
      </c>
      <c r="B11" s="8">
        <v>45141</v>
      </c>
      <c r="C11" s="1">
        <v>45180</v>
      </c>
      <c r="D11" t="s">
        <v>29</v>
      </c>
      <c r="E11" t="s">
        <v>104</v>
      </c>
      <c r="F11" s="9">
        <f t="shared" ca="1" si="1"/>
        <v>39</v>
      </c>
      <c r="G11" t="s">
        <v>3054</v>
      </c>
      <c r="H11" s="9"/>
      <c r="I11" s="17" t="s">
        <v>1693</v>
      </c>
      <c r="J11" s="18" t="s">
        <v>3055</v>
      </c>
      <c r="K11" s="17" t="s">
        <v>36</v>
      </c>
    </row>
    <row r="12" spans="1:11" x14ac:dyDescent="0.25">
      <c r="A12" s="17" t="s">
        <v>3056</v>
      </c>
      <c r="B12" s="8">
        <v>45146</v>
      </c>
      <c r="C12" s="1"/>
      <c r="D12" t="s">
        <v>1553</v>
      </c>
      <c r="E12" t="s">
        <v>38</v>
      </c>
      <c r="F12" s="9">
        <f t="shared" ref="F12:F13" ca="1" si="2">IF(ISBLANK(C12), TODAY() - B12, C12-B12)</f>
        <v>969</v>
      </c>
      <c r="G12" t="s">
        <v>3048</v>
      </c>
      <c r="H12" t="s">
        <v>3047</v>
      </c>
      <c r="I12" s="17" t="s">
        <v>33</v>
      </c>
      <c r="J12" s="22" t="s">
        <v>34</v>
      </c>
      <c r="K12" s="17" t="s">
        <v>36</v>
      </c>
    </row>
    <row r="13" spans="1:11" x14ac:dyDescent="0.25">
      <c r="A13" s="17" t="s">
        <v>3057</v>
      </c>
      <c r="B13" s="8">
        <v>45160</v>
      </c>
      <c r="C13" s="1">
        <v>45313</v>
      </c>
      <c r="D13" t="s">
        <v>29</v>
      </c>
      <c r="E13" t="s">
        <v>38</v>
      </c>
      <c r="F13" s="9">
        <f t="shared" ca="1" si="2"/>
        <v>153</v>
      </c>
      <c r="G13" t="s">
        <v>3058</v>
      </c>
      <c r="H13" s="9"/>
      <c r="I13" s="17" t="s">
        <v>1336</v>
      </c>
      <c r="J13" s="18" t="s">
        <v>34</v>
      </c>
      <c r="K13" s="17" t="s">
        <v>36</v>
      </c>
    </row>
    <row r="14" spans="1:11" x14ac:dyDescent="0.25">
      <c r="A14" s="17" t="s">
        <v>3059</v>
      </c>
      <c r="B14" s="8">
        <v>45191</v>
      </c>
      <c r="C14" s="1">
        <v>45232</v>
      </c>
      <c r="D14" t="s">
        <v>29</v>
      </c>
      <c r="E14" t="s">
        <v>38</v>
      </c>
      <c r="F14" s="9">
        <f t="shared" ref="F14:F16" ca="1" si="3">IF(ISBLANK(C14), TODAY() - B14, C14-B14)</f>
        <v>41</v>
      </c>
      <c r="G14" t="s">
        <v>3060</v>
      </c>
      <c r="H14" s="9"/>
      <c r="I14" s="17" t="s">
        <v>730</v>
      </c>
      <c r="J14" s="22" t="s">
        <v>136</v>
      </c>
      <c r="K14" s="17" t="s">
        <v>36</v>
      </c>
    </row>
    <row r="15" spans="1:11" x14ac:dyDescent="0.25">
      <c r="A15" s="17" t="s">
        <v>3061</v>
      </c>
      <c r="B15" s="8">
        <v>45195</v>
      </c>
      <c r="C15" s="1">
        <v>45412</v>
      </c>
      <c r="D15" t="s">
        <v>29</v>
      </c>
      <c r="E15" t="s">
        <v>104</v>
      </c>
      <c r="F15" s="9">
        <f t="shared" ca="1" si="3"/>
        <v>217</v>
      </c>
      <c r="G15" t="s">
        <v>205</v>
      </c>
      <c r="H15" s="9"/>
      <c r="I15" s="17" t="s">
        <v>193</v>
      </c>
      <c r="J15" s="22" t="s">
        <v>206</v>
      </c>
      <c r="K15" s="17" t="s">
        <v>36</v>
      </c>
    </row>
    <row r="16" spans="1:11" x14ac:dyDescent="0.25">
      <c r="A16" s="17" t="s">
        <v>3062</v>
      </c>
      <c r="B16" s="8">
        <v>45196</v>
      </c>
      <c r="C16" s="1">
        <v>45219</v>
      </c>
      <c r="D16" t="s">
        <v>29</v>
      </c>
      <c r="E16" t="s">
        <v>30</v>
      </c>
      <c r="F16" s="9">
        <f t="shared" ca="1" si="3"/>
        <v>23</v>
      </c>
      <c r="G16" t="s">
        <v>3063</v>
      </c>
      <c r="H16" s="9"/>
      <c r="I16" s="17" t="s">
        <v>730</v>
      </c>
      <c r="J16" s="18" t="s">
        <v>136</v>
      </c>
      <c r="K16" s="17" t="s">
        <v>36</v>
      </c>
    </row>
    <row r="17" spans="1:11" x14ac:dyDescent="0.25">
      <c r="A17" s="23" t="s">
        <v>3064</v>
      </c>
      <c r="B17" s="8">
        <v>45251</v>
      </c>
      <c r="C17" s="1">
        <v>45330</v>
      </c>
      <c r="D17" t="s">
        <v>29</v>
      </c>
      <c r="E17" s="17" t="s">
        <v>324</v>
      </c>
      <c r="F17" s="9">
        <f t="shared" ref="F17:F18" ca="1" si="4">IF(ISBLANK(C17), TODAY() - B17, C17-B17)</f>
        <v>79</v>
      </c>
      <c r="G17" s="24" t="s">
        <v>591</v>
      </c>
      <c r="H17" s="9"/>
      <c r="I17" s="17" t="s">
        <v>589</v>
      </c>
      <c r="J17" s="22" t="s">
        <v>1902</v>
      </c>
      <c r="K17" s="17" t="s">
        <v>36</v>
      </c>
    </row>
    <row r="18" spans="1:11" x14ac:dyDescent="0.25">
      <c r="A18" s="23" t="s">
        <v>3065</v>
      </c>
      <c r="B18" s="8">
        <v>45258</v>
      </c>
      <c r="C18" s="1">
        <v>45279</v>
      </c>
      <c r="D18" t="s">
        <v>29</v>
      </c>
      <c r="E18" s="17" t="s">
        <v>30</v>
      </c>
      <c r="F18" s="9">
        <f t="shared" ca="1" si="4"/>
        <v>21</v>
      </c>
      <c r="G18" s="24" t="s">
        <v>3066</v>
      </c>
      <c r="H18" s="9"/>
      <c r="I18" s="17" t="s">
        <v>33</v>
      </c>
      <c r="J18" s="18" t="s">
        <v>136</v>
      </c>
      <c r="K18" s="17" t="s">
        <v>36</v>
      </c>
    </row>
    <row r="19" spans="1:11" x14ac:dyDescent="0.25">
      <c r="A19" s="23" t="s">
        <v>3067</v>
      </c>
      <c r="B19" s="26">
        <v>45314</v>
      </c>
      <c r="C19" s="1">
        <v>45321</v>
      </c>
      <c r="D19" s="25" t="s">
        <v>29</v>
      </c>
      <c r="E19" s="25" t="s">
        <v>273</v>
      </c>
      <c r="F19" s="9">
        <f t="shared" ref="F19:F21" ca="1" si="5">IF(ISBLANK(C19), TODAY() - B19, C19-B19)</f>
        <v>7</v>
      </c>
      <c r="G19" s="24" t="s">
        <v>412</v>
      </c>
      <c r="H19" s="9"/>
      <c r="I19" s="17" t="s">
        <v>193</v>
      </c>
      <c r="J19" s="22" t="s">
        <v>40</v>
      </c>
      <c r="K19" s="17" t="s">
        <v>36</v>
      </c>
    </row>
    <row r="20" spans="1:11" x14ac:dyDescent="0.25">
      <c r="A20" s="23" t="s">
        <v>3068</v>
      </c>
      <c r="B20" s="26">
        <v>45327</v>
      </c>
      <c r="C20" s="1"/>
      <c r="D20" s="25" t="s">
        <v>1553</v>
      </c>
      <c r="E20" s="25" t="s">
        <v>30</v>
      </c>
      <c r="F20" s="9">
        <f t="shared" ca="1" si="5"/>
        <v>788</v>
      </c>
      <c r="G20" s="24" t="s">
        <v>3069</v>
      </c>
      <c r="H20" s="9"/>
      <c r="I20" s="17" t="s">
        <v>33</v>
      </c>
      <c r="J20" s="22" t="s">
        <v>34</v>
      </c>
      <c r="K20" s="17" t="s">
        <v>36</v>
      </c>
    </row>
    <row r="21" spans="1:11" x14ac:dyDescent="0.25">
      <c r="A21" s="23" t="s">
        <v>3070</v>
      </c>
      <c r="B21" s="26">
        <v>45329</v>
      </c>
      <c r="C21" s="1">
        <v>45369</v>
      </c>
      <c r="D21" s="25" t="s">
        <v>29</v>
      </c>
      <c r="E21" s="25" t="s">
        <v>30</v>
      </c>
      <c r="F21" s="9">
        <f t="shared" ca="1" si="5"/>
        <v>40</v>
      </c>
      <c r="G21" s="24" t="s">
        <v>3071</v>
      </c>
      <c r="H21" s="9"/>
      <c r="I21" s="17" t="s">
        <v>33</v>
      </c>
      <c r="J21" s="18" t="s">
        <v>34</v>
      </c>
      <c r="K21" s="17" t="s">
        <v>36</v>
      </c>
    </row>
    <row r="22" spans="1:11" x14ac:dyDescent="0.25">
      <c r="A22" s="17" t="s">
        <v>3072</v>
      </c>
      <c r="B22" s="8">
        <v>45370</v>
      </c>
      <c r="C22" s="1"/>
      <c r="D22" s="25" t="s">
        <v>1553</v>
      </c>
      <c r="E22" s="17" t="s">
        <v>38</v>
      </c>
      <c r="F22" s="9">
        <f ca="1">IF(ISBLANK(C22), TODAY() - B22, C22-B22)</f>
        <v>745</v>
      </c>
      <c r="G22" t="s">
        <v>3073</v>
      </c>
      <c r="H22" s="9"/>
      <c r="I22" s="17" t="s">
        <v>33</v>
      </c>
      <c r="J22" s="18" t="s">
        <v>34</v>
      </c>
      <c r="K22" s="17" t="s">
        <v>36</v>
      </c>
    </row>
    <row r="23" spans="1:11" x14ac:dyDescent="0.25">
      <c r="A23" s="23" t="s">
        <v>3074</v>
      </c>
      <c r="B23" s="8">
        <v>45401</v>
      </c>
      <c r="C23" s="1">
        <v>45427</v>
      </c>
      <c r="D23" s="25" t="s">
        <v>29</v>
      </c>
      <c r="E23" s="17" t="s">
        <v>38</v>
      </c>
      <c r="F23" s="9">
        <f ca="1">IF(ISBLANK(C23), TODAY() - B23, C23-B23)</f>
        <v>26</v>
      </c>
      <c r="G23" s="24" t="s">
        <v>3075</v>
      </c>
      <c r="H23" s="9"/>
      <c r="I23" s="17" t="s">
        <v>33</v>
      </c>
      <c r="J23" s="18" t="s">
        <v>34</v>
      </c>
      <c r="K23" s="17" t="s">
        <v>36</v>
      </c>
    </row>
    <row r="24" spans="1:11" x14ac:dyDescent="0.25">
      <c r="A24" s="17" t="s">
        <v>3076</v>
      </c>
      <c r="B24" s="1">
        <v>45428</v>
      </c>
      <c r="C24" s="1">
        <v>45463</v>
      </c>
      <c r="D24" s="25" t="s">
        <v>29</v>
      </c>
      <c r="E24" t="s">
        <v>30</v>
      </c>
      <c r="F24" s="9">
        <f t="shared" ref="F24:F28" ca="1" si="6">IF(ISBLANK(C24), TODAY() - B24, C24-B24)</f>
        <v>35</v>
      </c>
      <c r="G24" s="11" t="s">
        <v>3077</v>
      </c>
      <c r="H24" s="9"/>
      <c r="I24" s="17" t="s">
        <v>33</v>
      </c>
      <c r="J24" s="22" t="s">
        <v>34</v>
      </c>
      <c r="K24" s="17" t="s">
        <v>36</v>
      </c>
    </row>
    <row r="25" spans="1:11" x14ac:dyDescent="0.25">
      <c r="A25" s="17" t="s">
        <v>3078</v>
      </c>
      <c r="B25" s="1">
        <v>45434</v>
      </c>
      <c r="C25" s="26">
        <v>45527</v>
      </c>
      <c r="D25" s="25" t="s">
        <v>29</v>
      </c>
      <c r="E25" t="s">
        <v>38</v>
      </c>
      <c r="F25" s="9">
        <f t="shared" ca="1" si="6"/>
        <v>93</v>
      </c>
      <c r="G25" s="11" t="s">
        <v>3079</v>
      </c>
      <c r="H25" s="9"/>
      <c r="I25" s="17" t="s">
        <v>33</v>
      </c>
      <c r="J25" s="22" t="s">
        <v>34</v>
      </c>
      <c r="K25" s="17" t="s">
        <v>36</v>
      </c>
    </row>
    <row r="26" spans="1:11" x14ac:dyDescent="0.25">
      <c r="A26" s="17" t="s">
        <v>3080</v>
      </c>
      <c r="B26" s="1">
        <v>45434</v>
      </c>
      <c r="C26" s="26">
        <v>45518</v>
      </c>
      <c r="D26" s="25" t="s">
        <v>29</v>
      </c>
      <c r="E26" t="s">
        <v>38</v>
      </c>
      <c r="F26" s="9">
        <f t="shared" ca="1" si="6"/>
        <v>84</v>
      </c>
      <c r="G26" s="11" t="s">
        <v>3081</v>
      </c>
      <c r="H26" s="9"/>
      <c r="I26" s="17" t="s">
        <v>589</v>
      </c>
      <c r="J26" s="22" t="s">
        <v>3082</v>
      </c>
      <c r="K26" s="17" t="s">
        <v>36</v>
      </c>
    </row>
    <row r="27" spans="1:11" x14ac:dyDescent="0.25">
      <c r="A27" s="17" t="s">
        <v>3083</v>
      </c>
      <c r="B27" s="1">
        <v>45434</v>
      </c>
      <c r="C27" s="1">
        <v>45477</v>
      </c>
      <c r="D27" s="25" t="s">
        <v>29</v>
      </c>
      <c r="E27" t="s">
        <v>38</v>
      </c>
      <c r="F27" s="9">
        <f t="shared" ca="1" si="6"/>
        <v>43</v>
      </c>
      <c r="G27" s="11" t="s">
        <v>3084</v>
      </c>
      <c r="H27" s="9"/>
      <c r="I27" s="17" t="s">
        <v>589</v>
      </c>
      <c r="J27" s="22" t="s">
        <v>3085</v>
      </c>
      <c r="K27" s="17" t="s">
        <v>36</v>
      </c>
    </row>
    <row r="28" spans="1:11" x14ac:dyDescent="0.25">
      <c r="A28" s="17" t="s">
        <v>3086</v>
      </c>
      <c r="B28" s="1">
        <v>45441</v>
      </c>
      <c r="C28" s="1">
        <v>45446</v>
      </c>
      <c r="D28" s="25" t="s">
        <v>29</v>
      </c>
      <c r="E28" t="s">
        <v>30</v>
      </c>
      <c r="F28" s="9">
        <f t="shared" ca="1" si="6"/>
        <v>5</v>
      </c>
      <c r="G28" s="11" t="s">
        <v>3087</v>
      </c>
      <c r="H28" s="9"/>
      <c r="I28" s="17" t="s">
        <v>730</v>
      </c>
      <c r="J28" s="18" t="s">
        <v>136</v>
      </c>
      <c r="K28" s="17" t="s">
        <v>36</v>
      </c>
    </row>
    <row r="29" spans="1:11" x14ac:dyDescent="0.25">
      <c r="A29" s="17" t="s">
        <v>3088</v>
      </c>
      <c r="B29" s="1">
        <v>45476</v>
      </c>
      <c r="C29" s="1">
        <v>45490</v>
      </c>
      <c r="D29" s="25" t="s">
        <v>29</v>
      </c>
      <c r="E29" s="17" t="s">
        <v>30</v>
      </c>
      <c r="F29" s="9">
        <f t="shared" ref="F29:F30" ca="1" si="7">IF(ISBLANK(C29), TODAY() - B29, C29-B29)</f>
        <v>14</v>
      </c>
      <c r="G29" s="11" t="s">
        <v>3089</v>
      </c>
      <c r="H29" s="9"/>
      <c r="I29" s="17" t="s">
        <v>589</v>
      </c>
      <c r="J29" s="22" t="s">
        <v>3085</v>
      </c>
      <c r="K29" s="17" t="s">
        <v>36</v>
      </c>
    </row>
    <row r="30" spans="1:11" x14ac:dyDescent="0.25">
      <c r="A30" s="17" t="s">
        <v>3090</v>
      </c>
      <c r="B30" s="1">
        <v>45490</v>
      </c>
      <c r="C30" s="1"/>
      <c r="D30" s="25" t="s">
        <v>1553</v>
      </c>
      <c r="E30" s="17" t="s">
        <v>324</v>
      </c>
      <c r="F30" s="9">
        <f t="shared" ca="1" si="7"/>
        <v>625</v>
      </c>
      <c r="G30" s="11" t="s">
        <v>2287</v>
      </c>
      <c r="H30" s="9"/>
      <c r="I30" s="17" t="s">
        <v>1336</v>
      </c>
      <c r="J30" s="18" t="s">
        <v>1321</v>
      </c>
      <c r="K30" s="17" t="s">
        <v>36</v>
      </c>
    </row>
    <row r="31" spans="1:11" x14ac:dyDescent="0.25">
      <c r="A31" s="23" t="s">
        <v>3091</v>
      </c>
      <c r="B31" s="8">
        <v>45520</v>
      </c>
      <c r="C31" s="41">
        <v>45609</v>
      </c>
      <c r="D31" s="23" t="s">
        <v>29</v>
      </c>
      <c r="E31" s="17" t="s">
        <v>324</v>
      </c>
      <c r="F31" s="9">
        <f t="shared" ref="F31:F32" ca="1" si="8">IF(ISBLANK(C31), TODAY() - B31, C31-B31)</f>
        <v>89</v>
      </c>
      <c r="G31" s="24" t="s">
        <v>3092</v>
      </c>
      <c r="H31" s="9"/>
      <c r="I31" s="17" t="s">
        <v>589</v>
      </c>
      <c r="J31" s="22" t="s">
        <v>304</v>
      </c>
      <c r="K31" s="17" t="s">
        <v>36</v>
      </c>
    </row>
    <row r="32" spans="1:11" x14ac:dyDescent="0.25">
      <c r="A32" s="23" t="s">
        <v>3093</v>
      </c>
      <c r="B32" s="8">
        <v>45530</v>
      </c>
      <c r="C32" s="8"/>
      <c r="D32" s="17" t="s">
        <v>1553</v>
      </c>
      <c r="E32" s="17" t="s">
        <v>38</v>
      </c>
      <c r="F32" s="9">
        <f t="shared" ca="1" si="8"/>
        <v>585</v>
      </c>
      <c r="G32" s="24" t="s">
        <v>3094</v>
      </c>
      <c r="H32" s="9"/>
      <c r="I32" s="17" t="s">
        <v>33</v>
      </c>
      <c r="J32" s="18" t="s">
        <v>34</v>
      </c>
      <c r="K32" s="17" t="s">
        <v>36</v>
      </c>
    </row>
    <row r="33" spans="1:15" x14ac:dyDescent="0.25">
      <c r="A33" s="23" t="s">
        <v>3095</v>
      </c>
      <c r="B33" s="8">
        <v>45545</v>
      </c>
      <c r="C33" s="8"/>
      <c r="D33" s="23" t="s">
        <v>29</v>
      </c>
      <c r="E33" s="17" t="s">
        <v>38</v>
      </c>
      <c r="F33" s="9">
        <f ca="1">IF(ISBLANK(C33), TODAY() - B33, C33-B33)</f>
        <v>570</v>
      </c>
      <c r="G33" s="24" t="s">
        <v>3096</v>
      </c>
      <c r="H33" s="9"/>
      <c r="I33" s="17" t="s">
        <v>193</v>
      </c>
      <c r="J33" s="18" t="s">
        <v>40</v>
      </c>
      <c r="K33" s="17" t="s">
        <v>36</v>
      </c>
    </row>
    <row r="34" spans="1:15" x14ac:dyDescent="0.25">
      <c r="A34" s="42" t="s">
        <v>3097</v>
      </c>
      <c r="B34" s="35">
        <v>45625</v>
      </c>
      <c r="C34" s="35">
        <v>45728</v>
      </c>
      <c r="D34" s="43" t="s">
        <v>29</v>
      </c>
      <c r="E34" s="42" t="s">
        <v>30</v>
      </c>
      <c r="F34" s="44">
        <f t="shared" ref="F34:F46" ca="1" si="9">IF(ISBLANK(C34), TODAY() - B34, C34-B34)</f>
        <v>103</v>
      </c>
      <c r="G34" s="45" t="s">
        <v>3098</v>
      </c>
      <c r="H34" s="44"/>
      <c r="I34" s="42"/>
      <c r="J34" s="46"/>
      <c r="K34" s="17" t="s">
        <v>36</v>
      </c>
      <c r="L34" s="41"/>
      <c r="M34" s="41"/>
      <c r="N34" s="32"/>
      <c r="O34" s="32"/>
    </row>
    <row r="35" spans="1:15" x14ac:dyDescent="0.25">
      <c r="A35" s="42" t="s">
        <v>3099</v>
      </c>
      <c r="B35" s="35">
        <v>45664</v>
      </c>
      <c r="C35" s="35"/>
      <c r="D35" s="42" t="s">
        <v>3100</v>
      </c>
      <c r="E35" s="42" t="s">
        <v>30</v>
      </c>
      <c r="F35" s="44">
        <f t="shared" ca="1" si="9"/>
        <v>451</v>
      </c>
      <c r="G35" s="45" t="s">
        <v>195</v>
      </c>
      <c r="H35" s="44"/>
      <c r="I35" s="42"/>
      <c r="J35" s="46"/>
      <c r="K35" s="17" t="s">
        <v>36</v>
      </c>
      <c r="L35" s="41"/>
      <c r="M35" s="32"/>
      <c r="N35" s="32"/>
      <c r="O35" s="32"/>
    </row>
    <row r="36" spans="1:15" x14ac:dyDescent="0.25">
      <c r="A36" s="42" t="s">
        <v>3101</v>
      </c>
      <c r="B36" s="35">
        <v>45694</v>
      </c>
      <c r="C36" s="35">
        <v>45728</v>
      </c>
      <c r="D36" s="42" t="s">
        <v>29</v>
      </c>
      <c r="E36" s="42" t="s">
        <v>30</v>
      </c>
      <c r="F36" s="44">
        <f t="shared" ca="1" si="9"/>
        <v>34</v>
      </c>
      <c r="G36" s="45" t="s">
        <v>3102</v>
      </c>
      <c r="H36" s="44"/>
      <c r="I36" s="42"/>
      <c r="J36" s="46"/>
      <c r="K36" s="17" t="s">
        <v>36</v>
      </c>
      <c r="L36" s="41"/>
      <c r="M36" s="41"/>
      <c r="N36" s="32"/>
      <c r="O36" s="32"/>
    </row>
    <row r="37" spans="1:15" ht="30" x14ac:dyDescent="0.25">
      <c r="A37" s="42" t="s">
        <v>3103</v>
      </c>
      <c r="B37" s="35">
        <v>45713</v>
      </c>
      <c r="C37" s="35">
        <v>45728</v>
      </c>
      <c r="D37" s="42" t="s">
        <v>29</v>
      </c>
      <c r="E37" s="42" t="s">
        <v>30</v>
      </c>
      <c r="F37" s="44">
        <f t="shared" ca="1" si="9"/>
        <v>15</v>
      </c>
      <c r="G37" s="45" t="s">
        <v>3104</v>
      </c>
      <c r="H37" s="44"/>
      <c r="I37" s="42"/>
      <c r="J37" s="46"/>
      <c r="K37" s="17" t="s">
        <v>36</v>
      </c>
      <c r="L37" s="41"/>
      <c r="M37" s="41"/>
      <c r="N37" s="32"/>
      <c r="O37" s="32"/>
    </row>
    <row r="38" spans="1:15" x14ac:dyDescent="0.25">
      <c r="A38" s="42" t="s">
        <v>3105</v>
      </c>
      <c r="B38" s="35">
        <v>45721</v>
      </c>
      <c r="C38" s="35"/>
      <c r="D38" s="42" t="s">
        <v>3106</v>
      </c>
      <c r="E38" s="42" t="s">
        <v>30</v>
      </c>
      <c r="F38" s="44">
        <f t="shared" ca="1" si="9"/>
        <v>394</v>
      </c>
      <c r="G38" s="45" t="s">
        <v>3107</v>
      </c>
      <c r="H38" s="44"/>
      <c r="I38" s="42"/>
      <c r="J38" s="46"/>
      <c r="K38" s="17" t="s">
        <v>36</v>
      </c>
      <c r="L38" s="41"/>
      <c r="M38" s="32"/>
      <c r="N38" s="32"/>
      <c r="O38" s="32"/>
    </row>
    <row r="39" spans="1:15" x14ac:dyDescent="0.25">
      <c r="A39" s="42" t="s">
        <v>3108</v>
      </c>
      <c r="B39" s="35">
        <v>45721</v>
      </c>
      <c r="C39" s="35"/>
      <c r="D39" s="42" t="s">
        <v>3106</v>
      </c>
      <c r="E39" s="42" t="s">
        <v>30</v>
      </c>
      <c r="F39" s="44">
        <f t="shared" ca="1" si="9"/>
        <v>394</v>
      </c>
      <c r="G39" s="45" t="s">
        <v>3109</v>
      </c>
      <c r="H39" s="44"/>
      <c r="I39" s="42"/>
      <c r="J39" s="46"/>
      <c r="K39" s="17" t="s">
        <v>36</v>
      </c>
      <c r="L39" s="41"/>
      <c r="M39" s="32"/>
      <c r="N39" s="32"/>
      <c r="O39" s="32"/>
    </row>
    <row r="40" spans="1:15" x14ac:dyDescent="0.25">
      <c r="A40" s="42" t="s">
        <v>3110</v>
      </c>
      <c r="B40" s="35">
        <v>45721</v>
      </c>
      <c r="C40" s="35"/>
      <c r="D40" s="42" t="s">
        <v>3100</v>
      </c>
      <c r="E40" s="42" t="s">
        <v>30</v>
      </c>
      <c r="F40" s="44">
        <f t="shared" ca="1" si="9"/>
        <v>394</v>
      </c>
      <c r="G40" s="45" t="s">
        <v>3111</v>
      </c>
      <c r="H40" s="44"/>
      <c r="I40" s="42"/>
      <c r="J40" s="46"/>
      <c r="K40" s="17" t="s">
        <v>36</v>
      </c>
      <c r="L40" s="41"/>
      <c r="M40" s="32"/>
      <c r="N40" s="32"/>
      <c r="O40" s="32"/>
    </row>
    <row r="41" spans="1:15" x14ac:dyDescent="0.25">
      <c r="A41" s="42" t="s">
        <v>3112</v>
      </c>
      <c r="B41" s="35">
        <v>45721</v>
      </c>
      <c r="C41" s="35"/>
      <c r="D41" s="42" t="s">
        <v>3106</v>
      </c>
      <c r="E41" s="42" t="s">
        <v>30</v>
      </c>
      <c r="F41" s="44">
        <f t="shared" ca="1" si="9"/>
        <v>394</v>
      </c>
      <c r="G41" s="45" t="s">
        <v>3113</v>
      </c>
      <c r="H41" s="44"/>
      <c r="I41" s="42"/>
      <c r="J41" s="46"/>
      <c r="K41" s="17" t="s">
        <v>36</v>
      </c>
      <c r="L41" s="41"/>
      <c r="M41" s="32"/>
      <c r="N41" s="32"/>
      <c r="O41" s="32"/>
    </row>
    <row r="42" spans="1:15" x14ac:dyDescent="0.25">
      <c r="A42" s="42" t="s">
        <v>3114</v>
      </c>
      <c r="B42" s="35">
        <v>45721</v>
      </c>
      <c r="C42" s="35"/>
      <c r="D42" s="42" t="s">
        <v>3106</v>
      </c>
      <c r="E42" s="42" t="s">
        <v>30</v>
      </c>
      <c r="F42" s="44">
        <f t="shared" ca="1" si="9"/>
        <v>394</v>
      </c>
      <c r="G42" s="45" t="s">
        <v>3115</v>
      </c>
      <c r="H42" s="44"/>
      <c r="I42" s="42"/>
      <c r="J42" s="46"/>
      <c r="K42" s="17" t="s">
        <v>36</v>
      </c>
      <c r="L42" s="41"/>
      <c r="M42" s="32"/>
      <c r="N42" s="32"/>
      <c r="O42" s="32"/>
    </row>
    <row r="43" spans="1:15" x14ac:dyDescent="0.25">
      <c r="A43" s="42" t="s">
        <v>3116</v>
      </c>
      <c r="B43" s="35">
        <v>45728</v>
      </c>
      <c r="C43" s="35"/>
      <c r="D43" s="42" t="s">
        <v>3100</v>
      </c>
      <c r="E43" s="42" t="s">
        <v>30</v>
      </c>
      <c r="F43" s="44">
        <f t="shared" ca="1" si="9"/>
        <v>387</v>
      </c>
      <c r="G43" s="45" t="s">
        <v>3117</v>
      </c>
      <c r="H43" s="44"/>
      <c r="I43" s="42"/>
      <c r="J43" s="46"/>
      <c r="K43" s="17" t="s">
        <v>36</v>
      </c>
      <c r="L43" s="41"/>
      <c r="M43" s="32"/>
      <c r="N43" s="32"/>
      <c r="O43" s="32"/>
    </row>
    <row r="44" spans="1:15" x14ac:dyDescent="0.25">
      <c r="A44" s="42" t="s">
        <v>3118</v>
      </c>
      <c r="B44" s="35">
        <v>45757</v>
      </c>
      <c r="C44" s="35"/>
      <c r="D44" s="42" t="s">
        <v>3106</v>
      </c>
      <c r="E44" s="42" t="s">
        <v>30</v>
      </c>
      <c r="F44" s="44">
        <f t="shared" ca="1" si="9"/>
        <v>358</v>
      </c>
      <c r="G44" s="45" t="s">
        <v>3119</v>
      </c>
      <c r="H44" s="44"/>
      <c r="I44" s="42"/>
      <c r="J44" s="46"/>
      <c r="K44" s="17" t="s">
        <v>36</v>
      </c>
      <c r="L44" s="41"/>
      <c r="M44" s="32"/>
      <c r="N44" s="32"/>
      <c r="O44" s="32"/>
    </row>
    <row r="45" spans="1:15" x14ac:dyDescent="0.25">
      <c r="A45" s="42" t="s">
        <v>3120</v>
      </c>
      <c r="B45" s="35">
        <v>45594</v>
      </c>
      <c r="C45" s="35">
        <v>45610</v>
      </c>
      <c r="D45" s="42" t="s">
        <v>29</v>
      </c>
      <c r="E45" s="42" t="s">
        <v>273</v>
      </c>
      <c r="F45" s="44">
        <f t="shared" ca="1" si="9"/>
        <v>16</v>
      </c>
      <c r="G45" s="45" t="s">
        <v>3121</v>
      </c>
      <c r="H45" s="44"/>
      <c r="I45" s="42"/>
      <c r="J45" s="46"/>
      <c r="K45" s="17" t="s">
        <v>36</v>
      </c>
      <c r="L45" s="41"/>
      <c r="M45" s="41"/>
      <c r="N45" s="32"/>
      <c r="O45" s="32"/>
    </row>
    <row r="46" spans="1:15" x14ac:dyDescent="0.25">
      <c r="A46" s="42" t="s">
        <v>3122</v>
      </c>
      <c r="B46" s="35">
        <v>45659</v>
      </c>
      <c r="C46" s="35">
        <v>45733</v>
      </c>
      <c r="D46" s="42" t="s">
        <v>29</v>
      </c>
      <c r="E46" s="42" t="s">
        <v>46</v>
      </c>
      <c r="F46" s="44">
        <f t="shared" ca="1" si="9"/>
        <v>74</v>
      </c>
      <c r="G46" s="45" t="s">
        <v>3123</v>
      </c>
      <c r="H46" s="44"/>
      <c r="I46" s="42"/>
      <c r="J46" s="47"/>
      <c r="K46" s="17" t="s">
        <v>36</v>
      </c>
      <c r="L46" s="41"/>
      <c r="M46" s="41"/>
      <c r="N46" s="32"/>
      <c r="O46" s="32"/>
    </row>
    <row r="47" spans="1:15" x14ac:dyDescent="0.25">
      <c r="B47" s="1"/>
      <c r="C47" s="1"/>
      <c r="F47" s="7"/>
      <c r="G47" s="7"/>
      <c r="H47" s="7"/>
    </row>
    <row r="48" spans="1:15" x14ac:dyDescent="0.25">
      <c r="B48" s="1"/>
      <c r="C48" s="1"/>
      <c r="F48" s="7"/>
      <c r="G48" s="7"/>
      <c r="H48" s="7"/>
    </row>
    <row r="49" spans="2:8" x14ac:dyDescent="0.25">
      <c r="B49" s="1"/>
      <c r="C49" s="1"/>
      <c r="F49" s="7"/>
      <c r="G49" s="7"/>
      <c r="H49" s="7"/>
    </row>
    <row r="50" spans="2:8" x14ac:dyDescent="0.25">
      <c r="B50" s="1"/>
      <c r="C50" s="1"/>
      <c r="F50" s="7"/>
      <c r="G50" s="7"/>
      <c r="H50" s="7"/>
    </row>
    <row r="51" spans="2:8" x14ac:dyDescent="0.25">
      <c r="B51" s="1"/>
      <c r="C51" s="1"/>
      <c r="F51" s="7"/>
      <c r="G51" s="7"/>
      <c r="H51" s="7"/>
    </row>
    <row r="52" spans="2:8" x14ac:dyDescent="0.25">
      <c r="B52" s="1"/>
      <c r="C52" s="1"/>
      <c r="F52" s="7"/>
      <c r="G52" s="7"/>
      <c r="H52" s="7"/>
    </row>
    <row r="53" spans="2:8" x14ac:dyDescent="0.25">
      <c r="B53" s="1"/>
      <c r="C53" s="1"/>
      <c r="F53" s="7"/>
      <c r="G53" s="7"/>
      <c r="H53" s="7"/>
    </row>
    <row r="54" spans="2:8" x14ac:dyDescent="0.25">
      <c r="B54" s="1"/>
      <c r="C54" s="1"/>
      <c r="F54" s="7"/>
      <c r="G54" s="7"/>
      <c r="H54" s="7"/>
    </row>
    <row r="55" spans="2:8" x14ac:dyDescent="0.25">
      <c r="B55" s="1"/>
      <c r="C55" s="1"/>
      <c r="F55" s="7"/>
      <c r="G55" s="7"/>
      <c r="H55" s="7"/>
    </row>
    <row r="56" spans="2:8" x14ac:dyDescent="0.25">
      <c r="B56" s="1"/>
      <c r="C56" s="1"/>
      <c r="F56" s="7"/>
      <c r="G56" s="7"/>
      <c r="H56" s="7"/>
    </row>
    <row r="57" spans="2:8" x14ac:dyDescent="0.25">
      <c r="B57" s="1"/>
      <c r="C57" s="1"/>
      <c r="F57" s="7"/>
      <c r="G57" s="7"/>
      <c r="H57" s="7"/>
    </row>
    <row r="58" spans="2:8" x14ac:dyDescent="0.25">
      <c r="B58" s="1"/>
      <c r="C58" s="1"/>
      <c r="F58" s="7"/>
      <c r="G58" s="7"/>
      <c r="H58" s="7"/>
    </row>
    <row r="59" spans="2:8" x14ac:dyDescent="0.25">
      <c r="B59" s="1"/>
      <c r="C59" s="1"/>
      <c r="F59" s="7"/>
      <c r="G59" s="7"/>
      <c r="H59" s="7"/>
    </row>
    <row r="60" spans="2:8" x14ac:dyDescent="0.25">
      <c r="B60" s="1"/>
      <c r="C60" s="1"/>
      <c r="F60" s="7"/>
      <c r="G60" s="7"/>
      <c r="H60" s="7"/>
    </row>
    <row r="61" spans="2:8" x14ac:dyDescent="0.25">
      <c r="B61" s="1"/>
      <c r="C61" s="1"/>
      <c r="F61" s="7"/>
      <c r="G61" s="7"/>
      <c r="H61" s="7"/>
    </row>
    <row r="62" spans="2:8" x14ac:dyDescent="0.25">
      <c r="B62" s="1"/>
      <c r="C62" s="1"/>
      <c r="F62" s="7"/>
      <c r="G62" s="7"/>
      <c r="H62" s="7"/>
    </row>
    <row r="63" spans="2:8" x14ac:dyDescent="0.25">
      <c r="B63" s="1"/>
      <c r="C63" s="1"/>
      <c r="F63" s="7"/>
      <c r="G63" s="7"/>
      <c r="H63" s="7"/>
    </row>
    <row r="64" spans="2:8" x14ac:dyDescent="0.25">
      <c r="B64" s="1"/>
      <c r="C64" s="1"/>
      <c r="F64" s="7"/>
      <c r="G64" s="7"/>
      <c r="H64" s="7"/>
    </row>
    <row r="65" spans="2:8" x14ac:dyDescent="0.25">
      <c r="B65" s="1"/>
      <c r="C65" s="1"/>
      <c r="F65" s="7"/>
      <c r="G65" s="7"/>
      <c r="H65" s="7"/>
    </row>
    <row r="66" spans="2:8" x14ac:dyDescent="0.25">
      <c r="B66" s="1"/>
      <c r="C66" s="1"/>
      <c r="F66" s="7"/>
      <c r="G66" s="7"/>
      <c r="H66" s="7"/>
    </row>
    <row r="67" spans="2:8" x14ac:dyDescent="0.25">
      <c r="B67" s="1"/>
      <c r="C67" s="1"/>
      <c r="F67" s="7"/>
      <c r="G67" s="7"/>
      <c r="H67" s="7"/>
    </row>
    <row r="68" spans="2:8" x14ac:dyDescent="0.25">
      <c r="B68" s="1"/>
      <c r="C68" s="1"/>
      <c r="F68" s="7"/>
      <c r="G68" s="7"/>
      <c r="H68" s="7"/>
    </row>
    <row r="69" spans="2:8" x14ac:dyDescent="0.25">
      <c r="B69" s="1"/>
      <c r="C69" s="1"/>
      <c r="F69" s="7"/>
      <c r="G69" s="7"/>
      <c r="H69" s="7"/>
    </row>
    <row r="70" spans="2:8" x14ac:dyDescent="0.25">
      <c r="B70" s="1"/>
      <c r="C70" s="1"/>
      <c r="F70" s="7"/>
      <c r="G70" s="7"/>
      <c r="H70" s="7"/>
    </row>
    <row r="71" spans="2:8" x14ac:dyDescent="0.25">
      <c r="B71" s="1"/>
      <c r="C71" s="1"/>
      <c r="F71" s="7"/>
      <c r="G71" s="7"/>
      <c r="H71" s="7"/>
    </row>
    <row r="72" spans="2:8" x14ac:dyDescent="0.25">
      <c r="B72" s="1"/>
      <c r="C72" s="1"/>
      <c r="F72" s="7"/>
      <c r="G72" s="7"/>
      <c r="H72" s="7"/>
    </row>
    <row r="73" spans="2:8" x14ac:dyDescent="0.25">
      <c r="B73" s="1"/>
      <c r="C73" s="1"/>
      <c r="F73" s="7"/>
      <c r="G73" s="7"/>
      <c r="H73" s="7"/>
    </row>
    <row r="74" spans="2:8" x14ac:dyDescent="0.25">
      <c r="B74" s="1"/>
      <c r="C74" s="1"/>
      <c r="F74" s="7"/>
      <c r="G74" s="7"/>
      <c r="H74" s="7"/>
    </row>
    <row r="75" spans="2:8" x14ac:dyDescent="0.25">
      <c r="B75" s="1"/>
      <c r="C75" s="1"/>
      <c r="F75" s="7"/>
      <c r="G75" s="7"/>
      <c r="H75" s="7"/>
    </row>
    <row r="76" spans="2:8" x14ac:dyDescent="0.25">
      <c r="B76" s="1"/>
      <c r="C76" s="1"/>
      <c r="F76" s="7"/>
      <c r="G76" s="7"/>
      <c r="H76" s="7"/>
    </row>
    <row r="77" spans="2:8" x14ac:dyDescent="0.25">
      <c r="B77" s="1"/>
      <c r="C77" s="1"/>
      <c r="F77" s="7"/>
      <c r="G77" s="7"/>
      <c r="H77" s="7"/>
    </row>
    <row r="78" spans="2:8" x14ac:dyDescent="0.25">
      <c r="B78" s="1"/>
      <c r="C78" s="1"/>
      <c r="F78" s="7"/>
      <c r="G78" s="7"/>
      <c r="H78" s="7"/>
    </row>
    <row r="79" spans="2:8" x14ac:dyDescent="0.25">
      <c r="B79" s="1"/>
      <c r="C79" s="1"/>
      <c r="F79" s="7"/>
      <c r="G79" s="7"/>
      <c r="H79" s="7"/>
    </row>
    <row r="80" spans="2:8" x14ac:dyDescent="0.25">
      <c r="B80" s="1"/>
      <c r="C80" s="1"/>
      <c r="F80" s="7"/>
      <c r="G80" s="7"/>
      <c r="H80" s="7"/>
    </row>
    <row r="81" spans="2:8" x14ac:dyDescent="0.25">
      <c r="B81" s="1"/>
      <c r="C81" s="1"/>
      <c r="F81" s="7"/>
      <c r="G81" s="7"/>
      <c r="H81" s="7"/>
    </row>
    <row r="82" spans="2:8" x14ac:dyDescent="0.25">
      <c r="B82" s="1"/>
      <c r="C82" s="1"/>
      <c r="F82" s="7"/>
      <c r="G82" s="7"/>
      <c r="H82" s="7"/>
    </row>
    <row r="83" spans="2:8" x14ac:dyDescent="0.25">
      <c r="B83" s="1"/>
      <c r="F83" s="7"/>
      <c r="G83" s="7"/>
      <c r="H83" s="7"/>
    </row>
    <row r="84" spans="2:8" x14ac:dyDescent="0.25">
      <c r="B84" s="1"/>
      <c r="C84" s="1"/>
      <c r="F84" s="7"/>
      <c r="G84" s="7"/>
      <c r="H84" s="7"/>
    </row>
    <row r="85" spans="2:8" x14ac:dyDescent="0.25">
      <c r="B85" s="1"/>
      <c r="C85" s="1"/>
      <c r="F85" s="7"/>
      <c r="G85" s="7"/>
      <c r="H85" s="7"/>
    </row>
    <row r="86" spans="2:8" x14ac:dyDescent="0.25">
      <c r="B86" s="1"/>
      <c r="C86" s="1"/>
      <c r="F86" s="7"/>
      <c r="G86" s="7"/>
      <c r="H86" s="7"/>
    </row>
    <row r="87" spans="2:8" x14ac:dyDescent="0.25">
      <c r="B87" s="1"/>
      <c r="C87" s="1"/>
      <c r="F87" s="7"/>
      <c r="G87" s="7"/>
      <c r="H87" s="7"/>
    </row>
    <row r="88" spans="2:8" x14ac:dyDescent="0.25">
      <c r="B88" s="1"/>
      <c r="C88" s="1"/>
      <c r="F88" s="7"/>
      <c r="G88" s="7"/>
      <c r="H88" s="7"/>
    </row>
    <row r="89" spans="2:8" x14ac:dyDescent="0.25">
      <c r="B89" s="1"/>
      <c r="C89" s="1"/>
      <c r="F89" s="7"/>
      <c r="G89" s="7"/>
      <c r="H89" s="7"/>
    </row>
    <row r="90" spans="2:8" x14ac:dyDescent="0.25">
      <c r="B90" s="1"/>
      <c r="C90" s="1"/>
      <c r="F90" s="7"/>
      <c r="G90" s="7"/>
      <c r="H90" s="7"/>
    </row>
    <row r="91" spans="2:8" x14ac:dyDescent="0.25">
      <c r="B91" s="1"/>
      <c r="C91" s="1"/>
      <c r="F91" s="7"/>
      <c r="G91" s="7"/>
      <c r="H91" s="7"/>
    </row>
    <row r="92" spans="2:8" x14ac:dyDescent="0.25">
      <c r="B92" s="1"/>
      <c r="C92" s="1"/>
      <c r="F92" s="7"/>
      <c r="G92" s="7"/>
      <c r="H92" s="7"/>
    </row>
    <row r="93" spans="2:8" x14ac:dyDescent="0.25">
      <c r="B93" s="1"/>
      <c r="C93" s="1"/>
      <c r="F93" s="7"/>
      <c r="G93" s="7"/>
      <c r="H93" s="7"/>
    </row>
    <row r="94" spans="2:8" x14ac:dyDescent="0.25">
      <c r="B94" s="1"/>
      <c r="C94" s="1"/>
      <c r="F94" s="7"/>
      <c r="G94" s="7"/>
      <c r="H94" s="7"/>
    </row>
    <row r="95" spans="2:8" x14ac:dyDescent="0.25">
      <c r="B95" s="1"/>
      <c r="C95" s="1"/>
      <c r="F95" s="7"/>
      <c r="G95" s="7"/>
      <c r="H95" s="7"/>
    </row>
    <row r="96" spans="2:8" x14ac:dyDescent="0.25">
      <c r="B96" s="1"/>
      <c r="C96" s="1"/>
      <c r="F96" s="7"/>
      <c r="G96" s="7"/>
      <c r="H96" s="7"/>
    </row>
    <row r="97" spans="2:8" x14ac:dyDescent="0.25">
      <c r="B97" s="1"/>
      <c r="C97" s="1"/>
      <c r="F97" s="7"/>
      <c r="G97" s="7"/>
      <c r="H97" s="7"/>
    </row>
    <row r="98" spans="2:8" x14ac:dyDescent="0.25">
      <c r="B98" s="1"/>
      <c r="C98" s="1"/>
      <c r="F98" s="7"/>
      <c r="G98" s="7"/>
      <c r="H98" s="7"/>
    </row>
    <row r="99" spans="2:8" x14ac:dyDescent="0.25">
      <c r="B99" s="1"/>
      <c r="C99" s="1"/>
      <c r="F99" s="7"/>
      <c r="G99" s="7"/>
      <c r="H99" s="7"/>
    </row>
    <row r="100" spans="2:8" x14ac:dyDescent="0.25">
      <c r="B100" s="1"/>
      <c r="C100" s="1"/>
      <c r="F100" s="7"/>
      <c r="G100" s="7"/>
      <c r="H100" s="7"/>
    </row>
    <row r="101" spans="2:8" x14ac:dyDescent="0.25">
      <c r="B101" s="1"/>
      <c r="C101" s="1"/>
      <c r="F101" s="7"/>
      <c r="G101" s="7"/>
      <c r="H101" s="7"/>
    </row>
    <row r="102" spans="2:8" x14ac:dyDescent="0.25">
      <c r="B102" s="1"/>
      <c r="C102" s="1"/>
      <c r="F102" s="7"/>
      <c r="G102" s="7"/>
      <c r="H102" s="7"/>
    </row>
    <row r="103" spans="2:8" x14ac:dyDescent="0.25">
      <c r="B103" s="1"/>
      <c r="C103" s="1"/>
      <c r="F103" s="7"/>
      <c r="G103" s="7"/>
      <c r="H103" s="7"/>
    </row>
    <row r="104" spans="2:8" x14ac:dyDescent="0.25">
      <c r="B104" s="1"/>
      <c r="C104" s="1"/>
      <c r="F104" s="7"/>
      <c r="G104" s="7"/>
      <c r="H104" s="7"/>
    </row>
    <row r="105" spans="2:8" x14ac:dyDescent="0.25">
      <c r="B105" s="1"/>
      <c r="C105" s="1"/>
      <c r="F105" s="7"/>
      <c r="G105" s="7"/>
      <c r="H105" s="7"/>
    </row>
    <row r="106" spans="2:8" x14ac:dyDescent="0.25">
      <c r="B106" s="1"/>
      <c r="C106" s="1"/>
      <c r="F106" s="7"/>
      <c r="G106" s="7"/>
      <c r="H106" s="7"/>
    </row>
    <row r="107" spans="2:8" x14ac:dyDescent="0.25">
      <c r="B107" s="1"/>
      <c r="C107" s="1"/>
      <c r="F107" s="7"/>
      <c r="G107" s="7"/>
      <c r="H107" s="7"/>
    </row>
    <row r="108" spans="2:8" x14ac:dyDescent="0.25">
      <c r="B108" s="1"/>
      <c r="C108" s="1"/>
      <c r="F108" s="7"/>
      <c r="G108" s="7"/>
      <c r="H108" s="7"/>
    </row>
    <row r="109" spans="2:8" x14ac:dyDescent="0.25">
      <c r="B109" s="1"/>
      <c r="C109" s="1"/>
      <c r="F109" s="7"/>
      <c r="G109" s="7"/>
      <c r="H109" s="7"/>
    </row>
    <row r="110" spans="2:8" x14ac:dyDescent="0.25">
      <c r="B110" s="1"/>
      <c r="C110" s="1"/>
      <c r="F110" s="7"/>
      <c r="G110" s="7"/>
      <c r="H110" s="7"/>
    </row>
    <row r="111" spans="2:8" x14ac:dyDescent="0.25">
      <c r="B111" s="1"/>
      <c r="C111" s="1"/>
      <c r="F111" s="7"/>
      <c r="G111" s="7"/>
      <c r="H111" s="7"/>
    </row>
    <row r="112" spans="2:8" x14ac:dyDescent="0.25">
      <c r="B112" s="1"/>
      <c r="C112" s="1"/>
      <c r="F112" s="7"/>
      <c r="G112" s="7"/>
      <c r="H112" s="7"/>
    </row>
    <row r="113" spans="2:8" x14ac:dyDescent="0.25">
      <c r="B113" s="1"/>
      <c r="C113" s="1"/>
      <c r="F113" s="7"/>
      <c r="G113" s="7"/>
      <c r="H113" s="7"/>
    </row>
    <row r="114" spans="2:8" x14ac:dyDescent="0.25">
      <c r="B114" s="1"/>
      <c r="C114" s="1"/>
      <c r="F114" s="7"/>
      <c r="G114" s="7"/>
      <c r="H114" s="7"/>
    </row>
    <row r="115" spans="2:8" x14ac:dyDescent="0.25">
      <c r="B115" s="1"/>
      <c r="C115" s="1"/>
      <c r="F115" s="7"/>
      <c r="G115" s="7"/>
      <c r="H115" s="7"/>
    </row>
    <row r="116" spans="2:8" x14ac:dyDescent="0.25">
      <c r="B116" s="1"/>
      <c r="C116" s="1"/>
      <c r="F116" s="7"/>
      <c r="G116" s="7"/>
      <c r="H116" s="7"/>
    </row>
    <row r="117" spans="2:8" x14ac:dyDescent="0.25">
      <c r="B117" s="1"/>
      <c r="C117" s="1"/>
      <c r="F117" s="7"/>
      <c r="G117" s="7"/>
      <c r="H117" s="7"/>
    </row>
    <row r="118" spans="2:8" x14ac:dyDescent="0.25">
      <c r="B118" s="1"/>
      <c r="C118" s="1"/>
      <c r="F118" s="7"/>
      <c r="G118" s="7"/>
      <c r="H118" s="7"/>
    </row>
    <row r="119" spans="2:8" x14ac:dyDescent="0.25">
      <c r="B119" s="1"/>
      <c r="C119" s="1"/>
      <c r="F119" s="7"/>
      <c r="G119" s="7"/>
      <c r="H119" s="7"/>
    </row>
    <row r="120" spans="2:8" x14ac:dyDescent="0.25">
      <c r="B120" s="1"/>
      <c r="C120" s="1"/>
      <c r="F120" s="7"/>
      <c r="G120" s="7"/>
      <c r="H120" s="7"/>
    </row>
    <row r="121" spans="2:8" x14ac:dyDescent="0.25">
      <c r="B121" s="1"/>
      <c r="C121" s="1"/>
      <c r="F121" s="7"/>
      <c r="G121" s="7"/>
      <c r="H121" s="7"/>
    </row>
    <row r="122" spans="2:8" x14ac:dyDescent="0.25">
      <c r="B122" s="1"/>
      <c r="C122" s="1"/>
      <c r="F122" s="7"/>
      <c r="G122" s="7"/>
      <c r="H122" s="7"/>
    </row>
    <row r="123" spans="2:8" x14ac:dyDescent="0.25">
      <c r="B123" s="1"/>
      <c r="C123" s="1"/>
      <c r="F123" s="7"/>
      <c r="G123" s="7"/>
      <c r="H123" s="7"/>
    </row>
    <row r="124" spans="2:8" x14ac:dyDescent="0.25">
      <c r="B124" s="1"/>
      <c r="C124" s="1"/>
      <c r="F124" s="7"/>
      <c r="G124" s="7"/>
      <c r="H124" s="7"/>
    </row>
    <row r="125" spans="2:8" x14ac:dyDescent="0.25">
      <c r="B125" s="1"/>
      <c r="C125" s="1"/>
      <c r="F125" s="7"/>
      <c r="G125" s="7"/>
      <c r="H125" s="7"/>
    </row>
    <row r="126" spans="2:8" x14ac:dyDescent="0.25">
      <c r="B126" s="1"/>
      <c r="C126" s="1"/>
      <c r="F126" s="7"/>
      <c r="G126" s="7"/>
      <c r="H126" s="7"/>
    </row>
    <row r="127" spans="2:8" x14ac:dyDescent="0.25">
      <c r="B127" s="1"/>
      <c r="C127" s="1"/>
    </row>
    <row r="128" spans="2:8" x14ac:dyDescent="0.25">
      <c r="B128" s="1"/>
    </row>
    <row r="129" spans="2:3" x14ac:dyDescent="0.25">
      <c r="B129" s="1"/>
      <c r="C129" s="1"/>
    </row>
    <row r="130" spans="2:3" x14ac:dyDescent="0.25">
      <c r="B130" s="1"/>
      <c r="C130" s="1"/>
    </row>
    <row r="131" spans="2:3" x14ac:dyDescent="0.25">
      <c r="B131" s="1"/>
      <c r="C131" s="1"/>
    </row>
    <row r="132" spans="2:3" x14ac:dyDescent="0.25">
      <c r="B132" s="1"/>
      <c r="C132" s="1"/>
    </row>
    <row r="133" spans="2:3" x14ac:dyDescent="0.25">
      <c r="B133" s="1"/>
      <c r="C133" s="1"/>
    </row>
    <row r="134" spans="2:3" x14ac:dyDescent="0.25">
      <c r="B134" s="1"/>
    </row>
    <row r="135" spans="2:3" x14ac:dyDescent="0.25">
      <c r="B135" s="1"/>
      <c r="C135" s="1"/>
    </row>
    <row r="136" spans="2:3" x14ac:dyDescent="0.25">
      <c r="B136" s="1"/>
      <c r="C136" s="1"/>
    </row>
    <row r="137" spans="2:3" x14ac:dyDescent="0.25">
      <c r="B137" s="1"/>
      <c r="C137" s="1"/>
    </row>
    <row r="138" spans="2:3" x14ac:dyDescent="0.25">
      <c r="B138" s="1"/>
    </row>
    <row r="139" spans="2:3" x14ac:dyDescent="0.25">
      <c r="B139" s="1"/>
      <c r="C139" s="1"/>
    </row>
    <row r="140" spans="2:3" x14ac:dyDescent="0.25">
      <c r="B140" s="1"/>
    </row>
    <row r="141" spans="2:3" x14ac:dyDescent="0.25">
      <c r="B141" s="1"/>
      <c r="C141" s="1"/>
    </row>
    <row r="142" spans="2:3" x14ac:dyDescent="0.25">
      <c r="B142" s="1"/>
      <c r="C142" s="1"/>
    </row>
    <row r="143" spans="2:3" x14ac:dyDescent="0.25">
      <c r="B143" s="1"/>
    </row>
    <row r="144" spans="2:3" x14ac:dyDescent="0.25">
      <c r="B144" s="1"/>
    </row>
    <row r="145" spans="2:2" x14ac:dyDescent="0.25">
      <c r="B145" s="1"/>
    </row>
    <row r="146" spans="2:2" x14ac:dyDescent="0.25">
      <c r="B146" s="1"/>
    </row>
    <row r="147" spans="2:2" x14ac:dyDescent="0.25">
      <c r="B147" s="1"/>
    </row>
    <row r="148" spans="2:2" x14ac:dyDescent="0.25">
      <c r="B148" s="1"/>
    </row>
    <row r="149" spans="2:2" x14ac:dyDescent="0.25">
      <c r="B149" s="1"/>
    </row>
  </sheetData>
  <phoneticPr fontId="6" type="noConversion"/>
  <pageMargins left="0.7" right="0.7" top="0.75" bottom="0.75" header="0.3" footer="0.3"/>
  <pageSetup paperSize="9" orientation="portrait" horizontalDpi="90" verticalDpi="90"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2862815-A7D4-4318-B6CE-3277A1E138CC}">
          <x14:formula1>
            <xm:f>'(Hidden)'!$A$3:$A$11</xm:f>
          </x14:formula1>
          <xm:sqref>K2:K46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3449-38F2-418B-86CA-498AE6BDD2C5}">
  <sheetPr codeName="Sheet6"/>
  <dimension ref="A1:D9"/>
  <sheetViews>
    <sheetView workbookViewId="0">
      <selection activeCell="D12" sqref="D12"/>
    </sheetView>
  </sheetViews>
  <sheetFormatPr defaultRowHeight="15" x14ac:dyDescent="0.25"/>
  <cols>
    <col min="1" max="1" width="11.7109375" bestFit="1" customWidth="1"/>
    <col min="2" max="2" width="2.7109375" customWidth="1"/>
    <col min="3" max="3" width="10.42578125" bestFit="1" customWidth="1"/>
    <col min="4" max="4" width="10.85546875" bestFit="1" customWidth="1"/>
  </cols>
  <sheetData>
    <row r="1" spans="1:4" x14ac:dyDescent="0.25">
      <c r="A1" s="6" t="s">
        <v>3124</v>
      </c>
      <c r="C1" s="6" t="s">
        <v>3125</v>
      </c>
      <c r="D1" s="6" t="s">
        <v>18</v>
      </c>
    </row>
    <row r="2" spans="1:4" x14ac:dyDescent="0.25">
      <c r="A2" t="s">
        <v>1348</v>
      </c>
      <c r="C2" t="s">
        <v>3126</v>
      </c>
      <c r="D2" t="s">
        <v>104</v>
      </c>
    </row>
    <row r="3" spans="1:4" x14ac:dyDescent="0.25">
      <c r="A3" t="s">
        <v>71</v>
      </c>
      <c r="C3" t="s">
        <v>3127</v>
      </c>
      <c r="D3" t="s">
        <v>38</v>
      </c>
    </row>
    <row r="4" spans="1:4" x14ac:dyDescent="0.25">
      <c r="A4" t="s">
        <v>120</v>
      </c>
      <c r="C4" t="s">
        <v>3128</v>
      </c>
      <c r="D4" t="s">
        <v>54</v>
      </c>
    </row>
    <row r="5" spans="1:4" x14ac:dyDescent="0.25">
      <c r="A5" t="s">
        <v>427</v>
      </c>
      <c r="C5" t="s">
        <v>3129</v>
      </c>
      <c r="D5" t="s">
        <v>273</v>
      </c>
    </row>
    <row r="6" spans="1:4" x14ac:dyDescent="0.25">
      <c r="A6" t="s">
        <v>36</v>
      </c>
      <c r="C6" t="s">
        <v>3130</v>
      </c>
      <c r="D6" t="s">
        <v>324</v>
      </c>
    </row>
    <row r="7" spans="1:4" x14ac:dyDescent="0.25">
      <c r="C7" t="s">
        <v>3131</v>
      </c>
      <c r="D7" t="s">
        <v>30</v>
      </c>
    </row>
    <row r="8" spans="1:4" x14ac:dyDescent="0.25">
      <c r="C8" t="s">
        <v>3132</v>
      </c>
      <c r="D8" t="s">
        <v>46</v>
      </c>
    </row>
    <row r="9" spans="1:4" x14ac:dyDescent="0.25">
      <c r="C9" t="s">
        <v>3133</v>
      </c>
      <c r="D9" t="s">
        <v>532</v>
      </c>
    </row>
  </sheetData>
  <sortState xmlns:xlrd2="http://schemas.microsoft.com/office/spreadsheetml/2017/richdata2" ref="C2:D10">
    <sortCondition ref="C2:C10"/>
  </sortState>
  <pageMargins left="0.7" right="0.7" top="0.75" bottom="0.75" header="0.3" footer="0.3"/>
  <pageSetup paperSize="9"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67F828F802444FBA293BC721DEA517" ma:contentTypeVersion="19" ma:contentTypeDescription="Create a new document." ma:contentTypeScope="" ma:versionID="f941ee1f59e36517675ee7f5bddeb29d">
  <xsd:schema xmlns:xsd="http://www.w3.org/2001/XMLSchema" xmlns:xs="http://www.w3.org/2001/XMLSchema" xmlns:p="http://schemas.microsoft.com/office/2006/metadata/properties" xmlns:ns2="de937925-64b5-43a1-9490-38fba8731da3" xmlns:ns3="c30ac1ea-3f19-42cb-a3c5-b55941bf8eb9" targetNamespace="http://schemas.microsoft.com/office/2006/metadata/properties" ma:root="true" ma:fieldsID="dc3c2f599ca2f2e55fbfa1fcfe865f70" ns2:_="" ns3:_="">
    <xsd:import namespace="de937925-64b5-43a1-9490-38fba8731da3"/>
    <xsd:import namespace="c30ac1ea-3f19-42cb-a3c5-b55941bf8eb9"/>
    <xsd:element name="properties">
      <xsd:complexType>
        <xsd:sequence>
          <xsd:element name="documentManagement">
            <xsd:complexType>
              <xsd:all>
                <xsd:element ref="ns2:MediaServiceMetadata" minOccurs="0"/>
                <xsd:element ref="ns2:MediaServiceFastMetadata"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937925-64b5-43a1-9490-38fba8731d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f9dd247-5f48-452a-8dc4-ff9a39258ebe" ma:termSetId="09814cd3-568e-fe90-9814-8d621ff8fb84" ma:anchorId="fba54fb3-c3e1-fe81-a776-ca4b69148c4d" ma:open="true" ma:isKeyword="false">
      <xsd:complexType>
        <xsd:sequence>
          <xsd:element ref="pc:Terms" minOccurs="0" maxOccurs="1"/>
        </xsd:sequence>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ategory" ma:index="24" nillable="true" ma:displayName="Category" ma:default="SOP" ma:format="Dropdown" ma:internalName="Catego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0ac1ea-3f19-42cb-a3c5-b55941bf8eb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4178cbb9-084e-4cc1-94e8-dc3a4ac6b6bc}" ma:internalName="TaxCatchAll" ma:showField="CatchAllData" ma:web="c30ac1ea-3f19-42cb-a3c5-b55941bf8eb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30ac1ea-3f19-42cb-a3c5-b55941bf8eb9">
      <UserInfo>
        <DisplayName>Hanji, Pavan</DisplayName>
        <AccountId>68</AccountId>
        <AccountType/>
      </UserInfo>
      <UserInfo>
        <DisplayName>Thimmappa, Nagesh</DisplayName>
        <AccountId>69</AccountId>
        <AccountType/>
      </UserInfo>
      <UserInfo>
        <DisplayName>Kadali, Srinivas</DisplayName>
        <AccountId>70</AccountId>
        <AccountType/>
      </UserInfo>
      <UserInfo>
        <DisplayName>Martin, Miles H</DisplayName>
        <AccountId>55</AccountId>
        <AccountType/>
      </UserInfo>
    </SharedWithUsers>
    <TaxCatchAll xmlns="c30ac1ea-3f19-42cb-a3c5-b55941bf8eb9" xsi:nil="true"/>
    <lcf76f155ced4ddcb4097134ff3c332f xmlns="de937925-64b5-43a1-9490-38fba8731da3">
      <Terms xmlns="http://schemas.microsoft.com/office/infopath/2007/PartnerControls"/>
    </lcf76f155ced4ddcb4097134ff3c332f>
    <Category xmlns="de937925-64b5-43a1-9490-38fba8731da3">SOP</Category>
  </documentManagement>
</p:properties>
</file>

<file path=customXml/itemProps1.xml><?xml version="1.0" encoding="utf-8"?>
<ds:datastoreItem xmlns:ds="http://schemas.openxmlformats.org/officeDocument/2006/customXml" ds:itemID="{0252FF94-EC73-4F1E-B6BC-797CA65B26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937925-64b5-43a1-9490-38fba8731da3"/>
    <ds:schemaRef ds:uri="c30ac1ea-3f19-42cb-a3c5-b55941bf8e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8A88D7-5E60-4EA3-9C94-B4613EE68DA4}">
  <ds:schemaRefs>
    <ds:schemaRef ds:uri="http://schemas.microsoft.com/sharepoint/v3/contenttype/forms"/>
  </ds:schemaRefs>
</ds:datastoreItem>
</file>

<file path=customXml/itemProps3.xml><?xml version="1.0" encoding="utf-8"?>
<ds:datastoreItem xmlns:ds="http://schemas.openxmlformats.org/officeDocument/2006/customXml" ds:itemID="{EB2D8301-9E10-4A3A-AF25-05BA0D69FBDA}">
  <ds:schemaRefs>
    <ds:schemaRef ds:uri="http://schemas.microsoft.com/office/2006/metadata/properties"/>
    <ds:schemaRef ds:uri="http://schemas.microsoft.com/office/infopath/2007/PartnerControls"/>
    <ds:schemaRef ds:uri="c30ac1ea-3f19-42cb-a3c5-b55941bf8eb9"/>
    <ds:schemaRef ds:uri="de937925-64b5-43a1-9490-38fba8731da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SLA Config</vt:lpstr>
      <vt:lpstr>Incidents</vt:lpstr>
      <vt:lpstr>Requests</vt:lpstr>
      <vt:lpstr>Problems</vt:lpstr>
      <vt:lpstr>(Hidden)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Tasioulis, Charilaos</dc:creator>
  <cp:keywords/>
  <dc:description/>
  <cp:lastModifiedBy>Peng, Robert</cp:lastModifiedBy>
  <cp:revision/>
  <dcterms:created xsi:type="dcterms:W3CDTF">2021-12-14T08:44:53Z</dcterms:created>
  <dcterms:modified xsi:type="dcterms:W3CDTF">2026-04-03T14:40:06Z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0x0101004567F828F802444FBA293BC721DEA517</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SharedWithUsers">
    <vt:lpwstr>68;#Hanji, Pavan;#69;#Thimmappa, Nagesh;#70;#Kadali, Srinivas;#55;#Martin, Miles H</vt:lpwstr>
  </property>
  <property fmtid="{D5CDD505-2E9C-101B-9397-08002B2CF9AE}" pid="11" name="MSIP_Label_4791b42f-c435-42ca-9531-75a3f42aae3d_Enabled">
    <vt:lpwstr>true</vt:lpwstr>
  </property>
  <property fmtid="{D5CDD505-2E9C-101B-9397-08002B2CF9AE}" pid="12" name="MSIP_Label_4791b42f-c435-42ca-9531-75a3f42aae3d_SetDate">
    <vt:lpwstr>2024-06-03T09:20:50Z</vt:lpwstr>
  </property>
  <property fmtid="{D5CDD505-2E9C-101B-9397-08002B2CF9AE}" pid="13" name="MSIP_Label_4791b42f-c435-42ca-9531-75a3f42aae3d_Method">
    <vt:lpwstr>Privileged</vt:lpwstr>
  </property>
  <property fmtid="{D5CDD505-2E9C-101B-9397-08002B2CF9AE}" pid="14" name="MSIP_Label_4791b42f-c435-42ca-9531-75a3f42aae3d_Name">
    <vt:lpwstr>4791b42f-c435-42ca-9531-75a3f42aae3d</vt:lpwstr>
  </property>
  <property fmtid="{D5CDD505-2E9C-101B-9397-08002B2CF9AE}" pid="15" name="MSIP_Label_4791b42f-c435-42ca-9531-75a3f42aae3d_SiteId">
    <vt:lpwstr>7a916015-20ae-4ad1-9170-eefd915e9272</vt:lpwstr>
  </property>
  <property fmtid="{D5CDD505-2E9C-101B-9397-08002B2CF9AE}" pid="16" name="MSIP_Label_4791b42f-c435-42ca-9531-75a3f42aae3d_ActionId">
    <vt:lpwstr>111c8f81-f013-4974-98fe-9fe9ddf7eed8</vt:lpwstr>
  </property>
  <property fmtid="{D5CDD505-2E9C-101B-9397-08002B2CF9AE}" pid="17" name="MSIP_Label_4791b42f-c435-42ca-9531-75a3f42aae3d_ContentBits">
    <vt:lpwstr>0</vt:lpwstr>
  </property>
</Properties>
</file>